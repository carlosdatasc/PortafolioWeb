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Muñoz\Cursos\A2\Excel 1\"/>
    </mc:Choice>
  </mc:AlternateContent>
  <xr:revisionPtr revIDLastSave="0" documentId="13_ncr:1_{C4B85A74-1B1B-4769-9E18-F93044CFA3E1}" xr6:coauthVersionLast="47" xr6:coauthVersionMax="47" xr10:uidLastSave="{00000000-0000-0000-0000-000000000000}"/>
  <bookViews>
    <workbookView xWindow="-120" yWindow="-120" windowWidth="20730" windowHeight="11310" firstSheet="1" activeTab="4" xr2:uid="{00000000-000D-0000-FFFF-FFFF00000000}"/>
  </bookViews>
  <sheets>
    <sheet name="Automotor 1" sheetId="1" r:id="rId1"/>
    <sheet name="Automotor 2" sheetId="2" r:id="rId2"/>
    <sheet name="Automotor 3" sheetId="3" r:id="rId3"/>
    <sheet name="Tablas" sheetId="5" r:id="rId4"/>
    <sheet name="Preguntas" sheetId="4" r:id="rId5"/>
  </sheet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5" l="1"/>
  <c r="G64" i="5" s="1"/>
  <c r="H64" i="5" s="1"/>
  <c r="F65" i="5"/>
  <c r="G65" i="5"/>
  <c r="H65" i="5"/>
  <c r="F66" i="5"/>
  <c r="G66" i="5"/>
  <c r="H66" i="5" s="1"/>
  <c r="F67" i="5"/>
  <c r="G67" i="5" s="1"/>
  <c r="H67" i="5" s="1"/>
  <c r="F68" i="5"/>
  <c r="G68" i="5"/>
  <c r="H68" i="5" s="1"/>
  <c r="F69" i="5"/>
  <c r="G69" i="5" s="1"/>
  <c r="H69" i="5" s="1"/>
  <c r="F70" i="5"/>
  <c r="G70" i="5"/>
  <c r="H70" i="5"/>
  <c r="F71" i="5"/>
  <c r="G71" i="5" s="1"/>
  <c r="H71" i="5" s="1"/>
  <c r="F72" i="5"/>
  <c r="G72" i="5" s="1"/>
  <c r="H72" i="5" s="1"/>
  <c r="F73" i="5"/>
  <c r="G73" i="5"/>
  <c r="H73" i="5"/>
  <c r="F74" i="5"/>
  <c r="G74" i="5"/>
  <c r="H74" i="5" s="1"/>
  <c r="F75" i="5"/>
  <c r="G75" i="5"/>
  <c r="H75" i="5"/>
  <c r="F76" i="5"/>
  <c r="G76" i="5"/>
  <c r="H76" i="5" s="1"/>
  <c r="F77" i="5"/>
  <c r="G77" i="5" s="1"/>
  <c r="H77" i="5" s="1"/>
  <c r="F78" i="5"/>
  <c r="G78" i="5"/>
  <c r="H78" i="5"/>
  <c r="F79" i="5"/>
  <c r="G79" i="5" s="1"/>
  <c r="H79" i="5" s="1"/>
  <c r="F80" i="5"/>
  <c r="G80" i="5" s="1"/>
  <c r="H80" i="5" s="1"/>
  <c r="F81" i="5"/>
  <c r="G81" i="5"/>
  <c r="H81" i="5"/>
  <c r="F82" i="5"/>
  <c r="G82" i="5"/>
  <c r="H82" i="5" s="1"/>
  <c r="F83" i="5"/>
  <c r="G83" i="5"/>
  <c r="H83" i="5"/>
  <c r="F84" i="5"/>
  <c r="G84" i="5"/>
  <c r="H84" i="5" s="1"/>
  <c r="F85" i="5"/>
  <c r="G85" i="5" s="1"/>
  <c r="H85" i="5" s="1"/>
  <c r="F86" i="5"/>
  <c r="G86" i="5"/>
  <c r="H86" i="5"/>
  <c r="F87" i="5"/>
  <c r="G87" i="5" s="1"/>
  <c r="H87" i="5" s="1"/>
  <c r="F88" i="5"/>
  <c r="G88" i="5" s="1"/>
  <c r="H88" i="5" s="1"/>
  <c r="F89" i="5"/>
  <c r="G89" i="5"/>
  <c r="H89" i="5"/>
  <c r="F90" i="5"/>
  <c r="G90" i="5"/>
  <c r="H90" i="5" s="1"/>
  <c r="F91" i="5"/>
  <c r="G91" i="5"/>
  <c r="H91" i="5"/>
  <c r="F92" i="5"/>
  <c r="G92" i="5"/>
  <c r="H92" i="5" s="1"/>
  <c r="F93" i="5"/>
  <c r="G93" i="5" s="1"/>
  <c r="H93" i="5" s="1"/>
  <c r="F94" i="5"/>
  <c r="G94" i="5"/>
  <c r="H94" i="5"/>
  <c r="F95" i="5"/>
  <c r="G95" i="5" s="1"/>
  <c r="H95" i="5" s="1"/>
  <c r="F47" i="5"/>
  <c r="G47" i="5" s="1"/>
  <c r="H47" i="5" s="1"/>
  <c r="F48" i="5"/>
  <c r="G48" i="5" s="1"/>
  <c r="H48" i="5" s="1"/>
  <c r="F49" i="5"/>
  <c r="G49" i="5"/>
  <c r="H49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/>
  <c r="H53" i="5" s="1"/>
  <c r="F54" i="5"/>
  <c r="G54" i="5"/>
  <c r="H54" i="5"/>
  <c r="F55" i="5"/>
  <c r="G55" i="5" s="1"/>
  <c r="H55" i="5" s="1"/>
  <c r="F56" i="5"/>
  <c r="G56" i="5" s="1"/>
  <c r="H56" i="5" s="1"/>
  <c r="F57" i="5"/>
  <c r="G57" i="5"/>
  <c r="H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/>
  <c r="H61" i="5" s="1"/>
  <c r="F62" i="5"/>
  <c r="G62" i="5"/>
  <c r="H62" i="5"/>
  <c r="F63" i="5"/>
  <c r="G63" i="5" s="1"/>
  <c r="H63" i="5" s="1"/>
  <c r="F43" i="5"/>
  <c r="G43" i="5"/>
  <c r="H43" i="5" s="1"/>
  <c r="F44" i="5"/>
  <c r="G44" i="5"/>
  <c r="H44" i="5" s="1"/>
  <c r="F45" i="5"/>
  <c r="G45" i="5"/>
  <c r="H45" i="5"/>
  <c r="F46" i="5"/>
  <c r="G46" i="5"/>
  <c r="H46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H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2" i="5"/>
  <c r="G15" i="3" l="1"/>
  <c r="F15" i="3"/>
  <c r="F15" i="4"/>
  <c r="E15" i="4"/>
  <c r="F13" i="4"/>
  <c r="E13" i="4"/>
  <c r="F10" i="4"/>
  <c r="E10" i="4"/>
  <c r="F8" i="4"/>
  <c r="E8" i="4"/>
  <c r="F6" i="4" l="1"/>
  <c r="E6" i="4"/>
  <c r="F4" i="4"/>
  <c r="E4" i="4"/>
  <c r="E2" i="4"/>
</calcChain>
</file>

<file path=xl/sharedStrings.xml><?xml version="1.0" encoding="utf-8"?>
<sst xmlns="http://schemas.openxmlformats.org/spreadsheetml/2006/main" count="660" uniqueCount="81">
  <si>
    <t>Pieza 1</t>
  </si>
  <si>
    <t>Pieza 2</t>
  </si>
  <si>
    <t>Pieza 3</t>
  </si>
  <si>
    <t>Pieza 4</t>
  </si>
  <si>
    <t>Pieza 5</t>
  </si>
  <si>
    <t>Pieza 6</t>
  </si>
  <si>
    <t>Pieza 7</t>
  </si>
  <si>
    <t>Pieza 8</t>
  </si>
  <si>
    <t>Pieza 9</t>
  </si>
  <si>
    <t>Pieza 10</t>
  </si>
  <si>
    <t>Pieza 11</t>
  </si>
  <si>
    <t>Pieza 12</t>
  </si>
  <si>
    <t>Pieza 13</t>
  </si>
  <si>
    <t>Pieza 14</t>
  </si>
  <si>
    <t>Pieza 15</t>
  </si>
  <si>
    <t>Pieza 16</t>
  </si>
  <si>
    <t>Pieza 17</t>
  </si>
  <si>
    <t>Pieza 18</t>
  </si>
  <si>
    <t>Pieza 19</t>
  </si>
  <si>
    <t>Pieza 20</t>
  </si>
  <si>
    <t>Pieza 21</t>
  </si>
  <si>
    <t>Pieza 22</t>
  </si>
  <si>
    <t>Pieza 23</t>
  </si>
  <si>
    <t>Pieza 24</t>
  </si>
  <si>
    <t>Pieza 25</t>
  </si>
  <si>
    <t>Parte</t>
  </si>
  <si>
    <t>Cantidad</t>
  </si>
  <si>
    <t>Precio</t>
  </si>
  <si>
    <t>Frenos de ABS</t>
  </si>
  <si>
    <t>Total</t>
  </si>
  <si>
    <t>Chasis</t>
  </si>
  <si>
    <t>Sistema de Suspensión</t>
  </si>
  <si>
    <t>Aire Acondicionado</t>
  </si>
  <si>
    <t>Sistema Hidráulico</t>
  </si>
  <si>
    <t>Tracción 4x4</t>
  </si>
  <si>
    <t>Transmisión del Sistema</t>
  </si>
  <si>
    <t>Automotor 1</t>
  </si>
  <si>
    <t>Automotor 2</t>
  </si>
  <si>
    <t>Automotor 3</t>
  </si>
  <si>
    <t>Question 2</t>
  </si>
  <si>
    <t>Question 3</t>
  </si>
  <si>
    <t>Question 5</t>
  </si>
  <si>
    <t>Question 6</t>
  </si>
  <si>
    <t>Question 7</t>
  </si>
  <si>
    <t>Question 1</t>
  </si>
  <si>
    <t>¿Cual es el costo total de armar el automotor 3 con IVA incluido?</t>
  </si>
  <si>
    <t>¿Cuál es el costo total (IVA incluido) de cada sistema de Tracción 4x4 que se arma?</t>
  </si>
  <si>
    <t>¿Cuál automotor tiene el sistema más caro?</t>
  </si>
  <si>
    <t>Question 4</t>
  </si>
  <si>
    <t>¿Cuál Automotor tiene el sistema más barato?</t>
  </si>
  <si>
    <t>¿Cuál sistema es el que más paga en IVA?</t>
  </si>
  <si>
    <t>Recuerda que los precios no incluyen IVA, el IVA es una tasa adicional del 16% al precio dado. </t>
  </si>
  <si>
    <t>¿Cuál es la pieza de la que se consume mayor cantidad?</t>
  </si>
  <si>
    <t>Costo automotor 3 con IVA</t>
  </si>
  <si>
    <t>Sistema</t>
  </si>
  <si>
    <t>Automotor</t>
  </si>
  <si>
    <t>Pieza</t>
  </si>
  <si>
    <t>*Escribe tus respuestas sin decimales</t>
  </si>
  <si>
    <t>Cantidad de piezas</t>
  </si>
  <si>
    <t>¿Cuál es la pieza en la que menos dinero se gasta en total y cuanto (iva incluido)?</t>
  </si>
  <si>
    <t>Automotor 1 con IVA</t>
  </si>
  <si>
    <t>Automotor 3 con IVA</t>
  </si>
  <si>
    <t>Gasto con IVA</t>
  </si>
  <si>
    <t>Vehiculo</t>
  </si>
  <si>
    <t>Cant X Precio</t>
  </si>
  <si>
    <t>IVA</t>
  </si>
  <si>
    <t>Total con IVA</t>
  </si>
  <si>
    <t>Frenos ABC</t>
  </si>
  <si>
    <t xml:space="preserve">Chasis </t>
  </si>
  <si>
    <t>Sistemas de Suspensión</t>
  </si>
  <si>
    <t>Sistema Hidraulico</t>
  </si>
  <si>
    <t>Tracción 4 x4</t>
  </si>
  <si>
    <t>Automotor  3</t>
  </si>
  <si>
    <t>Etiquetas de fila</t>
  </si>
  <si>
    <t>Total general</t>
  </si>
  <si>
    <t>Suma de Total con IVA</t>
  </si>
  <si>
    <t>Total Automotor  3</t>
  </si>
  <si>
    <t>Total Automotor 1</t>
  </si>
  <si>
    <t>Total Automotor 2</t>
  </si>
  <si>
    <t>Suma de IVA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</si>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</sst>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8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444444"/>
      <name val="Inherit"/>
    </font>
    <font>
      <b/>
      <sz val="17"/>
      <color rgb="FF444444"/>
      <name val="Inherit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0"/>
      <color rgb="FF444444"/>
      <name val="Inherit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hidden="1"/>
    </xf>
    <xf numFmtId="0" fontId="7" fillId="0" borderId="0" xfId="0" applyFont="1" applyAlignment="1">
      <alignment vertical="top" wrapText="1"/>
    </xf>
    <xf numFmtId="6" fontId="0" fillId="2" borderId="3" xfId="0" applyNumberFormat="1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1" fillId="0" borderId="0" xfId="1" applyFill="1"/>
    <xf numFmtId="0" fontId="2" fillId="0" borderId="0" xfId="0" applyFont="1"/>
    <xf numFmtId="8" fontId="0" fillId="0" borderId="0" xfId="0" applyNumberFormat="1"/>
    <xf numFmtId="0" fontId="2" fillId="0" borderId="1" xfId="2" applyFill="1"/>
    <xf numFmtId="8" fontId="2" fillId="0" borderId="1" xfId="2" applyNumberFormat="1" applyFill="1"/>
    <xf numFmtId="0" fontId="0" fillId="0" borderId="2" xfId="0" applyBorder="1"/>
    <xf numFmtId="8" fontId="0" fillId="0" borderId="2" xfId="0" applyNumberFormat="1" applyBorder="1"/>
    <xf numFmtId="0" fontId="0" fillId="0" borderId="0" xfId="0" applyAlignment="1">
      <alignment horizontal="center" vertical="center"/>
    </xf>
    <xf numFmtId="6" fontId="0" fillId="0" borderId="0" xfId="0" applyNumberFormat="1"/>
    <xf numFmtId="0" fontId="0" fillId="0" borderId="0" xfId="0" applyBorder="1"/>
    <xf numFmtId="8" fontId="0" fillId="0" borderId="0" xfId="0" applyNumberFormat="1" applyBorder="1"/>
    <xf numFmtId="8" fontId="5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Normal" xfId="0" builtinId="0"/>
    <cellStyle name="Título" xfId="1" builtinId="15"/>
    <cellStyle name="Total" xfId="2" builtinId="25"/>
  </cellStyles>
  <dxfs count="33"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alignment horizontal="center" vertical="center" textRotation="0" wrapText="0" indent="0" justifyLastLine="0" shrinkToFit="0" readingOrder="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30.617717824076" createdVersion="8" refreshedVersion="8" minRefreshableVersion="3" recordCount="94" xr:uid="{C800334C-05C3-403C-B17F-C6B20228EB16}">
  <cacheSource type="worksheet">
    <worksheetSource name="Tabla1"/>
  </cacheSource>
  <cacheFields count="8">
    <cacheField name="Vehiculo" numFmtId="0">
      <sharedItems count="3">
        <s v="Automotor 1"/>
        <s v="Automotor 2"/>
        <s v="Automotor  3"/>
      </sharedItems>
    </cacheField>
    <cacheField name="Sistema" numFmtId="0">
      <sharedItems count="8">
        <s v="Frenos ABC"/>
        <s v="Chasis "/>
        <s v="Sistemas de Suspensión"/>
        <s v="Aire Acondicionado"/>
        <s v="Sistema Hidraulico"/>
        <s v="Tracción 4 x4"/>
        <s v="Transmisión del Sistema"/>
        <s v="Sistema de Suspensión"/>
      </sharedItems>
    </cacheField>
    <cacheField name="Parte" numFmtId="0">
      <sharedItems count="25">
        <s v="Pieza 6"/>
        <s v="Pieza 1"/>
        <s v="Pieza 23"/>
        <s v="Pieza 20"/>
        <s v="Pieza 18"/>
        <s v="Pieza 7"/>
        <s v="Pieza 12"/>
        <s v="Pieza 10"/>
        <s v="Pieza 13"/>
        <s v="Pieza 2"/>
        <s v="Pieza 22"/>
        <s v="Pieza 4"/>
        <s v="Pieza 16"/>
        <s v="Pieza 19"/>
        <s v="Pieza 8"/>
        <s v="Pieza 21"/>
        <s v="Pieza 3"/>
        <s v="Pieza 25"/>
        <s v="Pieza 17"/>
        <s v="Pieza 9"/>
        <s v="Pieza 24"/>
        <s v="Pieza 14"/>
        <s v="Pieza 5"/>
        <s v="Pieza 11"/>
        <s v="Pieza 15"/>
      </sharedItems>
    </cacheField>
    <cacheField name="Cantidad" numFmtId="0">
      <sharedItems containsSemiMixedTypes="0" containsString="0" containsNumber="1" containsInteger="1" minValue="1" maxValue="12"/>
    </cacheField>
    <cacheField name="Precio" numFmtId="8">
      <sharedItems containsSemiMixedTypes="0" containsString="0" containsNumber="1" containsInteger="1" minValue="503" maxValue="4985"/>
    </cacheField>
    <cacheField name="Cant X Precio" numFmtId="8">
      <sharedItems containsSemiMixedTypes="0" containsString="0" containsNumber="1" containsInteger="1" minValue="503" maxValue="49850"/>
    </cacheField>
    <cacheField name="IVA" numFmtId="8">
      <sharedItems containsSemiMixedTypes="0" containsString="0" containsNumber="1" minValue="80.48" maxValue="7976"/>
    </cacheField>
    <cacheField name="Total con IVA" numFmtId="8">
      <sharedItems containsSemiMixedTypes="0" containsString="0" containsNumber="1" minValue="583.48" maxValue="578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x v="0"/>
    <n v="7"/>
    <n v="503"/>
    <n v="3521"/>
    <n v="563.36"/>
    <n v="4084.36"/>
  </r>
  <r>
    <x v="0"/>
    <x v="0"/>
    <x v="1"/>
    <n v="9"/>
    <n v="4985"/>
    <n v="44865"/>
    <n v="7178.4000000000005"/>
    <n v="52043.4"/>
  </r>
  <r>
    <x v="0"/>
    <x v="0"/>
    <x v="1"/>
    <n v="8"/>
    <n v="4985"/>
    <n v="39880"/>
    <n v="6380.8"/>
    <n v="46260.800000000003"/>
  </r>
  <r>
    <x v="0"/>
    <x v="0"/>
    <x v="2"/>
    <n v="9"/>
    <n v="4324"/>
    <n v="38916"/>
    <n v="6226.56"/>
    <n v="45142.559999999998"/>
  </r>
  <r>
    <x v="0"/>
    <x v="1"/>
    <x v="3"/>
    <n v="4"/>
    <n v="509"/>
    <n v="2036"/>
    <n v="325.76"/>
    <n v="2361.7600000000002"/>
  </r>
  <r>
    <x v="0"/>
    <x v="1"/>
    <x v="4"/>
    <n v="3"/>
    <n v="807"/>
    <n v="2421"/>
    <n v="387.36"/>
    <n v="2808.36"/>
  </r>
  <r>
    <x v="0"/>
    <x v="1"/>
    <x v="5"/>
    <n v="7"/>
    <n v="637"/>
    <n v="4459"/>
    <n v="713.44"/>
    <n v="5172.4400000000005"/>
  </r>
  <r>
    <x v="0"/>
    <x v="1"/>
    <x v="6"/>
    <n v="7"/>
    <n v="3042"/>
    <n v="21294"/>
    <n v="3407.04"/>
    <n v="24701.040000000001"/>
  </r>
  <r>
    <x v="0"/>
    <x v="1"/>
    <x v="7"/>
    <n v="10"/>
    <n v="1981"/>
    <n v="19810"/>
    <n v="3169.6"/>
    <n v="22979.599999999999"/>
  </r>
  <r>
    <x v="0"/>
    <x v="2"/>
    <x v="8"/>
    <n v="10"/>
    <n v="803"/>
    <n v="8030"/>
    <n v="1284.8"/>
    <n v="9314.7999999999993"/>
  </r>
  <r>
    <x v="0"/>
    <x v="2"/>
    <x v="9"/>
    <n v="11"/>
    <n v="4029"/>
    <n v="44319"/>
    <n v="7091.04"/>
    <n v="51410.04"/>
  </r>
  <r>
    <x v="0"/>
    <x v="2"/>
    <x v="10"/>
    <n v="8"/>
    <n v="3254"/>
    <n v="26032"/>
    <n v="4165.12"/>
    <n v="30197.119999999999"/>
  </r>
  <r>
    <x v="0"/>
    <x v="2"/>
    <x v="5"/>
    <n v="6"/>
    <n v="637"/>
    <n v="3822"/>
    <n v="611.52"/>
    <n v="4433.5200000000004"/>
  </r>
  <r>
    <x v="0"/>
    <x v="2"/>
    <x v="11"/>
    <n v="2"/>
    <n v="2406"/>
    <n v="4812"/>
    <n v="769.92000000000007"/>
    <n v="5581.92"/>
  </r>
  <r>
    <x v="0"/>
    <x v="2"/>
    <x v="3"/>
    <n v="3"/>
    <n v="509"/>
    <n v="1527"/>
    <n v="244.32"/>
    <n v="1771.32"/>
  </r>
  <r>
    <x v="0"/>
    <x v="2"/>
    <x v="7"/>
    <n v="1"/>
    <n v="1981"/>
    <n v="1981"/>
    <n v="316.95999999999998"/>
    <n v="2297.96"/>
  </r>
  <r>
    <x v="0"/>
    <x v="2"/>
    <x v="1"/>
    <n v="2"/>
    <n v="4985"/>
    <n v="9970"/>
    <n v="1595.2"/>
    <n v="11565.2"/>
  </r>
  <r>
    <x v="0"/>
    <x v="2"/>
    <x v="12"/>
    <n v="3"/>
    <n v="2407"/>
    <n v="7221"/>
    <n v="1155.3600000000001"/>
    <n v="8376.36"/>
  </r>
  <r>
    <x v="0"/>
    <x v="3"/>
    <x v="13"/>
    <n v="4"/>
    <n v="4302"/>
    <n v="17208"/>
    <n v="2753.28"/>
    <n v="19961.28"/>
  </r>
  <r>
    <x v="0"/>
    <x v="3"/>
    <x v="13"/>
    <n v="10"/>
    <n v="4302"/>
    <n v="43020"/>
    <n v="6883.2"/>
    <n v="49903.199999999997"/>
  </r>
  <r>
    <x v="0"/>
    <x v="3"/>
    <x v="7"/>
    <n v="5"/>
    <n v="1981"/>
    <n v="9905"/>
    <n v="1584.8"/>
    <n v="11489.8"/>
  </r>
  <r>
    <x v="0"/>
    <x v="4"/>
    <x v="14"/>
    <n v="9"/>
    <n v="2420"/>
    <n v="21780"/>
    <n v="3484.8"/>
    <n v="25264.799999999999"/>
  </r>
  <r>
    <x v="0"/>
    <x v="4"/>
    <x v="15"/>
    <n v="6"/>
    <n v="3519"/>
    <n v="21114"/>
    <n v="3378.2400000000002"/>
    <n v="24492.240000000002"/>
  </r>
  <r>
    <x v="0"/>
    <x v="4"/>
    <x v="4"/>
    <n v="9"/>
    <n v="807"/>
    <n v="7263"/>
    <n v="1162.08"/>
    <n v="8425.08"/>
  </r>
  <r>
    <x v="0"/>
    <x v="4"/>
    <x v="6"/>
    <n v="11"/>
    <n v="3042"/>
    <n v="33462"/>
    <n v="5353.92"/>
    <n v="38815.919999999998"/>
  </r>
  <r>
    <x v="0"/>
    <x v="4"/>
    <x v="16"/>
    <n v="8"/>
    <n v="4207"/>
    <n v="33656"/>
    <n v="5384.96"/>
    <n v="39040.959999999999"/>
  </r>
  <r>
    <x v="0"/>
    <x v="4"/>
    <x v="14"/>
    <n v="6"/>
    <n v="2420"/>
    <n v="14520"/>
    <n v="2323.2000000000003"/>
    <n v="16843.2"/>
  </r>
  <r>
    <x v="0"/>
    <x v="4"/>
    <x v="16"/>
    <n v="2"/>
    <n v="4207"/>
    <n v="8414"/>
    <n v="1346.24"/>
    <n v="9760.24"/>
  </r>
  <r>
    <x v="0"/>
    <x v="4"/>
    <x v="2"/>
    <n v="3"/>
    <n v="4324"/>
    <n v="12972"/>
    <n v="2075.52"/>
    <n v="15047.52"/>
  </r>
  <r>
    <x v="0"/>
    <x v="4"/>
    <x v="11"/>
    <n v="2"/>
    <n v="2406"/>
    <n v="4812"/>
    <n v="769.92000000000007"/>
    <n v="5581.92"/>
  </r>
  <r>
    <x v="0"/>
    <x v="4"/>
    <x v="17"/>
    <n v="5"/>
    <n v="3682"/>
    <n v="18410"/>
    <n v="2945.6"/>
    <n v="21355.599999999999"/>
  </r>
  <r>
    <x v="0"/>
    <x v="5"/>
    <x v="0"/>
    <n v="8"/>
    <n v="503"/>
    <n v="4024"/>
    <n v="643.84"/>
    <n v="4667.84"/>
  </r>
  <r>
    <x v="0"/>
    <x v="5"/>
    <x v="18"/>
    <n v="7"/>
    <n v="3664"/>
    <n v="25648"/>
    <n v="4103.68"/>
    <n v="29751.68"/>
  </r>
  <r>
    <x v="0"/>
    <x v="5"/>
    <x v="1"/>
    <n v="5"/>
    <n v="4985"/>
    <n v="24925"/>
    <n v="3988"/>
    <n v="28913"/>
  </r>
  <r>
    <x v="0"/>
    <x v="5"/>
    <x v="13"/>
    <n v="5"/>
    <n v="4302"/>
    <n v="21510"/>
    <n v="3441.6"/>
    <n v="24951.599999999999"/>
  </r>
  <r>
    <x v="0"/>
    <x v="6"/>
    <x v="7"/>
    <n v="11"/>
    <n v="1981"/>
    <n v="21791"/>
    <n v="3486.56"/>
    <n v="25277.56"/>
  </r>
  <r>
    <x v="0"/>
    <x v="6"/>
    <x v="3"/>
    <n v="11"/>
    <n v="509"/>
    <n v="5599"/>
    <n v="895.84"/>
    <n v="6494.84"/>
  </r>
  <r>
    <x v="0"/>
    <x v="6"/>
    <x v="19"/>
    <n v="2"/>
    <n v="2405"/>
    <n v="4810"/>
    <n v="769.6"/>
    <n v="5579.6"/>
  </r>
  <r>
    <x v="0"/>
    <x v="6"/>
    <x v="14"/>
    <n v="10"/>
    <n v="2420"/>
    <n v="24200"/>
    <n v="3872"/>
    <n v="28072"/>
  </r>
  <r>
    <x v="0"/>
    <x v="6"/>
    <x v="18"/>
    <n v="2"/>
    <n v="3664"/>
    <n v="7328"/>
    <n v="1172.48"/>
    <n v="8500.48"/>
  </r>
  <r>
    <x v="0"/>
    <x v="6"/>
    <x v="18"/>
    <n v="8"/>
    <n v="3664"/>
    <n v="29312"/>
    <n v="4689.92"/>
    <n v="34001.919999999998"/>
  </r>
  <r>
    <x v="1"/>
    <x v="0"/>
    <x v="0"/>
    <n v="9"/>
    <n v="503"/>
    <n v="4527"/>
    <n v="724.32"/>
    <n v="5251.32"/>
  </r>
  <r>
    <x v="1"/>
    <x v="0"/>
    <x v="20"/>
    <n v="3"/>
    <n v="562"/>
    <n v="1686"/>
    <n v="269.76"/>
    <n v="1955.76"/>
  </r>
  <r>
    <x v="1"/>
    <x v="0"/>
    <x v="12"/>
    <n v="4"/>
    <n v="2407"/>
    <n v="9628"/>
    <n v="1540.48"/>
    <n v="11168.48"/>
  </r>
  <r>
    <x v="1"/>
    <x v="0"/>
    <x v="21"/>
    <n v="4"/>
    <n v="1133"/>
    <n v="4532"/>
    <n v="725.12"/>
    <n v="5257.12"/>
  </r>
  <r>
    <x v="1"/>
    <x v="1"/>
    <x v="20"/>
    <n v="5"/>
    <n v="562"/>
    <n v="2810"/>
    <n v="449.6"/>
    <n v="3259.6"/>
  </r>
  <r>
    <x v="1"/>
    <x v="1"/>
    <x v="16"/>
    <n v="4"/>
    <n v="4207"/>
    <n v="16828"/>
    <n v="2692.48"/>
    <n v="19520.48"/>
  </r>
  <r>
    <x v="1"/>
    <x v="1"/>
    <x v="3"/>
    <n v="6"/>
    <n v="509"/>
    <n v="3054"/>
    <n v="488.64"/>
    <n v="3542.64"/>
  </r>
  <r>
    <x v="1"/>
    <x v="1"/>
    <x v="20"/>
    <n v="2"/>
    <n v="562"/>
    <n v="1124"/>
    <n v="179.84"/>
    <n v="1303.8399999999999"/>
  </r>
  <r>
    <x v="1"/>
    <x v="1"/>
    <x v="16"/>
    <n v="9"/>
    <n v="4207"/>
    <n v="37863"/>
    <n v="6058.08"/>
    <n v="43921.08"/>
  </r>
  <r>
    <x v="1"/>
    <x v="7"/>
    <x v="5"/>
    <n v="12"/>
    <n v="637"/>
    <n v="7644"/>
    <n v="1223.04"/>
    <n v="8867.0400000000009"/>
  </r>
  <r>
    <x v="1"/>
    <x v="7"/>
    <x v="7"/>
    <n v="8"/>
    <n v="1981"/>
    <n v="15848"/>
    <n v="2535.6799999999998"/>
    <n v="18383.68"/>
  </r>
  <r>
    <x v="1"/>
    <x v="7"/>
    <x v="14"/>
    <n v="5"/>
    <n v="2420"/>
    <n v="12100"/>
    <n v="1936"/>
    <n v="14036"/>
  </r>
  <r>
    <x v="1"/>
    <x v="7"/>
    <x v="16"/>
    <n v="8"/>
    <n v="4207"/>
    <n v="33656"/>
    <n v="5384.96"/>
    <n v="39040.959999999999"/>
  </r>
  <r>
    <x v="1"/>
    <x v="7"/>
    <x v="4"/>
    <n v="12"/>
    <n v="807"/>
    <n v="9684"/>
    <n v="1549.44"/>
    <n v="11233.44"/>
  </r>
  <r>
    <x v="1"/>
    <x v="7"/>
    <x v="0"/>
    <n v="1"/>
    <n v="503"/>
    <n v="503"/>
    <n v="80.48"/>
    <n v="583.48"/>
  </r>
  <r>
    <x v="1"/>
    <x v="7"/>
    <x v="16"/>
    <n v="7"/>
    <n v="4207"/>
    <n v="29449"/>
    <n v="4711.84"/>
    <n v="34160.839999999997"/>
  </r>
  <r>
    <x v="1"/>
    <x v="7"/>
    <x v="18"/>
    <n v="7"/>
    <n v="3664"/>
    <n v="25648"/>
    <n v="4103.68"/>
    <n v="29751.68"/>
  </r>
  <r>
    <x v="1"/>
    <x v="7"/>
    <x v="1"/>
    <n v="2"/>
    <n v="4985"/>
    <n v="9970"/>
    <n v="1595.2"/>
    <n v="11565.2"/>
  </r>
  <r>
    <x v="1"/>
    <x v="3"/>
    <x v="3"/>
    <n v="5"/>
    <n v="509"/>
    <n v="2545"/>
    <n v="407.2"/>
    <n v="2952.2"/>
  </r>
  <r>
    <x v="1"/>
    <x v="3"/>
    <x v="22"/>
    <n v="6"/>
    <n v="1188"/>
    <n v="7128"/>
    <n v="1140.48"/>
    <n v="8268.48"/>
  </r>
  <r>
    <x v="1"/>
    <x v="3"/>
    <x v="0"/>
    <n v="4"/>
    <n v="503"/>
    <n v="2012"/>
    <n v="321.92"/>
    <n v="2333.92"/>
  </r>
  <r>
    <x v="2"/>
    <x v="7"/>
    <x v="2"/>
    <n v="1"/>
    <n v="4324"/>
    <n v="4324"/>
    <n v="691.84"/>
    <n v="5015.84"/>
  </r>
  <r>
    <x v="2"/>
    <x v="7"/>
    <x v="23"/>
    <n v="10"/>
    <n v="793"/>
    <n v="7930"/>
    <n v="1268.8"/>
    <n v="9198.7999999999993"/>
  </r>
  <r>
    <x v="2"/>
    <x v="7"/>
    <x v="10"/>
    <n v="3"/>
    <n v="3254"/>
    <n v="9762"/>
    <n v="1561.92"/>
    <n v="11323.92"/>
  </r>
  <r>
    <x v="2"/>
    <x v="7"/>
    <x v="8"/>
    <n v="7"/>
    <n v="803"/>
    <n v="5621"/>
    <n v="899.36"/>
    <n v="6520.36"/>
  </r>
  <r>
    <x v="2"/>
    <x v="7"/>
    <x v="12"/>
    <n v="1"/>
    <n v="2407"/>
    <n v="2407"/>
    <n v="385.12"/>
    <n v="2792.12"/>
  </r>
  <r>
    <x v="2"/>
    <x v="7"/>
    <x v="22"/>
    <n v="10"/>
    <n v="1188"/>
    <n v="11880"/>
    <n v="1900.8"/>
    <n v="13780.8"/>
  </r>
  <r>
    <x v="2"/>
    <x v="7"/>
    <x v="14"/>
    <n v="4"/>
    <n v="2420"/>
    <n v="9680"/>
    <n v="1548.8"/>
    <n v="11228.8"/>
  </r>
  <r>
    <x v="2"/>
    <x v="7"/>
    <x v="1"/>
    <n v="1"/>
    <n v="4985"/>
    <n v="4985"/>
    <n v="797.6"/>
    <n v="5782.6"/>
  </r>
  <r>
    <x v="2"/>
    <x v="7"/>
    <x v="3"/>
    <n v="12"/>
    <n v="509"/>
    <n v="6108"/>
    <n v="977.28"/>
    <n v="7085.28"/>
  </r>
  <r>
    <x v="2"/>
    <x v="3"/>
    <x v="8"/>
    <n v="2"/>
    <n v="803"/>
    <n v="1606"/>
    <n v="256.95999999999998"/>
    <n v="1862.96"/>
  </r>
  <r>
    <x v="2"/>
    <x v="3"/>
    <x v="5"/>
    <n v="1"/>
    <n v="637"/>
    <n v="637"/>
    <n v="101.92"/>
    <n v="738.92"/>
  </r>
  <r>
    <x v="2"/>
    <x v="3"/>
    <x v="11"/>
    <n v="4"/>
    <n v="2406"/>
    <n v="9624"/>
    <n v="1539.8400000000001"/>
    <n v="11163.84"/>
  </r>
  <r>
    <x v="2"/>
    <x v="4"/>
    <x v="21"/>
    <n v="8"/>
    <n v="1133"/>
    <n v="9064"/>
    <n v="1450.24"/>
    <n v="10514.24"/>
  </r>
  <r>
    <x v="2"/>
    <x v="4"/>
    <x v="13"/>
    <n v="6"/>
    <n v="4302"/>
    <n v="25812"/>
    <n v="4129.92"/>
    <n v="29941.919999999998"/>
  </r>
  <r>
    <x v="2"/>
    <x v="4"/>
    <x v="11"/>
    <n v="5"/>
    <n v="2406"/>
    <n v="12030"/>
    <n v="1924.8"/>
    <n v="13954.8"/>
  </r>
  <r>
    <x v="2"/>
    <x v="4"/>
    <x v="24"/>
    <n v="3"/>
    <n v="4954"/>
    <n v="14862"/>
    <n v="2377.92"/>
    <n v="17239.919999999998"/>
  </r>
  <r>
    <x v="2"/>
    <x v="4"/>
    <x v="10"/>
    <n v="7"/>
    <n v="3254"/>
    <n v="22778"/>
    <n v="3644.48"/>
    <n v="26422.48"/>
  </r>
  <r>
    <x v="2"/>
    <x v="4"/>
    <x v="15"/>
    <n v="6"/>
    <n v="3519"/>
    <n v="21114"/>
    <n v="3378.2400000000002"/>
    <n v="24492.240000000002"/>
  </r>
  <r>
    <x v="2"/>
    <x v="4"/>
    <x v="18"/>
    <n v="12"/>
    <n v="3664"/>
    <n v="43968"/>
    <n v="7034.88"/>
    <n v="51002.879999999997"/>
  </r>
  <r>
    <x v="2"/>
    <x v="4"/>
    <x v="15"/>
    <n v="10"/>
    <n v="3519"/>
    <n v="35190"/>
    <n v="5630.4000000000005"/>
    <n v="40820.400000000001"/>
  </r>
  <r>
    <x v="2"/>
    <x v="4"/>
    <x v="20"/>
    <n v="5"/>
    <n v="562"/>
    <n v="2810"/>
    <n v="449.6"/>
    <n v="3259.6"/>
  </r>
  <r>
    <x v="2"/>
    <x v="4"/>
    <x v="20"/>
    <n v="1"/>
    <n v="562"/>
    <n v="562"/>
    <n v="89.92"/>
    <n v="651.91999999999996"/>
  </r>
  <r>
    <x v="2"/>
    <x v="5"/>
    <x v="12"/>
    <n v="6"/>
    <n v="2407"/>
    <n v="14442"/>
    <n v="2310.7200000000003"/>
    <n v="16752.72"/>
  </r>
  <r>
    <x v="2"/>
    <x v="5"/>
    <x v="1"/>
    <n v="3"/>
    <n v="4985"/>
    <n v="14955"/>
    <n v="2392.8000000000002"/>
    <n v="17347.8"/>
  </r>
  <r>
    <x v="2"/>
    <x v="5"/>
    <x v="18"/>
    <n v="8"/>
    <n v="3664"/>
    <n v="29312"/>
    <n v="4689.92"/>
    <n v="34001.919999999998"/>
  </r>
  <r>
    <x v="2"/>
    <x v="5"/>
    <x v="5"/>
    <n v="5"/>
    <n v="637"/>
    <n v="3185"/>
    <n v="509.6"/>
    <n v="3694.6"/>
  </r>
  <r>
    <x v="2"/>
    <x v="6"/>
    <x v="2"/>
    <n v="3"/>
    <n v="4324"/>
    <n v="12972"/>
    <n v="2075.52"/>
    <n v="15047.52"/>
  </r>
  <r>
    <x v="2"/>
    <x v="6"/>
    <x v="1"/>
    <n v="10"/>
    <n v="4985"/>
    <n v="49850"/>
    <n v="7976"/>
    <n v="57826"/>
  </r>
  <r>
    <x v="2"/>
    <x v="6"/>
    <x v="22"/>
    <n v="8"/>
    <n v="1188"/>
    <n v="9504"/>
    <n v="1520.64"/>
    <n v="11024.64"/>
  </r>
  <r>
    <x v="2"/>
    <x v="6"/>
    <x v="22"/>
    <n v="9"/>
    <n v="1188"/>
    <n v="10692"/>
    <n v="1710.72"/>
    <n v="12402.72"/>
  </r>
  <r>
    <x v="2"/>
    <x v="6"/>
    <x v="7"/>
    <n v="6"/>
    <n v="1981"/>
    <n v="11886"/>
    <n v="1901.76"/>
    <n v="13787.76"/>
  </r>
  <r>
    <x v="2"/>
    <x v="6"/>
    <x v="18"/>
    <n v="4"/>
    <n v="3664"/>
    <n v="14656"/>
    <n v="2344.96"/>
    <n v="17000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E30AC-1E66-4C78-B066-BF0ED1015084}" name="TablaDinámica7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90:L116" firstHeaderRow="1" firstDataRow="1" firstDataCol="1"/>
  <pivotFields count="8">
    <pivotField showAll="0"/>
    <pivotField showAll="0"/>
    <pivotField axis="axisRow" showAll="0" sortType="descending">
      <items count="26">
        <item x="1"/>
        <item x="7"/>
        <item x="23"/>
        <item x="6"/>
        <item x="8"/>
        <item x="21"/>
        <item x="24"/>
        <item x="12"/>
        <item x="18"/>
        <item x="4"/>
        <item x="13"/>
        <item x="9"/>
        <item x="3"/>
        <item x="15"/>
        <item x="10"/>
        <item x="2"/>
        <item x="20"/>
        <item x="17"/>
        <item x="16"/>
        <item x="11"/>
        <item x="22"/>
        <item x="0"/>
        <item x="5"/>
        <item x="1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8" showAll="0"/>
    <pivotField numFmtId="8" showAll="0"/>
    <pivotField numFmtId="8" showAll="0"/>
    <pivotField dataField="1" numFmtId="8" showAll="0"/>
  </pivotFields>
  <rowFields count="1">
    <field x="2"/>
  </rowFields>
  <rowItems count="26">
    <i>
      <x/>
    </i>
    <i>
      <x v="8"/>
    </i>
    <i>
      <x v="18"/>
    </i>
    <i>
      <x v="10"/>
    </i>
    <i>
      <x v="23"/>
    </i>
    <i>
      <x v="1"/>
    </i>
    <i>
      <x v="13"/>
    </i>
    <i>
      <x v="15"/>
    </i>
    <i>
      <x v="14"/>
    </i>
    <i>
      <x v="3"/>
    </i>
    <i>
      <x v="11"/>
    </i>
    <i>
      <x v="20"/>
    </i>
    <i>
      <x v="7"/>
    </i>
    <i>
      <x v="19"/>
    </i>
    <i>
      <x v="12"/>
    </i>
    <i>
      <x v="22"/>
    </i>
    <i>
      <x v="9"/>
    </i>
    <i>
      <x v="17"/>
    </i>
    <i>
      <x v="4"/>
    </i>
    <i>
      <x v="6"/>
    </i>
    <i>
      <x v="21"/>
    </i>
    <i>
      <x v="5"/>
    </i>
    <i>
      <x v="16"/>
    </i>
    <i>
      <x v="2"/>
    </i>
    <i>
      <x v="24"/>
    </i>
    <i t="grand">
      <x/>
    </i>
  </rowItems>
  <colItems count="1">
    <i/>
  </colItems>
  <dataFields count="1">
    <dataField name="Suma de Total con IVA" fld="7" baseField="0" baseItem="0" numFmtId="8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621C8-50DA-456D-8B87-A05D80FBC73A}" name="TablaDiná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61:L87" firstHeaderRow="1" firstDataRow="1" firstDataCol="1"/>
  <pivotFields count="8">
    <pivotField showAll="0"/>
    <pivotField showAll="0"/>
    <pivotField axis="axisRow" showAll="0" sortType="descending">
      <items count="26">
        <item x="1"/>
        <item x="7"/>
        <item x="23"/>
        <item x="6"/>
        <item x="8"/>
        <item x="21"/>
        <item x="24"/>
        <item x="12"/>
        <item x="18"/>
        <item x="4"/>
        <item x="13"/>
        <item x="9"/>
        <item x="3"/>
        <item x="15"/>
        <item x="10"/>
        <item x="2"/>
        <item x="20"/>
        <item x="17"/>
        <item x="16"/>
        <item x="11"/>
        <item x="22"/>
        <item x="0"/>
        <item x="5"/>
        <item x="1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8" showAll="0"/>
    <pivotField numFmtId="8" showAll="0"/>
    <pivotField numFmtId="8" showAll="0"/>
    <pivotField numFmtId="8" showAll="0"/>
  </pivotFields>
  <rowFields count="1">
    <field x="2"/>
  </rowFields>
  <rowItems count="26">
    <i>
      <x v="8"/>
    </i>
    <i>
      <x v="1"/>
    </i>
    <i>
      <x v="12"/>
    </i>
    <i>
      <x/>
    </i>
    <i>
      <x v="18"/>
    </i>
    <i>
      <x v="23"/>
    </i>
    <i>
      <x v="20"/>
    </i>
    <i>
      <x v="22"/>
    </i>
    <i>
      <x v="21"/>
    </i>
    <i>
      <x v="10"/>
    </i>
    <i>
      <x v="9"/>
    </i>
    <i>
      <x v="13"/>
    </i>
    <i>
      <x v="4"/>
    </i>
    <i>
      <x v="3"/>
    </i>
    <i>
      <x v="14"/>
    </i>
    <i>
      <x v="16"/>
    </i>
    <i>
      <x v="15"/>
    </i>
    <i>
      <x v="7"/>
    </i>
    <i>
      <x v="19"/>
    </i>
    <i>
      <x v="5"/>
    </i>
    <i>
      <x v="11"/>
    </i>
    <i>
      <x v="2"/>
    </i>
    <i>
      <x v="17"/>
    </i>
    <i>
      <x v="6"/>
    </i>
    <i>
      <x v="24"/>
    </i>
    <i t="grand">
      <x/>
    </i>
  </rowItems>
  <colItems count="1">
    <i/>
  </colItems>
  <dataFields count="1">
    <dataField name="Suma de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6A9EF-F673-4E10-9A81-6362D0E92FD2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38:M58" firstHeaderRow="1" firstDataRow="1" firstDataCol="2"/>
  <pivotFields count="8"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 sortType="descending">
      <items count="9">
        <item x="3"/>
        <item x="1"/>
        <item x="0"/>
        <item x="7"/>
        <item x="4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</pivotFields>
  <rowFields count="2">
    <field x="0"/>
    <field x="1"/>
  </rowFields>
  <rowItems count="20">
    <i>
      <x/>
      <x v="4"/>
    </i>
    <i r="1">
      <x v="7"/>
    </i>
    <i r="1">
      <x v="3"/>
    </i>
    <i r="1">
      <x v="6"/>
    </i>
    <i r="1">
      <x/>
    </i>
    <i t="default">
      <x/>
    </i>
    <i>
      <x v="1"/>
      <x v="4"/>
    </i>
    <i r="1">
      <x v="2"/>
    </i>
    <i r="1">
      <x v="5"/>
    </i>
    <i r="1">
      <x v="7"/>
    </i>
    <i r="1">
      <x v="6"/>
    </i>
    <i r="1">
      <x/>
    </i>
    <i r="1">
      <x v="1"/>
    </i>
    <i t="default">
      <x v="1"/>
    </i>
    <i>
      <x v="2"/>
      <x v="3"/>
    </i>
    <i r="1">
      <x v="1"/>
    </i>
    <i r="1">
      <x v="2"/>
    </i>
    <i r="1">
      <x/>
    </i>
    <i t="default">
      <x v="2"/>
    </i>
    <i t="grand">
      <x/>
    </i>
  </rowItems>
  <colItems count="1">
    <i/>
  </colItems>
  <dataFields count="1">
    <dataField name="Suma de IVA" fld="6" baseField="0" baseItem="0" numFmtId="8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22499-1A70-4D23-A428-084F4E775FF8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15:M35" firstHeaderRow="1" firstDataRow="1" firstDataCol="2"/>
  <pivotFields count="8"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 sortType="descending">
      <items count="9">
        <item x="3"/>
        <item x="1"/>
        <item x="0"/>
        <item x="7"/>
        <item x="4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2">
    <field x="0"/>
    <field x="1"/>
  </rowFields>
  <rowItems count="20">
    <i>
      <x/>
      <x v="4"/>
    </i>
    <i r="1">
      <x v="7"/>
    </i>
    <i r="1">
      <x v="3"/>
    </i>
    <i r="1">
      <x v="6"/>
    </i>
    <i r="1">
      <x/>
    </i>
    <i t="default">
      <x/>
    </i>
    <i>
      <x v="1"/>
      <x v="4"/>
    </i>
    <i r="1">
      <x v="2"/>
    </i>
    <i r="1">
      <x v="5"/>
    </i>
    <i r="1">
      <x v="7"/>
    </i>
    <i r="1">
      <x v="6"/>
    </i>
    <i r="1">
      <x/>
    </i>
    <i r="1">
      <x v="1"/>
    </i>
    <i t="default">
      <x v="1"/>
    </i>
    <i>
      <x v="2"/>
      <x v="3"/>
    </i>
    <i r="1">
      <x v="1"/>
    </i>
    <i r="1">
      <x v="2"/>
    </i>
    <i r="1">
      <x/>
    </i>
    <i t="default">
      <x v="2"/>
    </i>
    <i t="grand">
      <x/>
    </i>
  </rowItems>
  <colItems count="1">
    <i/>
  </colItems>
  <dataFields count="1">
    <dataField name="Suma de Total con IVA" fld="7" baseField="0" baseItem="0" numFmtId="8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D8C07-E87B-4B04-9AFD-719EC223E263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9:L12" firstHeaderRow="1" firstDataRow="1" firstDataCol="1" rowPageCount="1" colPageCount="1"/>
  <pivotFields count="8">
    <pivotField axis="axisRow" showAll="0">
      <items count="4">
        <item x="2"/>
        <item x="0"/>
        <item x="1"/>
        <item t="default"/>
      </items>
    </pivotField>
    <pivotField axis="axisPage" showAll="0">
      <items count="9">
        <item x="3"/>
        <item x="1"/>
        <item x="0"/>
        <item x="7"/>
        <item x="4"/>
        <item x="2"/>
        <item x="5"/>
        <item x="6"/>
        <item t="default"/>
      </items>
    </pivotField>
    <pivotField showAll="0"/>
    <pivotField showAll="0"/>
    <pivotField numFmtId="8" showAll="0"/>
    <pivotField numFmtId="8" showAll="0"/>
    <pivotField numFmtId="8" showAll="0"/>
    <pivotField dataField="1" numFmtId="8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6" hier="-1"/>
  </pageFields>
  <dataFields count="1">
    <dataField name="Suma de Total con IVA" fld="7" baseField="0" baseItem="0" numFmtId="8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C94A1-B348-407D-BC33-440D98FF15D5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6" firstHeaderRow="1" firstDataRow="1" firstDataCol="1"/>
  <pivotFields count="8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8" showAll="0"/>
    <pivotField numFmtId="8" showAll="0"/>
    <pivotField numFmtId="8" showAll="0"/>
    <pivotField dataField="1" numFmtId="8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con IVA" fld="7" baseField="0" baseItem="0" numFmtId="8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BFAF7-3B24-4FD3-A5CB-405FFF606D09}" name="Tabla1" displayName="Tabla1" ref="A1:H95" totalsRowShown="0" headerRowDxfId="7">
  <autoFilter ref="A1:H95" xr:uid="{698BFAF7-3B24-4FD3-A5CB-405FFF606D09}"/>
  <tableColumns count="8">
    <tableColumn id="1" xr3:uid="{7001EE82-430E-45AA-8FE1-7C820A55EA89}" name="Vehiculo"/>
    <tableColumn id="2" xr3:uid="{CA7B9ED1-B3C0-405B-84E0-BC32F262A9E6}" name="Sistema"/>
    <tableColumn id="3" xr3:uid="{AA2DE15D-4D4C-4DE9-9449-1F0F71C42655}" name="Parte"/>
    <tableColumn id="4" xr3:uid="{0FF4A9F4-AF74-4EE3-BC26-DC20EF3CB500}" name="Cantidad"/>
    <tableColumn id="5" xr3:uid="{C10A09C2-3CA1-4C0B-A387-9ED14FBDB6AE}" name="Precio" dataDxfId="11"/>
    <tableColumn id="6" xr3:uid="{1C575FEA-F6D7-4560-A4BA-19FF5E58BDD4}" name="Cant X Precio" dataDxfId="10">
      <calculatedColumnFormula>E2*D2</calculatedColumnFormula>
    </tableColumn>
    <tableColumn id="7" xr3:uid="{602FFF35-1647-4B9A-9FB3-7FA22F9BDFC7}" name="IVA" dataDxfId="9">
      <calculatedColumnFormula>F2*0.16</calculatedColumnFormula>
    </tableColumn>
    <tableColumn id="8" xr3:uid="{E12C64B4-8AC8-41A7-9B5A-5F56145D2C84}" name="Total con IVA" dataDxfId="8">
      <calculatedColumnFormula>G2+F2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4"/>
  <sheetViews>
    <sheetView topLeftCell="A15" workbookViewId="0">
      <selection activeCell="D67" sqref="D67:D72"/>
    </sheetView>
  </sheetViews>
  <sheetFormatPr baseColWidth="10" defaultRowHeight="15"/>
  <cols>
    <col min="2" max="2" width="16.140625" bestFit="1" customWidth="1"/>
  </cols>
  <sheetData>
    <row r="1" spans="2:4" ht="23.25">
      <c r="B1" s="15" t="s">
        <v>36</v>
      </c>
    </row>
    <row r="3" spans="2:4">
      <c r="B3" s="16" t="s">
        <v>28</v>
      </c>
    </row>
    <row r="4" spans="2:4">
      <c r="B4" s="20" t="s">
        <v>25</v>
      </c>
      <c r="C4" s="20" t="s">
        <v>26</v>
      </c>
      <c r="D4" s="20" t="s">
        <v>27</v>
      </c>
    </row>
    <row r="5" spans="2:4">
      <c r="B5" s="20" t="s">
        <v>5</v>
      </c>
      <c r="C5" s="20">
        <v>7</v>
      </c>
      <c r="D5" s="21">
        <v>503</v>
      </c>
    </row>
    <row r="6" spans="2:4">
      <c r="B6" s="20" t="s">
        <v>0</v>
      </c>
      <c r="C6" s="20">
        <v>9</v>
      </c>
      <c r="D6" s="21">
        <v>4985</v>
      </c>
    </row>
    <row r="7" spans="2:4">
      <c r="B7" s="20" t="s">
        <v>0</v>
      </c>
      <c r="C7" s="20">
        <v>8</v>
      </c>
      <c r="D7" s="21">
        <v>4985</v>
      </c>
    </row>
    <row r="8" spans="2:4">
      <c r="B8" s="20" t="s">
        <v>22</v>
      </c>
      <c r="C8" s="20">
        <v>9</v>
      </c>
      <c r="D8" s="21">
        <v>4324</v>
      </c>
    </row>
    <row r="9" spans="2:4" ht="15.75" thickBot="1">
      <c r="B9" s="18" t="s">
        <v>29</v>
      </c>
      <c r="C9" s="18">
        <v>33</v>
      </c>
      <c r="D9" s="19">
        <v>14797</v>
      </c>
    </row>
    <row r="10" spans="2:4" ht="15.75" thickTop="1"/>
    <row r="11" spans="2:4">
      <c r="B11" s="16" t="s">
        <v>30</v>
      </c>
    </row>
    <row r="12" spans="2:4">
      <c r="B12" t="s">
        <v>25</v>
      </c>
      <c r="C12" t="s">
        <v>26</v>
      </c>
      <c r="D12" t="s">
        <v>27</v>
      </c>
    </row>
    <row r="13" spans="2:4">
      <c r="B13" t="s">
        <v>19</v>
      </c>
      <c r="C13">
        <v>4</v>
      </c>
      <c r="D13" s="17">
        <v>509</v>
      </c>
    </row>
    <row r="14" spans="2:4">
      <c r="B14" t="s">
        <v>17</v>
      </c>
      <c r="C14">
        <v>3</v>
      </c>
      <c r="D14" s="17">
        <v>807</v>
      </c>
    </row>
    <row r="15" spans="2:4">
      <c r="B15" t="s">
        <v>6</v>
      </c>
      <c r="C15">
        <v>7</v>
      </c>
      <c r="D15" s="17">
        <v>637</v>
      </c>
    </row>
    <row r="16" spans="2:4">
      <c r="B16" t="s">
        <v>11</v>
      </c>
      <c r="C16">
        <v>7</v>
      </c>
      <c r="D16" s="17">
        <v>3042</v>
      </c>
    </row>
    <row r="17" spans="2:4">
      <c r="B17" t="s">
        <v>9</v>
      </c>
      <c r="C17">
        <v>10</v>
      </c>
      <c r="D17" s="17">
        <v>1981</v>
      </c>
    </row>
    <row r="18" spans="2:4" ht="15.75" thickBot="1">
      <c r="B18" s="18" t="s">
        <v>29</v>
      </c>
      <c r="C18" s="18">
        <v>31</v>
      </c>
      <c r="D18" s="19">
        <v>6976</v>
      </c>
    </row>
    <row r="19" spans="2:4" ht="15.75" thickTop="1"/>
    <row r="20" spans="2:4">
      <c r="B20" s="16" t="s">
        <v>31</v>
      </c>
    </row>
    <row r="21" spans="2:4">
      <c r="B21" t="s">
        <v>25</v>
      </c>
      <c r="C21" t="s">
        <v>26</v>
      </c>
      <c r="D21" t="s">
        <v>27</v>
      </c>
    </row>
    <row r="22" spans="2:4">
      <c r="B22" t="s">
        <v>12</v>
      </c>
      <c r="C22">
        <v>10</v>
      </c>
      <c r="D22" s="17">
        <v>803</v>
      </c>
    </row>
    <row r="23" spans="2:4">
      <c r="B23" t="s">
        <v>1</v>
      </c>
      <c r="C23">
        <v>11</v>
      </c>
      <c r="D23" s="17">
        <v>4029</v>
      </c>
    </row>
    <row r="24" spans="2:4">
      <c r="B24" t="s">
        <v>21</v>
      </c>
      <c r="C24">
        <v>8</v>
      </c>
      <c r="D24" s="17">
        <v>3254</v>
      </c>
    </row>
    <row r="25" spans="2:4">
      <c r="B25" t="s">
        <v>6</v>
      </c>
      <c r="C25">
        <v>6</v>
      </c>
      <c r="D25" s="17">
        <v>637</v>
      </c>
    </row>
    <row r="26" spans="2:4">
      <c r="B26" t="s">
        <v>3</v>
      </c>
      <c r="C26">
        <v>2</v>
      </c>
      <c r="D26" s="17">
        <v>2406</v>
      </c>
    </row>
    <row r="27" spans="2:4">
      <c r="B27" t="s">
        <v>19</v>
      </c>
      <c r="C27">
        <v>3</v>
      </c>
      <c r="D27" s="17">
        <v>509</v>
      </c>
    </row>
    <row r="28" spans="2:4">
      <c r="B28" t="s">
        <v>9</v>
      </c>
      <c r="C28">
        <v>1</v>
      </c>
      <c r="D28" s="17">
        <v>1981</v>
      </c>
    </row>
    <row r="29" spans="2:4">
      <c r="B29" t="s">
        <v>0</v>
      </c>
      <c r="C29">
        <v>2</v>
      </c>
      <c r="D29" s="17">
        <v>4985</v>
      </c>
    </row>
    <row r="30" spans="2:4">
      <c r="B30" t="s">
        <v>15</v>
      </c>
      <c r="C30">
        <v>3</v>
      </c>
      <c r="D30" s="17">
        <v>2407</v>
      </c>
    </row>
    <row r="31" spans="2:4" ht="15.75" thickBot="1">
      <c r="B31" s="18" t="s">
        <v>29</v>
      </c>
      <c r="C31" s="18">
        <v>46</v>
      </c>
      <c r="D31" s="19">
        <v>21011</v>
      </c>
    </row>
    <row r="32" spans="2:4" ht="15.75" thickTop="1"/>
    <row r="33" spans="2:4">
      <c r="B33" s="16" t="s">
        <v>32</v>
      </c>
    </row>
    <row r="34" spans="2:4">
      <c r="B34" t="s">
        <v>25</v>
      </c>
      <c r="C34" t="s">
        <v>26</v>
      </c>
      <c r="D34" t="s">
        <v>27</v>
      </c>
    </row>
    <row r="35" spans="2:4">
      <c r="B35" t="s">
        <v>18</v>
      </c>
      <c r="C35">
        <v>4</v>
      </c>
      <c r="D35" s="17">
        <v>4302</v>
      </c>
    </row>
    <row r="36" spans="2:4">
      <c r="B36" t="s">
        <v>18</v>
      </c>
      <c r="C36">
        <v>10</v>
      </c>
      <c r="D36" s="17">
        <v>4302</v>
      </c>
    </row>
    <row r="37" spans="2:4">
      <c r="B37" t="s">
        <v>9</v>
      </c>
      <c r="C37">
        <v>5</v>
      </c>
      <c r="D37" s="17">
        <v>1981</v>
      </c>
    </row>
    <row r="38" spans="2:4" ht="15.75" thickBot="1">
      <c r="B38" s="18" t="s">
        <v>29</v>
      </c>
      <c r="C38" s="18">
        <v>19</v>
      </c>
      <c r="D38" s="19">
        <v>10585</v>
      </c>
    </row>
    <row r="39" spans="2:4" ht="15.75" thickTop="1"/>
    <row r="41" spans="2:4">
      <c r="B41" s="16" t="s">
        <v>33</v>
      </c>
    </row>
    <row r="42" spans="2:4">
      <c r="B42" t="s">
        <v>25</v>
      </c>
      <c r="C42" t="s">
        <v>26</v>
      </c>
      <c r="D42" t="s">
        <v>27</v>
      </c>
    </row>
    <row r="43" spans="2:4">
      <c r="B43" t="s">
        <v>7</v>
      </c>
      <c r="C43">
        <v>9</v>
      </c>
      <c r="D43" s="17">
        <v>2420</v>
      </c>
    </row>
    <row r="44" spans="2:4">
      <c r="B44" t="s">
        <v>20</v>
      </c>
      <c r="C44">
        <v>6</v>
      </c>
      <c r="D44" s="17">
        <v>3519</v>
      </c>
    </row>
    <row r="45" spans="2:4">
      <c r="B45" t="s">
        <v>17</v>
      </c>
      <c r="C45">
        <v>9</v>
      </c>
      <c r="D45" s="17">
        <v>807</v>
      </c>
    </row>
    <row r="46" spans="2:4">
      <c r="B46" t="s">
        <v>11</v>
      </c>
      <c r="C46">
        <v>11</v>
      </c>
      <c r="D46" s="17">
        <v>3042</v>
      </c>
    </row>
    <row r="47" spans="2:4">
      <c r="B47" t="s">
        <v>2</v>
      </c>
      <c r="C47">
        <v>8</v>
      </c>
      <c r="D47" s="17">
        <v>4207</v>
      </c>
    </row>
    <row r="48" spans="2:4">
      <c r="B48" t="s">
        <v>7</v>
      </c>
      <c r="C48">
        <v>6</v>
      </c>
      <c r="D48" s="17">
        <v>2420</v>
      </c>
    </row>
    <row r="49" spans="2:4">
      <c r="B49" t="s">
        <v>2</v>
      </c>
      <c r="C49">
        <v>2</v>
      </c>
      <c r="D49" s="17">
        <v>4207</v>
      </c>
    </row>
    <row r="50" spans="2:4">
      <c r="B50" t="s">
        <v>22</v>
      </c>
      <c r="C50">
        <v>3</v>
      </c>
      <c r="D50" s="17">
        <v>4324</v>
      </c>
    </row>
    <row r="51" spans="2:4">
      <c r="B51" t="s">
        <v>3</v>
      </c>
      <c r="C51">
        <v>2</v>
      </c>
      <c r="D51" s="17">
        <v>2406</v>
      </c>
    </row>
    <row r="52" spans="2:4">
      <c r="B52" t="s">
        <v>24</v>
      </c>
      <c r="C52">
        <v>5</v>
      </c>
      <c r="D52" s="17">
        <v>3682</v>
      </c>
    </row>
    <row r="53" spans="2:4" ht="15.75" thickBot="1">
      <c r="B53" s="18" t="s">
        <v>29</v>
      </c>
      <c r="C53" s="18">
        <v>61</v>
      </c>
      <c r="D53" s="19">
        <v>31034</v>
      </c>
    </row>
    <row r="54" spans="2:4" ht="15.75" thickTop="1"/>
    <row r="56" spans="2:4">
      <c r="B56" s="16" t="s">
        <v>34</v>
      </c>
    </row>
    <row r="57" spans="2:4">
      <c r="B57" t="s">
        <v>25</v>
      </c>
      <c r="C57" t="s">
        <v>26</v>
      </c>
      <c r="D57" t="s">
        <v>27</v>
      </c>
    </row>
    <row r="58" spans="2:4">
      <c r="B58" t="s">
        <v>5</v>
      </c>
      <c r="C58">
        <v>8</v>
      </c>
      <c r="D58" s="17">
        <v>503</v>
      </c>
    </row>
    <row r="59" spans="2:4">
      <c r="B59" t="s">
        <v>16</v>
      </c>
      <c r="C59">
        <v>7</v>
      </c>
      <c r="D59" s="17">
        <v>3664</v>
      </c>
    </row>
    <row r="60" spans="2:4">
      <c r="B60" t="s">
        <v>0</v>
      </c>
      <c r="C60">
        <v>5</v>
      </c>
      <c r="D60" s="17">
        <v>4985</v>
      </c>
    </row>
    <row r="61" spans="2:4">
      <c r="B61" t="s">
        <v>18</v>
      </c>
      <c r="C61">
        <v>5</v>
      </c>
      <c r="D61" s="17">
        <v>4302</v>
      </c>
    </row>
    <row r="62" spans="2:4" ht="15.75" thickBot="1">
      <c r="B62" s="18" t="s">
        <v>29</v>
      </c>
      <c r="C62" s="18">
        <v>25</v>
      </c>
      <c r="D62" s="19">
        <v>13454</v>
      </c>
    </row>
    <row r="63" spans="2:4" ht="15.75" thickTop="1"/>
    <row r="65" spans="2:4">
      <c r="B65" s="16" t="s">
        <v>35</v>
      </c>
    </row>
    <row r="66" spans="2:4">
      <c r="B66" t="s">
        <v>25</v>
      </c>
      <c r="C66" t="s">
        <v>26</v>
      </c>
      <c r="D66" t="s">
        <v>27</v>
      </c>
    </row>
    <row r="67" spans="2:4">
      <c r="B67" t="s">
        <v>9</v>
      </c>
      <c r="C67">
        <v>11</v>
      </c>
      <c r="D67" s="17">
        <v>1981</v>
      </c>
    </row>
    <row r="68" spans="2:4">
      <c r="B68" t="s">
        <v>19</v>
      </c>
      <c r="C68">
        <v>11</v>
      </c>
      <c r="D68" s="17">
        <v>509</v>
      </c>
    </row>
    <row r="69" spans="2:4">
      <c r="B69" t="s">
        <v>8</v>
      </c>
      <c r="C69">
        <v>2</v>
      </c>
      <c r="D69" s="17">
        <v>2405</v>
      </c>
    </row>
    <row r="70" spans="2:4">
      <c r="B70" t="s">
        <v>7</v>
      </c>
      <c r="C70">
        <v>10</v>
      </c>
      <c r="D70" s="17">
        <v>2420</v>
      </c>
    </row>
    <row r="71" spans="2:4">
      <c r="B71" t="s">
        <v>16</v>
      </c>
      <c r="C71">
        <v>2</v>
      </c>
      <c r="D71" s="17">
        <v>3664</v>
      </c>
    </row>
    <row r="72" spans="2:4">
      <c r="B72" t="s">
        <v>16</v>
      </c>
      <c r="C72">
        <v>8</v>
      </c>
      <c r="D72" s="17">
        <v>3664</v>
      </c>
    </row>
    <row r="73" spans="2:4" ht="15.75" thickBot="1">
      <c r="B73" s="18" t="s">
        <v>29</v>
      </c>
      <c r="C73" s="18">
        <v>44</v>
      </c>
      <c r="D73" s="19">
        <v>14643</v>
      </c>
    </row>
    <row r="74" spans="2:4" ht="15.75" thickTop="1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9"/>
  <sheetViews>
    <sheetView topLeftCell="A25" workbookViewId="0">
      <selection activeCell="B35" sqref="B35:D37"/>
    </sheetView>
  </sheetViews>
  <sheetFormatPr baseColWidth="10" defaultRowHeight="15"/>
  <sheetData>
    <row r="1" spans="2:4" ht="23.25">
      <c r="B1" s="15" t="s">
        <v>37</v>
      </c>
    </row>
    <row r="3" spans="2:4">
      <c r="B3" s="16" t="s">
        <v>28</v>
      </c>
    </row>
    <row r="4" spans="2:4">
      <c r="B4" s="20" t="s">
        <v>25</v>
      </c>
      <c r="C4" s="20" t="s">
        <v>26</v>
      </c>
      <c r="D4" s="20" t="s">
        <v>27</v>
      </c>
    </row>
    <row r="5" spans="2:4">
      <c r="B5" s="20" t="s">
        <v>5</v>
      </c>
      <c r="C5" s="20">
        <v>9</v>
      </c>
      <c r="D5" s="21">
        <v>503</v>
      </c>
    </row>
    <row r="6" spans="2:4">
      <c r="B6" s="20" t="s">
        <v>23</v>
      </c>
      <c r="C6" s="20">
        <v>3</v>
      </c>
      <c r="D6" s="21">
        <v>562</v>
      </c>
    </row>
    <row r="7" spans="2:4">
      <c r="B7" s="20" t="s">
        <v>15</v>
      </c>
      <c r="C7" s="20">
        <v>4</v>
      </c>
      <c r="D7" s="21">
        <v>2407</v>
      </c>
    </row>
    <row r="8" spans="2:4">
      <c r="B8" s="20" t="s">
        <v>13</v>
      </c>
      <c r="C8" s="20">
        <v>4</v>
      </c>
      <c r="D8" s="21">
        <v>1133</v>
      </c>
    </row>
    <row r="9" spans="2:4" ht="15.75" thickBot="1">
      <c r="B9" s="18" t="s">
        <v>29</v>
      </c>
      <c r="C9" s="18">
        <v>20</v>
      </c>
      <c r="D9" s="19">
        <v>4605</v>
      </c>
    </row>
    <row r="10" spans="2:4" ht="15.75" thickTop="1"/>
    <row r="11" spans="2:4">
      <c r="B11" s="16" t="s">
        <v>30</v>
      </c>
    </row>
    <row r="12" spans="2:4">
      <c r="B12" t="s">
        <v>25</v>
      </c>
      <c r="C12" t="s">
        <v>26</v>
      </c>
      <c r="D12" t="s">
        <v>27</v>
      </c>
    </row>
    <row r="13" spans="2:4">
      <c r="B13" t="s">
        <v>23</v>
      </c>
      <c r="C13">
        <v>5</v>
      </c>
      <c r="D13" s="17">
        <v>562</v>
      </c>
    </row>
    <row r="14" spans="2:4">
      <c r="B14" t="s">
        <v>2</v>
      </c>
      <c r="C14">
        <v>4</v>
      </c>
      <c r="D14" s="17">
        <v>4207</v>
      </c>
    </row>
    <row r="15" spans="2:4">
      <c r="B15" t="s">
        <v>19</v>
      </c>
      <c r="C15">
        <v>6</v>
      </c>
      <c r="D15" s="17">
        <v>509</v>
      </c>
    </row>
    <row r="16" spans="2:4">
      <c r="B16" t="s">
        <v>23</v>
      </c>
      <c r="C16">
        <v>2</v>
      </c>
      <c r="D16" s="17">
        <v>562</v>
      </c>
    </row>
    <row r="17" spans="2:4">
      <c r="B17" t="s">
        <v>2</v>
      </c>
      <c r="C17">
        <v>9</v>
      </c>
      <c r="D17" s="17">
        <v>4207</v>
      </c>
    </row>
    <row r="18" spans="2:4" ht="15.75" thickBot="1">
      <c r="B18" s="18" t="s">
        <v>29</v>
      </c>
      <c r="C18" s="18">
        <v>26</v>
      </c>
      <c r="D18" s="19">
        <v>10047</v>
      </c>
    </row>
    <row r="19" spans="2:4" ht="15.75" thickTop="1"/>
    <row r="20" spans="2:4">
      <c r="B20" s="16" t="s">
        <v>31</v>
      </c>
    </row>
    <row r="21" spans="2:4">
      <c r="B21" t="s">
        <v>25</v>
      </c>
      <c r="C21" t="s">
        <v>26</v>
      </c>
      <c r="D21" t="s">
        <v>27</v>
      </c>
    </row>
    <row r="22" spans="2:4">
      <c r="B22" t="s">
        <v>6</v>
      </c>
      <c r="C22">
        <v>12</v>
      </c>
      <c r="D22" s="17">
        <v>637</v>
      </c>
    </row>
    <row r="23" spans="2:4">
      <c r="B23" t="s">
        <v>9</v>
      </c>
      <c r="C23">
        <v>8</v>
      </c>
      <c r="D23" s="17">
        <v>1981</v>
      </c>
    </row>
    <row r="24" spans="2:4">
      <c r="B24" t="s">
        <v>7</v>
      </c>
      <c r="C24">
        <v>5</v>
      </c>
      <c r="D24" s="17">
        <v>2420</v>
      </c>
    </row>
    <row r="25" spans="2:4">
      <c r="B25" t="s">
        <v>2</v>
      </c>
      <c r="C25">
        <v>8</v>
      </c>
      <c r="D25" s="17">
        <v>4207</v>
      </c>
    </row>
    <row r="26" spans="2:4">
      <c r="B26" t="s">
        <v>17</v>
      </c>
      <c r="C26">
        <v>12</v>
      </c>
      <c r="D26" s="17">
        <v>807</v>
      </c>
    </row>
    <row r="27" spans="2:4">
      <c r="B27" t="s">
        <v>5</v>
      </c>
      <c r="C27">
        <v>1</v>
      </c>
      <c r="D27" s="17">
        <v>503</v>
      </c>
    </row>
    <row r="28" spans="2:4">
      <c r="B28" t="s">
        <v>2</v>
      </c>
      <c r="C28">
        <v>7</v>
      </c>
      <c r="D28" s="17">
        <v>4207</v>
      </c>
    </row>
    <row r="29" spans="2:4">
      <c r="B29" t="s">
        <v>16</v>
      </c>
      <c r="C29">
        <v>7</v>
      </c>
      <c r="D29" s="17">
        <v>3664</v>
      </c>
    </row>
    <row r="30" spans="2:4">
      <c r="B30" t="s">
        <v>0</v>
      </c>
      <c r="C30">
        <v>2</v>
      </c>
      <c r="D30" s="17">
        <v>4985</v>
      </c>
    </row>
    <row r="31" spans="2:4" ht="15.75" thickBot="1">
      <c r="B31" s="18" t="s">
        <v>29</v>
      </c>
      <c r="C31" s="18">
        <v>62</v>
      </c>
      <c r="D31" s="19">
        <v>23411</v>
      </c>
    </row>
    <row r="32" spans="2:4" ht="15.75" thickTop="1"/>
    <row r="33" spans="2:4">
      <c r="B33" s="16" t="s">
        <v>32</v>
      </c>
    </row>
    <row r="34" spans="2:4">
      <c r="B34" t="s">
        <v>25</v>
      </c>
      <c r="C34" t="s">
        <v>26</v>
      </c>
      <c r="D34" t="s">
        <v>27</v>
      </c>
    </row>
    <row r="35" spans="2:4">
      <c r="B35" t="s">
        <v>19</v>
      </c>
      <c r="C35">
        <v>5</v>
      </c>
      <c r="D35" s="17">
        <v>509</v>
      </c>
    </row>
    <row r="36" spans="2:4">
      <c r="B36" t="s">
        <v>4</v>
      </c>
      <c r="C36">
        <v>6</v>
      </c>
      <c r="D36" s="17">
        <v>1188</v>
      </c>
    </row>
    <row r="37" spans="2:4">
      <c r="B37" t="s">
        <v>5</v>
      </c>
      <c r="C37">
        <v>4</v>
      </c>
      <c r="D37" s="17">
        <v>503</v>
      </c>
    </row>
    <row r="38" spans="2:4" ht="15.75" thickBot="1">
      <c r="B38" s="18" t="s">
        <v>29</v>
      </c>
      <c r="C38" s="18">
        <v>15</v>
      </c>
      <c r="D38" s="19">
        <v>2200</v>
      </c>
    </row>
    <row r="39" spans="2:4" ht="15.7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8"/>
  <sheetViews>
    <sheetView topLeftCell="A45" workbookViewId="0">
      <selection activeCell="B51" sqref="B51:D56"/>
    </sheetView>
  </sheetViews>
  <sheetFormatPr baseColWidth="10" defaultRowHeight="15"/>
  <cols>
    <col min="2" max="2" width="13" customWidth="1"/>
    <col min="5" max="6" width="12.7109375" bestFit="1" customWidth="1"/>
  </cols>
  <sheetData>
    <row r="1" spans="2:7" ht="23.25">
      <c r="B1" s="15" t="s">
        <v>38</v>
      </c>
    </row>
    <row r="4" spans="2:7">
      <c r="B4" s="16" t="s">
        <v>31</v>
      </c>
    </row>
    <row r="5" spans="2:7">
      <c r="B5" t="s">
        <v>25</v>
      </c>
      <c r="C5" t="s">
        <v>26</v>
      </c>
      <c r="D5" t="s">
        <v>27</v>
      </c>
    </row>
    <row r="6" spans="2:7">
      <c r="B6" t="s">
        <v>22</v>
      </c>
      <c r="C6">
        <v>1</v>
      </c>
      <c r="D6" s="17">
        <v>4324</v>
      </c>
      <c r="E6" s="17"/>
    </row>
    <row r="7" spans="2:7">
      <c r="B7" t="s">
        <v>10</v>
      </c>
      <c r="C7">
        <v>10</v>
      </c>
      <c r="D7" s="17">
        <v>793</v>
      </c>
      <c r="E7" s="17"/>
    </row>
    <row r="8" spans="2:7">
      <c r="B8" t="s">
        <v>21</v>
      </c>
      <c r="C8">
        <v>3</v>
      </c>
      <c r="D8" s="17">
        <v>3254</v>
      </c>
      <c r="E8" s="17"/>
    </row>
    <row r="9" spans="2:7">
      <c r="B9" t="s">
        <v>12</v>
      </c>
      <c r="C9">
        <v>7</v>
      </c>
      <c r="D9" s="17">
        <v>803</v>
      </c>
      <c r="E9" s="17"/>
    </row>
    <row r="10" spans="2:7">
      <c r="B10" t="s">
        <v>15</v>
      </c>
      <c r="C10">
        <v>1</v>
      </c>
      <c r="D10" s="17">
        <v>2407</v>
      </c>
      <c r="E10" s="17"/>
    </row>
    <row r="11" spans="2:7">
      <c r="B11" t="s">
        <v>4</v>
      </c>
      <c r="C11">
        <v>10</v>
      </c>
      <c r="D11" s="17">
        <v>1188</v>
      </c>
      <c r="E11" s="17"/>
    </row>
    <row r="12" spans="2:7">
      <c r="B12" t="s">
        <v>7</v>
      </c>
      <c r="C12">
        <v>4</v>
      </c>
      <c r="D12" s="17">
        <v>2420</v>
      </c>
      <c r="E12" s="17"/>
    </row>
    <row r="13" spans="2:7">
      <c r="B13" t="s">
        <v>0</v>
      </c>
      <c r="C13">
        <v>1</v>
      </c>
      <c r="D13" s="17">
        <v>4985</v>
      </c>
      <c r="E13" s="17"/>
    </row>
    <row r="14" spans="2:7">
      <c r="B14" t="s">
        <v>19</v>
      </c>
      <c r="C14">
        <v>12</v>
      </c>
      <c r="D14" s="17">
        <v>509</v>
      </c>
      <c r="E14" s="17"/>
    </row>
    <row r="15" spans="2:7" ht="15.75" thickBot="1">
      <c r="B15" s="18" t="s">
        <v>29</v>
      </c>
      <c r="C15" s="18">
        <v>49</v>
      </c>
      <c r="D15" s="19">
        <v>20683</v>
      </c>
      <c r="E15" s="17"/>
      <c r="F15" s="17">
        <f>D15+D22+D37+D57+D46</f>
        <v>81427</v>
      </c>
      <c r="G15" s="23">
        <f>F15*1.16</f>
        <v>94455.319999999992</v>
      </c>
    </row>
    <row r="16" spans="2:7" ht="15.75" thickTop="1"/>
    <row r="17" spans="2:4">
      <c r="B17" s="16" t="s">
        <v>32</v>
      </c>
    </row>
    <row r="18" spans="2:4">
      <c r="B18" t="s">
        <v>25</v>
      </c>
      <c r="C18" t="s">
        <v>26</v>
      </c>
      <c r="D18" t="s">
        <v>27</v>
      </c>
    </row>
    <row r="19" spans="2:4">
      <c r="B19" t="s">
        <v>12</v>
      </c>
      <c r="C19">
        <v>2</v>
      </c>
      <c r="D19" s="17">
        <v>803</v>
      </c>
    </row>
    <row r="20" spans="2:4">
      <c r="B20" t="s">
        <v>6</v>
      </c>
      <c r="C20">
        <v>1</v>
      </c>
      <c r="D20" s="17">
        <v>637</v>
      </c>
    </row>
    <row r="21" spans="2:4">
      <c r="B21" t="s">
        <v>3</v>
      </c>
      <c r="C21">
        <v>4</v>
      </c>
      <c r="D21" s="17">
        <v>2406</v>
      </c>
    </row>
    <row r="22" spans="2:4" ht="15.75" thickBot="1">
      <c r="B22" s="18" t="s">
        <v>29</v>
      </c>
      <c r="C22" s="18">
        <v>7</v>
      </c>
      <c r="D22" s="19">
        <v>3846</v>
      </c>
    </row>
    <row r="23" spans="2:4" ht="15.75" thickTop="1"/>
    <row r="25" spans="2:4">
      <c r="B25" s="16" t="s">
        <v>33</v>
      </c>
    </row>
    <row r="26" spans="2:4">
      <c r="B26" t="s">
        <v>25</v>
      </c>
      <c r="C26" t="s">
        <v>26</v>
      </c>
      <c r="D26" t="s">
        <v>27</v>
      </c>
    </row>
    <row r="27" spans="2:4">
      <c r="B27" t="s">
        <v>13</v>
      </c>
      <c r="C27">
        <v>8</v>
      </c>
      <c r="D27" s="17">
        <v>1133</v>
      </c>
    </row>
    <row r="28" spans="2:4">
      <c r="B28" t="s">
        <v>18</v>
      </c>
      <c r="C28">
        <v>6</v>
      </c>
      <c r="D28" s="17">
        <v>4302</v>
      </c>
    </row>
    <row r="29" spans="2:4">
      <c r="B29" t="s">
        <v>3</v>
      </c>
      <c r="C29">
        <v>5</v>
      </c>
      <c r="D29" s="17">
        <v>2406</v>
      </c>
    </row>
    <row r="30" spans="2:4">
      <c r="B30" t="s">
        <v>14</v>
      </c>
      <c r="C30">
        <v>3</v>
      </c>
      <c r="D30" s="17">
        <v>4954</v>
      </c>
    </row>
    <row r="31" spans="2:4">
      <c r="B31" t="s">
        <v>21</v>
      </c>
      <c r="C31">
        <v>7</v>
      </c>
      <c r="D31" s="17">
        <v>3254</v>
      </c>
    </row>
    <row r="32" spans="2:4">
      <c r="B32" t="s">
        <v>20</v>
      </c>
      <c r="C32">
        <v>6</v>
      </c>
      <c r="D32" s="17">
        <v>3519</v>
      </c>
    </row>
    <row r="33" spans="2:4">
      <c r="B33" t="s">
        <v>16</v>
      </c>
      <c r="C33">
        <v>12</v>
      </c>
      <c r="D33" s="17">
        <v>3664</v>
      </c>
    </row>
    <row r="34" spans="2:4">
      <c r="B34" t="s">
        <v>20</v>
      </c>
      <c r="C34">
        <v>10</v>
      </c>
      <c r="D34" s="17">
        <v>3519</v>
      </c>
    </row>
    <row r="35" spans="2:4">
      <c r="B35" t="s">
        <v>23</v>
      </c>
      <c r="C35">
        <v>5</v>
      </c>
      <c r="D35" s="17">
        <v>562</v>
      </c>
    </row>
    <row r="36" spans="2:4">
      <c r="B36" t="s">
        <v>23</v>
      </c>
      <c r="C36">
        <v>1</v>
      </c>
      <c r="D36" s="17">
        <v>562</v>
      </c>
    </row>
    <row r="37" spans="2:4" ht="15.75" thickBot="1">
      <c r="B37" s="18" t="s">
        <v>29</v>
      </c>
      <c r="C37" s="18">
        <v>63</v>
      </c>
      <c r="D37" s="19">
        <v>27875</v>
      </c>
    </row>
    <row r="38" spans="2:4" ht="15.75" thickTop="1"/>
    <row r="40" spans="2:4">
      <c r="B40" s="16" t="s">
        <v>34</v>
      </c>
    </row>
    <row r="41" spans="2:4">
      <c r="B41" t="s">
        <v>25</v>
      </c>
      <c r="C41" t="s">
        <v>26</v>
      </c>
      <c r="D41" t="s">
        <v>27</v>
      </c>
    </row>
    <row r="42" spans="2:4">
      <c r="B42" t="s">
        <v>15</v>
      </c>
      <c r="C42">
        <v>6</v>
      </c>
      <c r="D42" s="17">
        <v>2407</v>
      </c>
    </row>
    <row r="43" spans="2:4">
      <c r="B43" t="s">
        <v>0</v>
      </c>
      <c r="C43">
        <v>3</v>
      </c>
      <c r="D43" s="17">
        <v>4985</v>
      </c>
    </row>
    <row r="44" spans="2:4">
      <c r="B44" t="s">
        <v>16</v>
      </c>
      <c r="C44">
        <v>8</v>
      </c>
      <c r="D44" s="17">
        <v>3664</v>
      </c>
    </row>
    <row r="45" spans="2:4">
      <c r="B45" t="s">
        <v>6</v>
      </c>
      <c r="C45">
        <v>5</v>
      </c>
      <c r="D45" s="17">
        <v>637</v>
      </c>
    </row>
    <row r="46" spans="2:4" ht="15.75" thickBot="1">
      <c r="B46" s="18" t="s">
        <v>29</v>
      </c>
      <c r="C46" s="18">
        <v>22</v>
      </c>
      <c r="D46" s="19">
        <v>11693</v>
      </c>
    </row>
    <row r="47" spans="2:4" ht="15.75" thickTop="1"/>
    <row r="49" spans="2:4">
      <c r="B49" s="16" t="s">
        <v>35</v>
      </c>
    </row>
    <row r="50" spans="2:4">
      <c r="B50" t="s">
        <v>25</v>
      </c>
      <c r="C50" t="s">
        <v>26</v>
      </c>
      <c r="D50" t="s">
        <v>27</v>
      </c>
    </row>
    <row r="51" spans="2:4">
      <c r="B51" t="s">
        <v>22</v>
      </c>
      <c r="C51">
        <v>3</v>
      </c>
      <c r="D51" s="17">
        <v>4324</v>
      </c>
    </row>
    <row r="52" spans="2:4">
      <c r="B52" t="s">
        <v>0</v>
      </c>
      <c r="C52">
        <v>10</v>
      </c>
      <c r="D52" s="17">
        <v>4985</v>
      </c>
    </row>
    <row r="53" spans="2:4">
      <c r="B53" t="s">
        <v>4</v>
      </c>
      <c r="C53">
        <v>8</v>
      </c>
      <c r="D53" s="17">
        <v>1188</v>
      </c>
    </row>
    <row r="54" spans="2:4">
      <c r="B54" t="s">
        <v>4</v>
      </c>
      <c r="C54">
        <v>9</v>
      </c>
      <c r="D54" s="17">
        <v>1188</v>
      </c>
    </row>
    <row r="55" spans="2:4">
      <c r="B55" t="s">
        <v>9</v>
      </c>
      <c r="C55">
        <v>6</v>
      </c>
      <c r="D55" s="17">
        <v>1981</v>
      </c>
    </row>
    <row r="56" spans="2:4">
      <c r="B56" t="s">
        <v>16</v>
      </c>
      <c r="C56">
        <v>4</v>
      </c>
      <c r="D56" s="17">
        <v>3664</v>
      </c>
    </row>
    <row r="57" spans="2:4" ht="15.75" thickBot="1">
      <c r="B57" s="18" t="s">
        <v>29</v>
      </c>
      <c r="C57" s="18">
        <v>40</v>
      </c>
      <c r="D57" s="19">
        <v>17330</v>
      </c>
    </row>
    <row r="58" spans="2:4" ht="15.75" thickTop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2C48-C532-4437-9D74-59B01CE1A9CB}">
  <dimension ref="A1:M116"/>
  <sheetViews>
    <sheetView topLeftCell="C98" workbookViewId="0">
      <selection activeCell="L91" sqref="L91:L116"/>
    </sheetView>
  </sheetViews>
  <sheetFormatPr baseColWidth="10" defaultRowHeight="15"/>
  <cols>
    <col min="1" max="1" width="12.140625" bestFit="1" customWidth="1"/>
    <col min="2" max="2" width="22.42578125" bestFit="1" customWidth="1"/>
    <col min="5" max="5" width="11.42578125" style="17"/>
    <col min="6" max="6" width="14.7109375" customWidth="1"/>
    <col min="8" max="8" width="14.7109375" customWidth="1"/>
    <col min="11" max="11" width="17.5703125" bestFit="1" customWidth="1"/>
    <col min="12" max="12" width="20.7109375" bestFit="1" customWidth="1"/>
    <col min="13" max="13" width="12.140625" bestFit="1" customWidth="1"/>
  </cols>
  <sheetData>
    <row r="1" spans="1:13" s="8" customFormat="1">
      <c r="A1" s="8" t="s">
        <v>63</v>
      </c>
      <c r="B1" s="8" t="s">
        <v>54</v>
      </c>
      <c r="C1" s="8" t="s">
        <v>25</v>
      </c>
      <c r="D1" s="8" t="s">
        <v>26</v>
      </c>
      <c r="E1" s="26" t="s">
        <v>27</v>
      </c>
      <c r="F1" s="8" t="s">
        <v>64</v>
      </c>
      <c r="G1" s="8" t="s">
        <v>65</v>
      </c>
      <c r="H1" s="8" t="s">
        <v>66</v>
      </c>
    </row>
    <row r="2" spans="1:13">
      <c r="A2" t="s">
        <v>36</v>
      </c>
      <c r="B2" t="s">
        <v>67</v>
      </c>
      <c r="C2" s="24" t="s">
        <v>5</v>
      </c>
      <c r="D2">
        <v>7</v>
      </c>
      <c r="E2" s="17">
        <v>503</v>
      </c>
      <c r="F2" s="17">
        <f>E2*D2</f>
        <v>3521</v>
      </c>
      <c r="G2" s="17">
        <f>F2*0.16</f>
        <v>563.36</v>
      </c>
      <c r="H2" s="17">
        <f>G2+F2</f>
        <v>4084.36</v>
      </c>
      <c r="K2" s="27" t="s">
        <v>73</v>
      </c>
      <c r="L2" t="s">
        <v>75</v>
      </c>
    </row>
    <row r="3" spans="1:13">
      <c r="A3" t="s">
        <v>36</v>
      </c>
      <c r="B3" t="s">
        <v>67</v>
      </c>
      <c r="C3" s="24" t="s">
        <v>0</v>
      </c>
      <c r="D3">
        <v>9</v>
      </c>
      <c r="E3" s="17">
        <v>4985</v>
      </c>
      <c r="F3" s="17">
        <f t="shared" ref="F3:F42" si="0">E3*D3</f>
        <v>44865</v>
      </c>
      <c r="G3" s="17">
        <f t="shared" ref="G3:G66" si="1">F3*0.16</f>
        <v>7178.4000000000005</v>
      </c>
      <c r="H3" s="17">
        <f t="shared" ref="H3:H42" si="2">G3+F3</f>
        <v>52043.4</v>
      </c>
      <c r="K3" s="28" t="s">
        <v>72</v>
      </c>
      <c r="L3" s="17">
        <v>503681.27999999997</v>
      </c>
    </row>
    <row r="4" spans="1:13">
      <c r="A4" t="s">
        <v>36</v>
      </c>
      <c r="B4" t="s">
        <v>67</v>
      </c>
      <c r="C4" s="24" t="s">
        <v>0</v>
      </c>
      <c r="D4">
        <v>8</v>
      </c>
      <c r="E4" s="17">
        <v>4985</v>
      </c>
      <c r="F4" s="17">
        <f t="shared" si="0"/>
        <v>39880</v>
      </c>
      <c r="G4" s="17">
        <f t="shared" si="1"/>
        <v>6380.8</v>
      </c>
      <c r="H4" s="17">
        <f t="shared" si="2"/>
        <v>46260.800000000003</v>
      </c>
      <c r="K4" s="28" t="s">
        <v>36</v>
      </c>
      <c r="L4" s="17">
        <v>812694.84</v>
      </c>
    </row>
    <row r="5" spans="1:13">
      <c r="A5" t="s">
        <v>36</v>
      </c>
      <c r="B5" t="s">
        <v>67</v>
      </c>
      <c r="C5" s="24" t="s">
        <v>22</v>
      </c>
      <c r="D5">
        <v>9</v>
      </c>
      <c r="E5" s="17">
        <v>4324</v>
      </c>
      <c r="F5" s="17">
        <f t="shared" si="0"/>
        <v>38916</v>
      </c>
      <c r="G5" s="17">
        <f t="shared" si="1"/>
        <v>6226.56</v>
      </c>
      <c r="H5" s="17">
        <f t="shared" si="2"/>
        <v>45142.559999999998</v>
      </c>
      <c r="K5" s="28" t="s">
        <v>37</v>
      </c>
      <c r="L5" s="17">
        <v>276357.23999999993</v>
      </c>
    </row>
    <row r="6" spans="1:13">
      <c r="A6" t="s">
        <v>36</v>
      </c>
      <c r="B6" t="s">
        <v>68</v>
      </c>
      <c r="C6" t="s">
        <v>19</v>
      </c>
      <c r="D6">
        <v>4</v>
      </c>
      <c r="E6" s="17">
        <v>509</v>
      </c>
      <c r="F6" s="17">
        <f t="shared" si="0"/>
        <v>2036</v>
      </c>
      <c r="G6" s="17">
        <f t="shared" si="1"/>
        <v>325.76</v>
      </c>
      <c r="H6" s="17">
        <f t="shared" si="2"/>
        <v>2361.7600000000002</v>
      </c>
      <c r="K6" s="28" t="s">
        <v>74</v>
      </c>
      <c r="L6" s="17">
        <v>1592733.3599999999</v>
      </c>
    </row>
    <row r="7" spans="1:13">
      <c r="A7" t="s">
        <v>36</v>
      </c>
      <c r="B7" t="s">
        <v>68</v>
      </c>
      <c r="C7" t="s">
        <v>17</v>
      </c>
      <c r="D7">
        <v>3</v>
      </c>
      <c r="E7" s="17">
        <v>807</v>
      </c>
      <c r="F7" s="17">
        <f t="shared" si="0"/>
        <v>2421</v>
      </c>
      <c r="G7" s="17">
        <f t="shared" si="1"/>
        <v>387.36</v>
      </c>
      <c r="H7" s="17">
        <f t="shared" si="2"/>
        <v>2808.36</v>
      </c>
      <c r="K7" s="27" t="s">
        <v>54</v>
      </c>
      <c r="L7" t="s">
        <v>71</v>
      </c>
    </row>
    <row r="8" spans="1:13">
      <c r="A8" t="s">
        <v>36</v>
      </c>
      <c r="B8" t="s">
        <v>68</v>
      </c>
      <c r="C8" t="s">
        <v>6</v>
      </c>
      <c r="D8">
        <v>7</v>
      </c>
      <c r="E8" s="17">
        <v>637</v>
      </c>
      <c r="F8" s="17">
        <f t="shared" si="0"/>
        <v>4459</v>
      </c>
      <c r="G8" s="17">
        <f t="shared" si="1"/>
        <v>713.44</v>
      </c>
      <c r="H8" s="17">
        <f t="shared" si="2"/>
        <v>5172.4400000000005</v>
      </c>
    </row>
    <row r="9" spans="1:13">
      <c r="A9" t="s">
        <v>36</v>
      </c>
      <c r="B9" t="s">
        <v>68</v>
      </c>
      <c r="C9" t="s">
        <v>11</v>
      </c>
      <c r="D9">
        <v>7</v>
      </c>
      <c r="E9" s="17">
        <v>3042</v>
      </c>
      <c r="F9" s="17">
        <f t="shared" si="0"/>
        <v>21294</v>
      </c>
      <c r="G9" s="17">
        <f t="shared" si="1"/>
        <v>3407.04</v>
      </c>
      <c r="H9" s="17">
        <f t="shared" si="2"/>
        <v>24701.040000000001</v>
      </c>
      <c r="K9" s="27" t="s">
        <v>73</v>
      </c>
      <c r="L9" t="s">
        <v>75</v>
      </c>
    </row>
    <row r="10" spans="1:13">
      <c r="A10" t="s">
        <v>36</v>
      </c>
      <c r="B10" t="s">
        <v>68</v>
      </c>
      <c r="C10" t="s">
        <v>9</v>
      </c>
      <c r="D10">
        <v>10</v>
      </c>
      <c r="E10" s="17">
        <v>1981</v>
      </c>
      <c r="F10" s="17">
        <f t="shared" si="0"/>
        <v>19810</v>
      </c>
      <c r="G10" s="17">
        <f t="shared" si="1"/>
        <v>3169.6</v>
      </c>
      <c r="H10" s="17">
        <f t="shared" si="2"/>
        <v>22979.599999999999</v>
      </c>
      <c r="K10" s="28" t="s">
        <v>72</v>
      </c>
      <c r="L10" s="17">
        <v>71797.039999999994</v>
      </c>
    </row>
    <row r="11" spans="1:13">
      <c r="A11" t="s">
        <v>36</v>
      </c>
      <c r="B11" t="s">
        <v>69</v>
      </c>
      <c r="C11" t="s">
        <v>12</v>
      </c>
      <c r="D11">
        <v>10</v>
      </c>
      <c r="E11" s="17">
        <v>803</v>
      </c>
      <c r="F11" s="17">
        <f t="shared" si="0"/>
        <v>8030</v>
      </c>
      <c r="G11" s="17">
        <f t="shared" si="1"/>
        <v>1284.8</v>
      </c>
      <c r="H11" s="17">
        <f t="shared" si="2"/>
        <v>9314.7999999999993</v>
      </c>
      <c r="K11" s="28" t="s">
        <v>36</v>
      </c>
      <c r="L11" s="17">
        <v>88284.12</v>
      </c>
    </row>
    <row r="12" spans="1:13">
      <c r="A12" t="s">
        <v>36</v>
      </c>
      <c r="B12" t="s">
        <v>69</v>
      </c>
      <c r="C12" t="s">
        <v>1</v>
      </c>
      <c r="D12">
        <v>11</v>
      </c>
      <c r="E12" s="17">
        <v>4029</v>
      </c>
      <c r="F12" s="17">
        <f t="shared" si="0"/>
        <v>44319</v>
      </c>
      <c r="G12" s="17">
        <f t="shared" si="1"/>
        <v>7091.04</v>
      </c>
      <c r="H12" s="17">
        <f t="shared" si="2"/>
        <v>51410.04</v>
      </c>
      <c r="K12" s="28" t="s">
        <v>74</v>
      </c>
      <c r="L12" s="17">
        <v>160081.15999999997</v>
      </c>
    </row>
    <row r="13" spans="1:13">
      <c r="A13" t="s">
        <v>36</v>
      </c>
      <c r="B13" t="s">
        <v>69</v>
      </c>
      <c r="C13" t="s">
        <v>21</v>
      </c>
      <c r="D13">
        <v>8</v>
      </c>
      <c r="E13" s="17">
        <v>3254</v>
      </c>
      <c r="F13" s="17">
        <f t="shared" si="0"/>
        <v>26032</v>
      </c>
      <c r="G13" s="17">
        <f t="shared" si="1"/>
        <v>4165.12</v>
      </c>
      <c r="H13" s="17">
        <f t="shared" si="2"/>
        <v>30197.119999999999</v>
      </c>
    </row>
    <row r="14" spans="1:13">
      <c r="A14" t="s">
        <v>36</v>
      </c>
      <c r="B14" t="s">
        <v>69</v>
      </c>
      <c r="C14" t="s">
        <v>6</v>
      </c>
      <c r="D14">
        <v>6</v>
      </c>
      <c r="E14" s="17">
        <v>637</v>
      </c>
      <c r="F14" s="17">
        <f t="shared" si="0"/>
        <v>3822</v>
      </c>
      <c r="G14" s="17">
        <f t="shared" si="1"/>
        <v>611.52</v>
      </c>
      <c r="H14" s="17">
        <f t="shared" si="2"/>
        <v>4433.5200000000004</v>
      </c>
    </row>
    <row r="15" spans="1:13">
      <c r="A15" t="s">
        <v>36</v>
      </c>
      <c r="B15" t="s">
        <v>69</v>
      </c>
      <c r="C15" t="s">
        <v>3</v>
      </c>
      <c r="D15">
        <v>2</v>
      </c>
      <c r="E15" s="17">
        <v>2406</v>
      </c>
      <c r="F15" s="17">
        <f t="shared" si="0"/>
        <v>4812</v>
      </c>
      <c r="G15" s="17">
        <f t="shared" si="1"/>
        <v>769.92000000000007</v>
      </c>
      <c r="H15" s="17">
        <f t="shared" si="2"/>
        <v>5581.92</v>
      </c>
      <c r="K15" s="27" t="s">
        <v>63</v>
      </c>
      <c r="L15" s="27" t="s">
        <v>54</v>
      </c>
      <c r="M15" t="s">
        <v>75</v>
      </c>
    </row>
    <row r="16" spans="1:13">
      <c r="A16" t="s">
        <v>36</v>
      </c>
      <c r="B16" t="s">
        <v>69</v>
      </c>
      <c r="C16" t="s">
        <v>19</v>
      </c>
      <c r="D16">
        <v>3</v>
      </c>
      <c r="E16" s="17">
        <v>509</v>
      </c>
      <c r="F16" s="17">
        <f t="shared" si="0"/>
        <v>1527</v>
      </c>
      <c r="G16" s="17">
        <f t="shared" si="1"/>
        <v>244.32</v>
      </c>
      <c r="H16" s="17">
        <f t="shared" si="2"/>
        <v>1771.32</v>
      </c>
      <c r="K16" t="s">
        <v>72</v>
      </c>
      <c r="L16" t="s">
        <v>70</v>
      </c>
      <c r="M16" s="17">
        <v>218300.4</v>
      </c>
    </row>
    <row r="17" spans="1:13">
      <c r="A17" t="s">
        <v>36</v>
      </c>
      <c r="B17" t="s">
        <v>69</v>
      </c>
      <c r="C17" t="s">
        <v>9</v>
      </c>
      <c r="D17">
        <v>1</v>
      </c>
      <c r="E17" s="17">
        <v>1981</v>
      </c>
      <c r="F17" s="17">
        <f t="shared" si="0"/>
        <v>1981</v>
      </c>
      <c r="G17" s="17">
        <f t="shared" si="1"/>
        <v>316.95999999999998</v>
      </c>
      <c r="H17" s="17">
        <f t="shared" si="2"/>
        <v>2297.96</v>
      </c>
      <c r="L17" t="s">
        <v>35</v>
      </c>
      <c r="M17" s="17">
        <v>127089.60000000001</v>
      </c>
    </row>
    <row r="18" spans="1:13">
      <c r="A18" t="s">
        <v>36</v>
      </c>
      <c r="B18" t="s">
        <v>69</v>
      </c>
      <c r="C18" t="s">
        <v>0</v>
      </c>
      <c r="D18">
        <v>2</v>
      </c>
      <c r="E18" s="17">
        <v>4985</v>
      </c>
      <c r="F18" s="17">
        <f t="shared" si="0"/>
        <v>9970</v>
      </c>
      <c r="G18" s="17">
        <f t="shared" si="1"/>
        <v>1595.2</v>
      </c>
      <c r="H18" s="17">
        <f t="shared" si="2"/>
        <v>11565.2</v>
      </c>
      <c r="L18" t="s">
        <v>31</v>
      </c>
      <c r="M18" s="17">
        <v>72728.52</v>
      </c>
    </row>
    <row r="19" spans="1:13">
      <c r="A19" t="s">
        <v>36</v>
      </c>
      <c r="B19" t="s">
        <v>69</v>
      </c>
      <c r="C19" t="s">
        <v>15</v>
      </c>
      <c r="D19">
        <v>3</v>
      </c>
      <c r="E19" s="17">
        <v>2407</v>
      </c>
      <c r="F19" s="17">
        <f t="shared" si="0"/>
        <v>7221</v>
      </c>
      <c r="G19" s="17">
        <f t="shared" si="1"/>
        <v>1155.3600000000001</v>
      </c>
      <c r="H19" s="17">
        <f t="shared" si="2"/>
        <v>8376.36</v>
      </c>
      <c r="L19" t="s">
        <v>71</v>
      </c>
      <c r="M19" s="17">
        <v>71797.040000000008</v>
      </c>
    </row>
    <row r="20" spans="1:13">
      <c r="A20" t="s">
        <v>36</v>
      </c>
      <c r="B20" t="s">
        <v>32</v>
      </c>
      <c r="C20" t="s">
        <v>18</v>
      </c>
      <c r="D20">
        <v>4</v>
      </c>
      <c r="E20" s="17">
        <v>4302</v>
      </c>
      <c r="F20" s="17">
        <f t="shared" si="0"/>
        <v>17208</v>
      </c>
      <c r="G20" s="17">
        <f t="shared" si="1"/>
        <v>2753.28</v>
      </c>
      <c r="H20" s="17">
        <f t="shared" si="2"/>
        <v>19961.28</v>
      </c>
      <c r="L20" t="s">
        <v>32</v>
      </c>
      <c r="M20" s="17">
        <v>13765.720000000001</v>
      </c>
    </row>
    <row r="21" spans="1:13">
      <c r="A21" t="s">
        <v>36</v>
      </c>
      <c r="B21" t="s">
        <v>32</v>
      </c>
      <c r="C21" t="s">
        <v>18</v>
      </c>
      <c r="D21">
        <v>10</v>
      </c>
      <c r="E21" s="17">
        <v>4302</v>
      </c>
      <c r="F21" s="17">
        <f t="shared" si="0"/>
        <v>43020</v>
      </c>
      <c r="G21" s="17">
        <f t="shared" si="1"/>
        <v>6883.2</v>
      </c>
      <c r="H21" s="17">
        <f t="shared" si="2"/>
        <v>49903.199999999997</v>
      </c>
      <c r="K21" t="s">
        <v>76</v>
      </c>
      <c r="M21" s="17">
        <v>503681.28000000003</v>
      </c>
    </row>
    <row r="22" spans="1:13">
      <c r="A22" t="s">
        <v>36</v>
      </c>
      <c r="B22" t="s">
        <v>32</v>
      </c>
      <c r="C22" t="s">
        <v>9</v>
      </c>
      <c r="D22">
        <v>5</v>
      </c>
      <c r="E22" s="17">
        <v>1981</v>
      </c>
      <c r="F22" s="17">
        <f t="shared" si="0"/>
        <v>9905</v>
      </c>
      <c r="G22" s="17">
        <f t="shared" si="1"/>
        <v>1584.8</v>
      </c>
      <c r="H22" s="17">
        <f t="shared" si="2"/>
        <v>11489.8</v>
      </c>
      <c r="K22" t="s">
        <v>36</v>
      </c>
      <c r="L22" t="s">
        <v>70</v>
      </c>
      <c r="M22" s="17">
        <v>204627.48</v>
      </c>
    </row>
    <row r="23" spans="1:13">
      <c r="A23" t="s">
        <v>36</v>
      </c>
      <c r="B23" t="s">
        <v>70</v>
      </c>
      <c r="C23" t="s">
        <v>7</v>
      </c>
      <c r="D23">
        <v>9</v>
      </c>
      <c r="E23" s="17">
        <v>2420</v>
      </c>
      <c r="F23" s="17">
        <f t="shared" si="0"/>
        <v>21780</v>
      </c>
      <c r="G23" s="17">
        <f t="shared" si="1"/>
        <v>3484.8</v>
      </c>
      <c r="H23" s="17">
        <f t="shared" si="2"/>
        <v>25264.799999999999</v>
      </c>
      <c r="L23" t="s">
        <v>67</v>
      </c>
      <c r="M23" s="17">
        <v>147531.12</v>
      </c>
    </row>
    <row r="24" spans="1:13">
      <c r="A24" t="s">
        <v>36</v>
      </c>
      <c r="B24" t="s">
        <v>70</v>
      </c>
      <c r="C24" t="s">
        <v>20</v>
      </c>
      <c r="D24">
        <v>6</v>
      </c>
      <c r="E24" s="17">
        <v>3519</v>
      </c>
      <c r="F24" s="17">
        <f t="shared" si="0"/>
        <v>21114</v>
      </c>
      <c r="G24" s="17">
        <f t="shared" si="1"/>
        <v>3378.2400000000002</v>
      </c>
      <c r="H24" s="17">
        <f t="shared" si="2"/>
        <v>24492.240000000002</v>
      </c>
      <c r="L24" t="s">
        <v>69</v>
      </c>
      <c r="M24" s="17">
        <v>124948.24</v>
      </c>
    </row>
    <row r="25" spans="1:13">
      <c r="A25" t="s">
        <v>36</v>
      </c>
      <c r="B25" t="s">
        <v>70</v>
      </c>
      <c r="C25" t="s">
        <v>17</v>
      </c>
      <c r="D25">
        <v>9</v>
      </c>
      <c r="E25" s="17">
        <v>807</v>
      </c>
      <c r="F25" s="17">
        <f t="shared" si="0"/>
        <v>7263</v>
      </c>
      <c r="G25" s="17">
        <f t="shared" si="1"/>
        <v>1162.08</v>
      </c>
      <c r="H25" s="17">
        <f t="shared" si="2"/>
        <v>8425.08</v>
      </c>
      <c r="L25" t="s">
        <v>35</v>
      </c>
      <c r="M25" s="17">
        <v>107926.39999999999</v>
      </c>
    </row>
    <row r="26" spans="1:13">
      <c r="A26" t="s">
        <v>36</v>
      </c>
      <c r="B26" t="s">
        <v>70</v>
      </c>
      <c r="C26" t="s">
        <v>11</v>
      </c>
      <c r="D26">
        <v>11</v>
      </c>
      <c r="E26" s="17">
        <v>3042</v>
      </c>
      <c r="F26" s="17">
        <f t="shared" si="0"/>
        <v>33462</v>
      </c>
      <c r="G26" s="17">
        <f t="shared" si="1"/>
        <v>5353.92</v>
      </c>
      <c r="H26" s="17">
        <f t="shared" si="2"/>
        <v>38815.919999999998</v>
      </c>
      <c r="L26" t="s">
        <v>71</v>
      </c>
      <c r="M26" s="17">
        <v>88284.12</v>
      </c>
    </row>
    <row r="27" spans="1:13">
      <c r="A27" t="s">
        <v>36</v>
      </c>
      <c r="B27" t="s">
        <v>70</v>
      </c>
      <c r="C27" t="s">
        <v>2</v>
      </c>
      <c r="D27">
        <v>8</v>
      </c>
      <c r="E27" s="17">
        <v>4207</v>
      </c>
      <c r="F27" s="17">
        <f t="shared" si="0"/>
        <v>33656</v>
      </c>
      <c r="G27" s="17">
        <f t="shared" si="1"/>
        <v>5384.96</v>
      </c>
      <c r="H27" s="17">
        <f t="shared" si="2"/>
        <v>39040.959999999999</v>
      </c>
      <c r="L27" t="s">
        <v>32</v>
      </c>
      <c r="M27" s="17">
        <v>81354.28</v>
      </c>
    </row>
    <row r="28" spans="1:13">
      <c r="A28" t="s">
        <v>36</v>
      </c>
      <c r="B28" t="s">
        <v>70</v>
      </c>
      <c r="C28" t="s">
        <v>7</v>
      </c>
      <c r="D28">
        <v>6</v>
      </c>
      <c r="E28" s="17">
        <v>2420</v>
      </c>
      <c r="F28" s="17">
        <f t="shared" si="0"/>
        <v>14520</v>
      </c>
      <c r="G28" s="17">
        <f t="shared" si="1"/>
        <v>2323.2000000000003</v>
      </c>
      <c r="H28" s="17">
        <f t="shared" si="2"/>
        <v>16843.2</v>
      </c>
      <c r="L28" t="s">
        <v>68</v>
      </c>
      <c r="M28" s="17">
        <v>58023.200000000004</v>
      </c>
    </row>
    <row r="29" spans="1:13">
      <c r="A29" t="s">
        <v>36</v>
      </c>
      <c r="B29" t="s">
        <v>70</v>
      </c>
      <c r="C29" t="s">
        <v>2</v>
      </c>
      <c r="D29">
        <v>2</v>
      </c>
      <c r="E29" s="17">
        <v>4207</v>
      </c>
      <c r="F29" s="17">
        <f t="shared" si="0"/>
        <v>8414</v>
      </c>
      <c r="G29" s="17">
        <f t="shared" si="1"/>
        <v>1346.24</v>
      </c>
      <c r="H29" s="17">
        <f t="shared" si="2"/>
        <v>9760.24</v>
      </c>
      <c r="K29" t="s">
        <v>77</v>
      </c>
      <c r="M29" s="17">
        <v>812694.84</v>
      </c>
    </row>
    <row r="30" spans="1:13">
      <c r="A30" t="s">
        <v>36</v>
      </c>
      <c r="B30" t="s">
        <v>70</v>
      </c>
      <c r="C30" t="s">
        <v>22</v>
      </c>
      <c r="D30">
        <v>3</v>
      </c>
      <c r="E30" s="17">
        <v>4324</v>
      </c>
      <c r="F30" s="17">
        <f t="shared" si="0"/>
        <v>12972</v>
      </c>
      <c r="G30" s="17">
        <f t="shared" si="1"/>
        <v>2075.52</v>
      </c>
      <c r="H30" s="17">
        <f t="shared" si="2"/>
        <v>15047.52</v>
      </c>
      <c r="K30" t="s">
        <v>37</v>
      </c>
      <c r="L30" t="s">
        <v>31</v>
      </c>
      <c r="M30" s="17">
        <v>167622.32</v>
      </c>
    </row>
    <row r="31" spans="1:13">
      <c r="A31" t="s">
        <v>36</v>
      </c>
      <c r="B31" t="s">
        <v>70</v>
      </c>
      <c r="C31" t="s">
        <v>3</v>
      </c>
      <c r="D31">
        <v>2</v>
      </c>
      <c r="E31" s="17">
        <v>2406</v>
      </c>
      <c r="F31" s="17">
        <f t="shared" si="0"/>
        <v>4812</v>
      </c>
      <c r="G31" s="17">
        <f t="shared" si="1"/>
        <v>769.92000000000007</v>
      </c>
      <c r="H31" s="17">
        <f t="shared" si="2"/>
        <v>5581.92</v>
      </c>
      <c r="L31" t="s">
        <v>68</v>
      </c>
      <c r="M31" s="17">
        <v>71547.64</v>
      </c>
    </row>
    <row r="32" spans="1:13">
      <c r="A32" t="s">
        <v>36</v>
      </c>
      <c r="B32" t="s">
        <v>70</v>
      </c>
      <c r="C32" t="s">
        <v>24</v>
      </c>
      <c r="D32">
        <v>5</v>
      </c>
      <c r="E32" s="17">
        <v>3682</v>
      </c>
      <c r="F32" s="17">
        <f t="shared" si="0"/>
        <v>18410</v>
      </c>
      <c r="G32" s="17">
        <f t="shared" si="1"/>
        <v>2945.6</v>
      </c>
      <c r="H32" s="17">
        <f t="shared" si="2"/>
        <v>21355.599999999999</v>
      </c>
      <c r="L32" t="s">
        <v>67</v>
      </c>
      <c r="M32" s="17">
        <v>23632.679999999997</v>
      </c>
    </row>
    <row r="33" spans="1:13">
      <c r="A33" t="s">
        <v>36</v>
      </c>
      <c r="B33" t="s">
        <v>71</v>
      </c>
      <c r="C33" t="s">
        <v>5</v>
      </c>
      <c r="D33">
        <v>8</v>
      </c>
      <c r="E33" s="17">
        <v>503</v>
      </c>
      <c r="F33" s="17">
        <f t="shared" si="0"/>
        <v>4024</v>
      </c>
      <c r="G33" s="17">
        <f t="shared" si="1"/>
        <v>643.84</v>
      </c>
      <c r="H33" s="17">
        <f t="shared" si="2"/>
        <v>4667.84</v>
      </c>
      <c r="L33" t="s">
        <v>32</v>
      </c>
      <c r="M33" s="17">
        <v>13554.6</v>
      </c>
    </row>
    <row r="34" spans="1:13">
      <c r="A34" t="s">
        <v>36</v>
      </c>
      <c r="B34" t="s">
        <v>71</v>
      </c>
      <c r="C34" t="s">
        <v>16</v>
      </c>
      <c r="D34">
        <v>7</v>
      </c>
      <c r="E34" s="17">
        <v>3664</v>
      </c>
      <c r="F34" s="17">
        <f t="shared" si="0"/>
        <v>25648</v>
      </c>
      <c r="G34" s="17">
        <f t="shared" si="1"/>
        <v>4103.68</v>
      </c>
      <c r="H34" s="17">
        <f t="shared" si="2"/>
        <v>29751.68</v>
      </c>
      <c r="K34" t="s">
        <v>78</v>
      </c>
      <c r="M34" s="17">
        <v>276357.24</v>
      </c>
    </row>
    <row r="35" spans="1:13">
      <c r="A35" t="s">
        <v>36</v>
      </c>
      <c r="B35" t="s">
        <v>71</v>
      </c>
      <c r="C35" t="s">
        <v>0</v>
      </c>
      <c r="D35">
        <v>5</v>
      </c>
      <c r="E35" s="17">
        <v>4985</v>
      </c>
      <c r="F35" s="17">
        <f t="shared" si="0"/>
        <v>24925</v>
      </c>
      <c r="G35" s="17">
        <f t="shared" si="1"/>
        <v>3988</v>
      </c>
      <c r="H35" s="17">
        <f t="shared" si="2"/>
        <v>28913</v>
      </c>
      <c r="K35" t="s">
        <v>74</v>
      </c>
      <c r="M35" s="17">
        <v>1592733.36</v>
      </c>
    </row>
    <row r="36" spans="1:13">
      <c r="A36" t="s">
        <v>36</v>
      </c>
      <c r="B36" t="s">
        <v>71</v>
      </c>
      <c r="C36" t="s">
        <v>18</v>
      </c>
      <c r="D36">
        <v>5</v>
      </c>
      <c r="E36" s="17">
        <v>4302</v>
      </c>
      <c r="F36" s="17">
        <f t="shared" si="0"/>
        <v>21510</v>
      </c>
      <c r="G36" s="17">
        <f t="shared" si="1"/>
        <v>3441.6</v>
      </c>
      <c r="H36" s="17">
        <f t="shared" si="2"/>
        <v>24951.599999999999</v>
      </c>
    </row>
    <row r="37" spans="1:13">
      <c r="A37" t="s">
        <v>36</v>
      </c>
      <c r="B37" t="s">
        <v>35</v>
      </c>
      <c r="C37" t="s">
        <v>9</v>
      </c>
      <c r="D37">
        <v>11</v>
      </c>
      <c r="E37" s="17">
        <v>1981</v>
      </c>
      <c r="F37" s="17">
        <f t="shared" si="0"/>
        <v>21791</v>
      </c>
      <c r="G37" s="17">
        <f t="shared" si="1"/>
        <v>3486.56</v>
      </c>
      <c r="H37" s="17">
        <f t="shared" si="2"/>
        <v>25277.56</v>
      </c>
    </row>
    <row r="38" spans="1:13">
      <c r="A38" t="s">
        <v>36</v>
      </c>
      <c r="B38" t="s">
        <v>35</v>
      </c>
      <c r="C38" t="s">
        <v>19</v>
      </c>
      <c r="D38">
        <v>11</v>
      </c>
      <c r="E38" s="17">
        <v>509</v>
      </c>
      <c r="F38" s="17">
        <f t="shared" si="0"/>
        <v>5599</v>
      </c>
      <c r="G38" s="17">
        <f t="shared" si="1"/>
        <v>895.84</v>
      </c>
      <c r="H38" s="17">
        <f t="shared" si="2"/>
        <v>6494.84</v>
      </c>
      <c r="K38" s="27" t="s">
        <v>63</v>
      </c>
      <c r="L38" s="27" t="s">
        <v>54</v>
      </c>
      <c r="M38" t="s">
        <v>79</v>
      </c>
    </row>
    <row r="39" spans="1:13">
      <c r="A39" t="s">
        <v>36</v>
      </c>
      <c r="B39" t="s">
        <v>35</v>
      </c>
      <c r="C39" t="s">
        <v>8</v>
      </c>
      <c r="D39">
        <v>2</v>
      </c>
      <c r="E39" s="17">
        <v>2405</v>
      </c>
      <c r="F39" s="17">
        <f t="shared" si="0"/>
        <v>4810</v>
      </c>
      <c r="G39" s="17">
        <f t="shared" si="1"/>
        <v>769.6</v>
      </c>
      <c r="H39" s="17">
        <f t="shared" si="2"/>
        <v>5579.6</v>
      </c>
      <c r="K39" t="s">
        <v>72</v>
      </c>
      <c r="L39" t="s">
        <v>70</v>
      </c>
      <c r="M39" s="17">
        <v>30110.400000000001</v>
      </c>
    </row>
    <row r="40" spans="1:13">
      <c r="A40" t="s">
        <v>36</v>
      </c>
      <c r="B40" t="s">
        <v>35</v>
      </c>
      <c r="C40" t="s">
        <v>7</v>
      </c>
      <c r="D40">
        <v>10</v>
      </c>
      <c r="E40" s="17">
        <v>2420</v>
      </c>
      <c r="F40" s="17">
        <f t="shared" si="0"/>
        <v>24200</v>
      </c>
      <c r="G40" s="17">
        <f t="shared" si="1"/>
        <v>3872</v>
      </c>
      <c r="H40" s="17">
        <f t="shared" si="2"/>
        <v>28072</v>
      </c>
      <c r="L40" t="s">
        <v>35</v>
      </c>
      <c r="M40" s="17">
        <v>17529.599999999999</v>
      </c>
    </row>
    <row r="41" spans="1:13">
      <c r="A41" t="s">
        <v>36</v>
      </c>
      <c r="B41" t="s">
        <v>35</v>
      </c>
      <c r="C41" t="s">
        <v>16</v>
      </c>
      <c r="D41">
        <v>2</v>
      </c>
      <c r="E41" s="17">
        <v>3664</v>
      </c>
      <c r="F41" s="17">
        <f t="shared" si="0"/>
        <v>7328</v>
      </c>
      <c r="G41" s="17">
        <f t="shared" si="1"/>
        <v>1172.48</v>
      </c>
      <c r="H41" s="17">
        <f t="shared" si="2"/>
        <v>8500.48</v>
      </c>
      <c r="L41" t="s">
        <v>31</v>
      </c>
      <c r="M41" s="17">
        <v>10031.52</v>
      </c>
    </row>
    <row r="42" spans="1:13">
      <c r="A42" t="s">
        <v>36</v>
      </c>
      <c r="B42" t="s">
        <v>35</v>
      </c>
      <c r="C42" t="s">
        <v>16</v>
      </c>
      <c r="D42">
        <v>8</v>
      </c>
      <c r="E42" s="17">
        <v>3664</v>
      </c>
      <c r="F42" s="17">
        <f t="shared" si="0"/>
        <v>29312</v>
      </c>
      <c r="G42" s="17">
        <f t="shared" si="1"/>
        <v>4689.92</v>
      </c>
      <c r="H42" s="17">
        <f t="shared" si="2"/>
        <v>34001.919999999998</v>
      </c>
      <c r="L42" t="s">
        <v>71</v>
      </c>
      <c r="M42" s="17">
        <v>9903.0400000000009</v>
      </c>
    </row>
    <row r="43" spans="1:13">
      <c r="A43" t="s">
        <v>37</v>
      </c>
      <c r="B43" t="s">
        <v>67</v>
      </c>
      <c r="C43" s="24" t="s">
        <v>5</v>
      </c>
      <c r="D43" s="24">
        <v>9</v>
      </c>
      <c r="E43" s="25">
        <v>503</v>
      </c>
      <c r="F43" s="17">
        <f>E43*D43</f>
        <v>4527</v>
      </c>
      <c r="G43" s="17">
        <f t="shared" si="1"/>
        <v>724.32</v>
      </c>
      <c r="H43" s="17">
        <f t="shared" ref="H43:H46" si="3">G43+F43</f>
        <v>5251.32</v>
      </c>
      <c r="L43" t="s">
        <v>32</v>
      </c>
      <c r="M43" s="17">
        <v>1898.7200000000003</v>
      </c>
    </row>
    <row r="44" spans="1:13">
      <c r="A44" t="s">
        <v>37</v>
      </c>
      <c r="B44" t="s">
        <v>67</v>
      </c>
      <c r="C44" s="24" t="s">
        <v>23</v>
      </c>
      <c r="D44" s="24">
        <v>3</v>
      </c>
      <c r="E44" s="25">
        <v>562</v>
      </c>
      <c r="F44" s="17">
        <f t="shared" ref="F43:F46" si="4">E44*D44</f>
        <v>1686</v>
      </c>
      <c r="G44" s="17">
        <f t="shared" si="1"/>
        <v>269.76</v>
      </c>
      <c r="H44" s="17">
        <f t="shared" si="3"/>
        <v>1955.76</v>
      </c>
      <c r="K44" t="s">
        <v>76</v>
      </c>
      <c r="M44" s="17">
        <v>69473.279999999999</v>
      </c>
    </row>
    <row r="45" spans="1:13">
      <c r="A45" t="s">
        <v>37</v>
      </c>
      <c r="B45" t="s">
        <v>67</v>
      </c>
      <c r="C45" s="24" t="s">
        <v>15</v>
      </c>
      <c r="D45" s="24">
        <v>4</v>
      </c>
      <c r="E45" s="25">
        <v>2407</v>
      </c>
      <c r="F45" s="17">
        <f t="shared" si="4"/>
        <v>9628</v>
      </c>
      <c r="G45" s="17">
        <f t="shared" si="1"/>
        <v>1540.48</v>
      </c>
      <c r="H45" s="17">
        <f t="shared" si="3"/>
        <v>11168.48</v>
      </c>
      <c r="K45" t="s">
        <v>36</v>
      </c>
      <c r="L45" t="s">
        <v>70</v>
      </c>
      <c r="M45" s="17">
        <v>28224.480000000003</v>
      </c>
    </row>
    <row r="46" spans="1:13">
      <c r="A46" t="s">
        <v>37</v>
      </c>
      <c r="B46" t="s">
        <v>67</v>
      </c>
      <c r="C46" s="24" t="s">
        <v>13</v>
      </c>
      <c r="D46" s="24">
        <v>4</v>
      </c>
      <c r="E46" s="25">
        <v>1133</v>
      </c>
      <c r="F46" s="17">
        <f t="shared" si="4"/>
        <v>4532</v>
      </c>
      <c r="G46" s="17">
        <f t="shared" si="1"/>
        <v>725.12</v>
      </c>
      <c r="H46" s="17">
        <f t="shared" si="3"/>
        <v>5257.12</v>
      </c>
      <c r="L46" t="s">
        <v>67</v>
      </c>
      <c r="M46" s="17">
        <v>20349.120000000003</v>
      </c>
    </row>
    <row r="47" spans="1:13">
      <c r="A47" t="s">
        <v>37</v>
      </c>
      <c r="B47" t="s">
        <v>68</v>
      </c>
      <c r="C47" t="s">
        <v>23</v>
      </c>
      <c r="D47">
        <v>5</v>
      </c>
      <c r="E47" s="17">
        <v>562</v>
      </c>
      <c r="F47" s="17">
        <f t="shared" ref="F47:F63" si="5">E47*D47</f>
        <v>2810</v>
      </c>
      <c r="G47" s="17">
        <f t="shared" si="1"/>
        <v>449.6</v>
      </c>
      <c r="H47" s="17">
        <f t="shared" ref="H47:H63" si="6">G47+F47</f>
        <v>3259.6</v>
      </c>
      <c r="L47" t="s">
        <v>69</v>
      </c>
      <c r="M47" s="17">
        <v>17234.239999999998</v>
      </c>
    </row>
    <row r="48" spans="1:13">
      <c r="A48" t="s">
        <v>37</v>
      </c>
      <c r="B48" t="s">
        <v>68</v>
      </c>
      <c r="C48" t="s">
        <v>2</v>
      </c>
      <c r="D48">
        <v>4</v>
      </c>
      <c r="E48" s="17">
        <v>4207</v>
      </c>
      <c r="F48" s="17">
        <f t="shared" si="5"/>
        <v>16828</v>
      </c>
      <c r="G48" s="17">
        <f t="shared" si="1"/>
        <v>2692.48</v>
      </c>
      <c r="H48" s="17">
        <f t="shared" si="6"/>
        <v>19520.48</v>
      </c>
      <c r="L48" t="s">
        <v>35</v>
      </c>
      <c r="M48" s="17">
        <v>14886.4</v>
      </c>
    </row>
    <row r="49" spans="1:13">
      <c r="A49" t="s">
        <v>37</v>
      </c>
      <c r="B49" t="s">
        <v>68</v>
      </c>
      <c r="C49" t="s">
        <v>19</v>
      </c>
      <c r="D49">
        <v>6</v>
      </c>
      <c r="E49" s="17">
        <v>509</v>
      </c>
      <c r="F49" s="17">
        <f t="shared" si="5"/>
        <v>3054</v>
      </c>
      <c r="G49" s="17">
        <f t="shared" si="1"/>
        <v>488.64</v>
      </c>
      <c r="H49" s="17">
        <f t="shared" si="6"/>
        <v>3542.64</v>
      </c>
      <c r="L49" t="s">
        <v>71</v>
      </c>
      <c r="M49" s="17">
        <v>12177.12</v>
      </c>
    </row>
    <row r="50" spans="1:13">
      <c r="A50" t="s">
        <v>37</v>
      </c>
      <c r="B50" t="s">
        <v>68</v>
      </c>
      <c r="C50" t="s">
        <v>23</v>
      </c>
      <c r="D50">
        <v>2</v>
      </c>
      <c r="E50" s="17">
        <v>562</v>
      </c>
      <c r="F50" s="17">
        <f t="shared" si="5"/>
        <v>1124</v>
      </c>
      <c r="G50" s="17">
        <f t="shared" si="1"/>
        <v>179.84</v>
      </c>
      <c r="H50" s="17">
        <f t="shared" si="6"/>
        <v>1303.8399999999999</v>
      </c>
      <c r="L50" t="s">
        <v>32</v>
      </c>
      <c r="M50" s="17">
        <v>11221.279999999999</v>
      </c>
    </row>
    <row r="51" spans="1:13">
      <c r="A51" t="s">
        <v>37</v>
      </c>
      <c r="B51" t="s">
        <v>68</v>
      </c>
      <c r="C51" t="s">
        <v>2</v>
      </c>
      <c r="D51">
        <v>9</v>
      </c>
      <c r="E51" s="17">
        <v>4207</v>
      </c>
      <c r="F51" s="17">
        <f t="shared" si="5"/>
        <v>37863</v>
      </c>
      <c r="G51" s="17">
        <f t="shared" si="1"/>
        <v>6058.08</v>
      </c>
      <c r="H51" s="17">
        <f t="shared" si="6"/>
        <v>43921.08</v>
      </c>
      <c r="L51" t="s">
        <v>68</v>
      </c>
      <c r="M51" s="17">
        <v>8003.2000000000007</v>
      </c>
    </row>
    <row r="52" spans="1:13">
      <c r="A52" t="s">
        <v>37</v>
      </c>
      <c r="B52" t="s">
        <v>31</v>
      </c>
      <c r="C52" t="s">
        <v>6</v>
      </c>
      <c r="D52">
        <v>12</v>
      </c>
      <c r="E52" s="17">
        <v>637</v>
      </c>
      <c r="F52" s="17">
        <f t="shared" si="5"/>
        <v>7644</v>
      </c>
      <c r="G52" s="17">
        <f t="shared" si="1"/>
        <v>1223.04</v>
      </c>
      <c r="H52" s="17">
        <f t="shared" si="6"/>
        <v>8867.0400000000009</v>
      </c>
      <c r="K52" t="s">
        <v>77</v>
      </c>
      <c r="M52" s="17">
        <v>112095.84</v>
      </c>
    </row>
    <row r="53" spans="1:13">
      <c r="A53" t="s">
        <v>37</v>
      </c>
      <c r="B53" t="s">
        <v>31</v>
      </c>
      <c r="C53" t="s">
        <v>9</v>
      </c>
      <c r="D53">
        <v>8</v>
      </c>
      <c r="E53" s="17">
        <v>1981</v>
      </c>
      <c r="F53" s="17">
        <f t="shared" si="5"/>
        <v>15848</v>
      </c>
      <c r="G53" s="17">
        <f t="shared" si="1"/>
        <v>2535.6799999999998</v>
      </c>
      <c r="H53" s="17">
        <f t="shared" si="6"/>
        <v>18383.68</v>
      </c>
      <c r="K53" t="s">
        <v>37</v>
      </c>
      <c r="L53" t="s">
        <v>31</v>
      </c>
      <c r="M53" s="17">
        <v>23120.320000000003</v>
      </c>
    </row>
    <row r="54" spans="1:13">
      <c r="A54" t="s">
        <v>37</v>
      </c>
      <c r="B54" t="s">
        <v>31</v>
      </c>
      <c r="C54" t="s">
        <v>7</v>
      </c>
      <c r="D54">
        <v>5</v>
      </c>
      <c r="E54" s="17">
        <v>2420</v>
      </c>
      <c r="F54" s="17">
        <f t="shared" si="5"/>
        <v>12100</v>
      </c>
      <c r="G54" s="17">
        <f t="shared" si="1"/>
        <v>1936</v>
      </c>
      <c r="H54" s="17">
        <f t="shared" si="6"/>
        <v>14036</v>
      </c>
      <c r="L54" t="s">
        <v>68</v>
      </c>
      <c r="M54" s="17">
        <v>9868.64</v>
      </c>
    </row>
    <row r="55" spans="1:13">
      <c r="A55" t="s">
        <v>37</v>
      </c>
      <c r="B55" t="s">
        <v>31</v>
      </c>
      <c r="C55" t="s">
        <v>2</v>
      </c>
      <c r="D55">
        <v>8</v>
      </c>
      <c r="E55" s="17">
        <v>4207</v>
      </c>
      <c r="F55" s="17">
        <f t="shared" si="5"/>
        <v>33656</v>
      </c>
      <c r="G55" s="17">
        <f t="shared" si="1"/>
        <v>5384.96</v>
      </c>
      <c r="H55" s="17">
        <f t="shared" si="6"/>
        <v>39040.959999999999</v>
      </c>
      <c r="L55" t="s">
        <v>67</v>
      </c>
      <c r="M55" s="17">
        <v>3259.68</v>
      </c>
    </row>
    <row r="56" spans="1:13">
      <c r="A56" t="s">
        <v>37</v>
      </c>
      <c r="B56" t="s">
        <v>31</v>
      </c>
      <c r="C56" t="s">
        <v>17</v>
      </c>
      <c r="D56">
        <v>12</v>
      </c>
      <c r="E56" s="17">
        <v>807</v>
      </c>
      <c r="F56" s="17">
        <f t="shared" si="5"/>
        <v>9684</v>
      </c>
      <c r="G56" s="17">
        <f t="shared" si="1"/>
        <v>1549.44</v>
      </c>
      <c r="H56" s="17">
        <f t="shared" si="6"/>
        <v>11233.44</v>
      </c>
      <c r="L56" t="s">
        <v>32</v>
      </c>
      <c r="M56" s="17">
        <v>1869.6000000000001</v>
      </c>
    </row>
    <row r="57" spans="1:13">
      <c r="A57" t="s">
        <v>37</v>
      </c>
      <c r="B57" t="s">
        <v>31</v>
      </c>
      <c r="C57" t="s">
        <v>5</v>
      </c>
      <c r="D57">
        <v>1</v>
      </c>
      <c r="E57" s="17">
        <v>503</v>
      </c>
      <c r="F57" s="17">
        <f t="shared" si="5"/>
        <v>503</v>
      </c>
      <c r="G57" s="17">
        <f t="shared" si="1"/>
        <v>80.48</v>
      </c>
      <c r="H57" s="17">
        <f t="shared" si="6"/>
        <v>583.48</v>
      </c>
      <c r="K57" t="s">
        <v>78</v>
      </c>
      <c r="M57" s="17">
        <v>38118.240000000005</v>
      </c>
    </row>
    <row r="58" spans="1:13">
      <c r="A58" t="s">
        <v>37</v>
      </c>
      <c r="B58" t="s">
        <v>31</v>
      </c>
      <c r="C58" t="s">
        <v>2</v>
      </c>
      <c r="D58">
        <v>7</v>
      </c>
      <c r="E58" s="17">
        <v>4207</v>
      </c>
      <c r="F58" s="17">
        <f t="shared" si="5"/>
        <v>29449</v>
      </c>
      <c r="G58" s="17">
        <f t="shared" si="1"/>
        <v>4711.84</v>
      </c>
      <c r="H58" s="17">
        <f t="shared" si="6"/>
        <v>34160.839999999997</v>
      </c>
      <c r="K58" t="s">
        <v>74</v>
      </c>
      <c r="M58" s="17">
        <v>219687.36</v>
      </c>
    </row>
    <row r="59" spans="1:13">
      <c r="A59" t="s">
        <v>37</v>
      </c>
      <c r="B59" t="s">
        <v>31</v>
      </c>
      <c r="C59" t="s">
        <v>16</v>
      </c>
      <c r="D59">
        <v>7</v>
      </c>
      <c r="E59" s="17">
        <v>3664</v>
      </c>
      <c r="F59" s="17">
        <f t="shared" si="5"/>
        <v>25648</v>
      </c>
      <c r="G59" s="17">
        <f t="shared" si="1"/>
        <v>4103.68</v>
      </c>
      <c r="H59" s="17">
        <f t="shared" si="6"/>
        <v>29751.68</v>
      </c>
    </row>
    <row r="60" spans="1:13">
      <c r="A60" t="s">
        <v>37</v>
      </c>
      <c r="B60" t="s">
        <v>31</v>
      </c>
      <c r="C60" t="s">
        <v>0</v>
      </c>
      <c r="D60">
        <v>2</v>
      </c>
      <c r="E60" s="17">
        <v>4985</v>
      </c>
      <c r="F60" s="17">
        <f t="shared" si="5"/>
        <v>9970</v>
      </c>
      <c r="G60" s="17">
        <f t="shared" si="1"/>
        <v>1595.2</v>
      </c>
      <c r="H60" s="17">
        <f t="shared" si="6"/>
        <v>11565.2</v>
      </c>
    </row>
    <row r="61" spans="1:13">
      <c r="A61" t="s">
        <v>37</v>
      </c>
      <c r="B61" t="s">
        <v>32</v>
      </c>
      <c r="C61" t="s">
        <v>19</v>
      </c>
      <c r="D61">
        <v>5</v>
      </c>
      <c r="E61" s="17">
        <v>509</v>
      </c>
      <c r="F61" s="17">
        <f t="shared" si="5"/>
        <v>2545</v>
      </c>
      <c r="G61" s="17">
        <f t="shared" si="1"/>
        <v>407.2</v>
      </c>
      <c r="H61" s="17">
        <f t="shared" si="6"/>
        <v>2952.2</v>
      </c>
      <c r="K61" s="27" t="s">
        <v>73</v>
      </c>
      <c r="L61" t="s">
        <v>80</v>
      </c>
    </row>
    <row r="62" spans="1:13">
      <c r="A62" t="s">
        <v>37</v>
      </c>
      <c r="B62" t="s">
        <v>32</v>
      </c>
      <c r="C62" t="s">
        <v>4</v>
      </c>
      <c r="D62">
        <v>6</v>
      </c>
      <c r="E62" s="17">
        <v>1188</v>
      </c>
      <c r="F62" s="17">
        <f t="shared" si="5"/>
        <v>7128</v>
      </c>
      <c r="G62" s="17">
        <f t="shared" si="1"/>
        <v>1140.48</v>
      </c>
      <c r="H62" s="17">
        <f t="shared" si="6"/>
        <v>8268.48</v>
      </c>
      <c r="K62" s="28" t="s">
        <v>16</v>
      </c>
      <c r="L62" s="29">
        <v>48</v>
      </c>
    </row>
    <row r="63" spans="1:13">
      <c r="A63" t="s">
        <v>37</v>
      </c>
      <c r="B63" t="s">
        <v>32</v>
      </c>
      <c r="C63" t="s">
        <v>5</v>
      </c>
      <c r="D63">
        <v>4</v>
      </c>
      <c r="E63" s="17">
        <v>503</v>
      </c>
      <c r="F63" s="17">
        <f t="shared" si="5"/>
        <v>2012</v>
      </c>
      <c r="G63" s="17">
        <f t="shared" si="1"/>
        <v>321.92</v>
      </c>
      <c r="H63" s="17">
        <f t="shared" si="6"/>
        <v>2333.92</v>
      </c>
      <c r="K63" s="28" t="s">
        <v>9</v>
      </c>
      <c r="L63" s="29">
        <v>41</v>
      </c>
    </row>
    <row r="64" spans="1:13">
      <c r="A64" t="s">
        <v>72</v>
      </c>
      <c r="B64" t="s">
        <v>31</v>
      </c>
      <c r="C64" t="s">
        <v>22</v>
      </c>
      <c r="D64">
        <v>1</v>
      </c>
      <c r="E64" s="17">
        <v>4324</v>
      </c>
      <c r="F64" s="17">
        <f t="shared" ref="F64:F95" si="7">E64*D64</f>
        <v>4324</v>
      </c>
      <c r="G64" s="17">
        <f t="shared" si="1"/>
        <v>691.84</v>
      </c>
      <c r="H64" s="17">
        <f t="shared" ref="H64:H95" si="8">G64+F64</f>
        <v>5015.84</v>
      </c>
      <c r="K64" s="28" t="s">
        <v>19</v>
      </c>
      <c r="L64" s="29">
        <v>41</v>
      </c>
    </row>
    <row r="65" spans="1:12">
      <c r="A65" t="s">
        <v>72</v>
      </c>
      <c r="B65" t="s">
        <v>31</v>
      </c>
      <c r="C65" t="s">
        <v>10</v>
      </c>
      <c r="D65">
        <v>10</v>
      </c>
      <c r="E65" s="17">
        <v>793</v>
      </c>
      <c r="F65" s="17">
        <f t="shared" si="7"/>
        <v>7930</v>
      </c>
      <c r="G65" s="17">
        <f t="shared" si="1"/>
        <v>1268.8</v>
      </c>
      <c r="H65" s="17">
        <f t="shared" si="8"/>
        <v>9198.7999999999993</v>
      </c>
      <c r="K65" s="28" t="s">
        <v>0</v>
      </c>
      <c r="L65" s="29">
        <v>40</v>
      </c>
    </row>
    <row r="66" spans="1:12">
      <c r="A66" t="s">
        <v>72</v>
      </c>
      <c r="B66" t="s">
        <v>31</v>
      </c>
      <c r="C66" t="s">
        <v>21</v>
      </c>
      <c r="D66">
        <v>3</v>
      </c>
      <c r="E66" s="17">
        <v>3254</v>
      </c>
      <c r="F66" s="17">
        <f t="shared" si="7"/>
        <v>9762</v>
      </c>
      <c r="G66" s="17">
        <f t="shared" si="1"/>
        <v>1561.92</v>
      </c>
      <c r="H66" s="17">
        <f t="shared" si="8"/>
        <v>11323.92</v>
      </c>
      <c r="K66" s="28" t="s">
        <v>2</v>
      </c>
      <c r="L66" s="29">
        <v>38</v>
      </c>
    </row>
    <row r="67" spans="1:12">
      <c r="A67" t="s">
        <v>72</v>
      </c>
      <c r="B67" t="s">
        <v>31</v>
      </c>
      <c r="C67" t="s">
        <v>12</v>
      </c>
      <c r="D67">
        <v>7</v>
      </c>
      <c r="E67" s="17">
        <v>803</v>
      </c>
      <c r="F67" s="17">
        <f t="shared" si="7"/>
        <v>5621</v>
      </c>
      <c r="G67" s="17">
        <f t="shared" ref="G67:G95" si="9">F67*0.16</f>
        <v>899.36</v>
      </c>
      <c r="H67" s="17">
        <f t="shared" si="8"/>
        <v>6520.36</v>
      </c>
      <c r="K67" s="28" t="s">
        <v>7</v>
      </c>
      <c r="L67" s="29">
        <v>34</v>
      </c>
    </row>
    <row r="68" spans="1:12">
      <c r="A68" t="s">
        <v>72</v>
      </c>
      <c r="B68" t="s">
        <v>31</v>
      </c>
      <c r="C68" t="s">
        <v>15</v>
      </c>
      <c r="D68">
        <v>1</v>
      </c>
      <c r="E68" s="17">
        <v>2407</v>
      </c>
      <c r="F68" s="17">
        <f t="shared" si="7"/>
        <v>2407</v>
      </c>
      <c r="G68" s="17">
        <f t="shared" si="9"/>
        <v>385.12</v>
      </c>
      <c r="H68" s="17">
        <f t="shared" si="8"/>
        <v>2792.12</v>
      </c>
      <c r="K68" s="28" t="s">
        <v>4</v>
      </c>
      <c r="L68" s="29">
        <v>33</v>
      </c>
    </row>
    <row r="69" spans="1:12">
      <c r="A69" t="s">
        <v>72</v>
      </c>
      <c r="B69" t="s">
        <v>31</v>
      </c>
      <c r="C69" t="s">
        <v>4</v>
      </c>
      <c r="D69">
        <v>10</v>
      </c>
      <c r="E69" s="17">
        <v>1188</v>
      </c>
      <c r="F69" s="17">
        <f t="shared" si="7"/>
        <v>11880</v>
      </c>
      <c r="G69" s="17">
        <f t="shared" si="9"/>
        <v>1900.8</v>
      </c>
      <c r="H69" s="17">
        <f t="shared" si="8"/>
        <v>13780.8</v>
      </c>
      <c r="K69" s="28" t="s">
        <v>6</v>
      </c>
      <c r="L69" s="29">
        <v>31</v>
      </c>
    </row>
    <row r="70" spans="1:12">
      <c r="A70" t="s">
        <v>72</v>
      </c>
      <c r="B70" t="s">
        <v>31</v>
      </c>
      <c r="C70" t="s">
        <v>7</v>
      </c>
      <c r="D70">
        <v>4</v>
      </c>
      <c r="E70" s="17">
        <v>2420</v>
      </c>
      <c r="F70" s="17">
        <f t="shared" si="7"/>
        <v>9680</v>
      </c>
      <c r="G70" s="17">
        <f t="shared" si="9"/>
        <v>1548.8</v>
      </c>
      <c r="H70" s="17">
        <f t="shared" si="8"/>
        <v>11228.8</v>
      </c>
      <c r="K70" s="28" t="s">
        <v>5</v>
      </c>
      <c r="L70" s="29">
        <v>29</v>
      </c>
    </row>
    <row r="71" spans="1:12">
      <c r="A71" t="s">
        <v>72</v>
      </c>
      <c r="B71" t="s">
        <v>31</v>
      </c>
      <c r="C71" t="s">
        <v>0</v>
      </c>
      <c r="D71">
        <v>1</v>
      </c>
      <c r="E71" s="17">
        <v>4985</v>
      </c>
      <c r="F71" s="17">
        <f t="shared" si="7"/>
        <v>4985</v>
      </c>
      <c r="G71" s="17">
        <f t="shared" si="9"/>
        <v>797.6</v>
      </c>
      <c r="H71" s="17">
        <f t="shared" si="8"/>
        <v>5782.6</v>
      </c>
      <c r="K71" s="28" t="s">
        <v>18</v>
      </c>
      <c r="L71" s="29">
        <v>25</v>
      </c>
    </row>
    <row r="72" spans="1:12">
      <c r="A72" t="s">
        <v>72</v>
      </c>
      <c r="B72" t="s">
        <v>31</v>
      </c>
      <c r="C72" t="s">
        <v>19</v>
      </c>
      <c r="D72">
        <v>12</v>
      </c>
      <c r="E72" s="17">
        <v>509</v>
      </c>
      <c r="F72" s="17">
        <f t="shared" si="7"/>
        <v>6108</v>
      </c>
      <c r="G72" s="17">
        <f t="shared" si="9"/>
        <v>977.28</v>
      </c>
      <c r="H72" s="17">
        <f t="shared" si="8"/>
        <v>7085.28</v>
      </c>
      <c r="K72" s="28" t="s">
        <v>17</v>
      </c>
      <c r="L72" s="29">
        <v>24</v>
      </c>
    </row>
    <row r="73" spans="1:12">
      <c r="A73" t="s">
        <v>72</v>
      </c>
      <c r="B73" t="s">
        <v>32</v>
      </c>
      <c r="C73" t="s">
        <v>12</v>
      </c>
      <c r="D73">
        <v>2</v>
      </c>
      <c r="E73" s="17">
        <v>803</v>
      </c>
      <c r="F73" s="17">
        <f t="shared" si="7"/>
        <v>1606</v>
      </c>
      <c r="G73" s="17">
        <f t="shared" si="9"/>
        <v>256.95999999999998</v>
      </c>
      <c r="H73" s="17">
        <f t="shared" si="8"/>
        <v>1862.96</v>
      </c>
      <c r="K73" s="28" t="s">
        <v>20</v>
      </c>
      <c r="L73" s="29">
        <v>22</v>
      </c>
    </row>
    <row r="74" spans="1:12">
      <c r="A74" t="s">
        <v>72</v>
      </c>
      <c r="B74" t="s">
        <v>32</v>
      </c>
      <c r="C74" t="s">
        <v>6</v>
      </c>
      <c r="D74">
        <v>1</v>
      </c>
      <c r="E74" s="17">
        <v>637</v>
      </c>
      <c r="F74" s="17">
        <f t="shared" si="7"/>
        <v>637</v>
      </c>
      <c r="G74" s="17">
        <f t="shared" si="9"/>
        <v>101.92</v>
      </c>
      <c r="H74" s="17">
        <f t="shared" si="8"/>
        <v>738.92</v>
      </c>
      <c r="K74" s="28" t="s">
        <v>12</v>
      </c>
      <c r="L74" s="29">
        <v>19</v>
      </c>
    </row>
    <row r="75" spans="1:12">
      <c r="A75" t="s">
        <v>72</v>
      </c>
      <c r="B75" t="s">
        <v>32</v>
      </c>
      <c r="C75" t="s">
        <v>3</v>
      </c>
      <c r="D75">
        <v>4</v>
      </c>
      <c r="E75" s="17">
        <v>2406</v>
      </c>
      <c r="F75" s="17">
        <f t="shared" si="7"/>
        <v>9624</v>
      </c>
      <c r="G75" s="17">
        <f t="shared" si="9"/>
        <v>1539.8400000000001</v>
      </c>
      <c r="H75" s="17">
        <f t="shared" si="8"/>
        <v>11163.84</v>
      </c>
      <c r="K75" s="28" t="s">
        <v>11</v>
      </c>
      <c r="L75" s="29">
        <v>18</v>
      </c>
    </row>
    <row r="76" spans="1:12">
      <c r="A76" t="s">
        <v>72</v>
      </c>
      <c r="B76" t="s">
        <v>70</v>
      </c>
      <c r="C76" t="s">
        <v>13</v>
      </c>
      <c r="D76">
        <v>8</v>
      </c>
      <c r="E76" s="17">
        <v>1133</v>
      </c>
      <c r="F76" s="17">
        <f t="shared" si="7"/>
        <v>9064</v>
      </c>
      <c r="G76" s="17">
        <f t="shared" si="9"/>
        <v>1450.24</v>
      </c>
      <c r="H76" s="17">
        <f t="shared" si="8"/>
        <v>10514.24</v>
      </c>
      <c r="K76" s="28" t="s">
        <v>21</v>
      </c>
      <c r="L76" s="29">
        <v>18</v>
      </c>
    </row>
    <row r="77" spans="1:12">
      <c r="A77" t="s">
        <v>72</v>
      </c>
      <c r="B77" t="s">
        <v>70</v>
      </c>
      <c r="C77" t="s">
        <v>18</v>
      </c>
      <c r="D77">
        <v>6</v>
      </c>
      <c r="E77" s="17">
        <v>4302</v>
      </c>
      <c r="F77" s="17">
        <f t="shared" si="7"/>
        <v>25812</v>
      </c>
      <c r="G77" s="17">
        <f t="shared" si="9"/>
        <v>4129.92</v>
      </c>
      <c r="H77" s="17">
        <f t="shared" si="8"/>
        <v>29941.919999999998</v>
      </c>
      <c r="K77" s="28" t="s">
        <v>23</v>
      </c>
      <c r="L77" s="29">
        <v>16</v>
      </c>
    </row>
    <row r="78" spans="1:12">
      <c r="A78" t="s">
        <v>72</v>
      </c>
      <c r="B78" t="s">
        <v>70</v>
      </c>
      <c r="C78" t="s">
        <v>3</v>
      </c>
      <c r="D78">
        <v>5</v>
      </c>
      <c r="E78" s="17">
        <v>2406</v>
      </c>
      <c r="F78" s="17">
        <f t="shared" si="7"/>
        <v>12030</v>
      </c>
      <c r="G78" s="17">
        <f t="shared" si="9"/>
        <v>1924.8</v>
      </c>
      <c r="H78" s="17">
        <f t="shared" si="8"/>
        <v>13954.8</v>
      </c>
      <c r="K78" s="28" t="s">
        <v>22</v>
      </c>
      <c r="L78" s="29">
        <v>16</v>
      </c>
    </row>
    <row r="79" spans="1:12">
      <c r="A79" t="s">
        <v>72</v>
      </c>
      <c r="B79" t="s">
        <v>70</v>
      </c>
      <c r="C79" t="s">
        <v>14</v>
      </c>
      <c r="D79">
        <v>3</v>
      </c>
      <c r="E79" s="17">
        <v>4954</v>
      </c>
      <c r="F79" s="17">
        <f t="shared" si="7"/>
        <v>14862</v>
      </c>
      <c r="G79" s="17">
        <f t="shared" si="9"/>
        <v>2377.92</v>
      </c>
      <c r="H79" s="17">
        <f t="shared" si="8"/>
        <v>17239.919999999998</v>
      </c>
      <c r="K79" s="28" t="s">
        <v>15</v>
      </c>
      <c r="L79" s="29">
        <v>14</v>
      </c>
    </row>
    <row r="80" spans="1:12">
      <c r="A80" t="s">
        <v>72</v>
      </c>
      <c r="B80" t="s">
        <v>70</v>
      </c>
      <c r="C80" t="s">
        <v>21</v>
      </c>
      <c r="D80">
        <v>7</v>
      </c>
      <c r="E80" s="17">
        <v>3254</v>
      </c>
      <c r="F80" s="17">
        <f t="shared" si="7"/>
        <v>22778</v>
      </c>
      <c r="G80" s="17">
        <f t="shared" si="9"/>
        <v>3644.48</v>
      </c>
      <c r="H80" s="17">
        <f t="shared" si="8"/>
        <v>26422.48</v>
      </c>
      <c r="K80" s="28" t="s">
        <v>3</v>
      </c>
      <c r="L80" s="29">
        <v>13</v>
      </c>
    </row>
    <row r="81" spans="1:12">
      <c r="A81" t="s">
        <v>72</v>
      </c>
      <c r="B81" t="s">
        <v>70</v>
      </c>
      <c r="C81" t="s">
        <v>20</v>
      </c>
      <c r="D81">
        <v>6</v>
      </c>
      <c r="E81" s="17">
        <v>3519</v>
      </c>
      <c r="F81" s="17">
        <f t="shared" si="7"/>
        <v>21114</v>
      </c>
      <c r="G81" s="17">
        <f t="shared" si="9"/>
        <v>3378.2400000000002</v>
      </c>
      <c r="H81" s="17">
        <f t="shared" si="8"/>
        <v>24492.240000000002</v>
      </c>
      <c r="K81" s="28" t="s">
        <v>13</v>
      </c>
      <c r="L81" s="29">
        <v>12</v>
      </c>
    </row>
    <row r="82" spans="1:12">
      <c r="A82" t="s">
        <v>72</v>
      </c>
      <c r="B82" t="s">
        <v>70</v>
      </c>
      <c r="C82" t="s">
        <v>16</v>
      </c>
      <c r="D82">
        <v>12</v>
      </c>
      <c r="E82" s="17">
        <v>3664</v>
      </c>
      <c r="F82" s="17">
        <f t="shared" si="7"/>
        <v>43968</v>
      </c>
      <c r="G82" s="17">
        <f t="shared" si="9"/>
        <v>7034.88</v>
      </c>
      <c r="H82" s="17">
        <f t="shared" si="8"/>
        <v>51002.879999999997</v>
      </c>
      <c r="K82" s="28" t="s">
        <v>1</v>
      </c>
      <c r="L82" s="29">
        <v>11</v>
      </c>
    </row>
    <row r="83" spans="1:12">
      <c r="A83" t="s">
        <v>72</v>
      </c>
      <c r="B83" t="s">
        <v>70</v>
      </c>
      <c r="C83" t="s">
        <v>20</v>
      </c>
      <c r="D83">
        <v>10</v>
      </c>
      <c r="E83" s="17">
        <v>3519</v>
      </c>
      <c r="F83" s="17">
        <f t="shared" si="7"/>
        <v>35190</v>
      </c>
      <c r="G83" s="17">
        <f t="shared" si="9"/>
        <v>5630.4000000000005</v>
      </c>
      <c r="H83" s="17">
        <f t="shared" si="8"/>
        <v>40820.400000000001</v>
      </c>
      <c r="K83" s="28" t="s">
        <v>10</v>
      </c>
      <c r="L83" s="29">
        <v>10</v>
      </c>
    </row>
    <row r="84" spans="1:12">
      <c r="A84" t="s">
        <v>72</v>
      </c>
      <c r="B84" t="s">
        <v>70</v>
      </c>
      <c r="C84" t="s">
        <v>23</v>
      </c>
      <c r="D84">
        <v>5</v>
      </c>
      <c r="E84" s="17">
        <v>562</v>
      </c>
      <c r="F84" s="17">
        <f t="shared" si="7"/>
        <v>2810</v>
      </c>
      <c r="G84" s="17">
        <f t="shared" si="9"/>
        <v>449.6</v>
      </c>
      <c r="H84" s="17">
        <f t="shared" si="8"/>
        <v>3259.6</v>
      </c>
      <c r="K84" s="28" t="s">
        <v>24</v>
      </c>
      <c r="L84" s="29">
        <v>5</v>
      </c>
    </row>
    <row r="85" spans="1:12">
      <c r="A85" t="s">
        <v>72</v>
      </c>
      <c r="B85" t="s">
        <v>70</v>
      </c>
      <c r="C85" t="s">
        <v>23</v>
      </c>
      <c r="D85">
        <v>1</v>
      </c>
      <c r="E85" s="17">
        <v>562</v>
      </c>
      <c r="F85" s="17">
        <f t="shared" si="7"/>
        <v>562</v>
      </c>
      <c r="G85" s="17">
        <f t="shared" si="9"/>
        <v>89.92</v>
      </c>
      <c r="H85" s="17">
        <f t="shared" si="8"/>
        <v>651.91999999999996</v>
      </c>
      <c r="K85" s="28" t="s">
        <v>14</v>
      </c>
      <c r="L85" s="29">
        <v>3</v>
      </c>
    </row>
    <row r="86" spans="1:12">
      <c r="A86" t="s">
        <v>72</v>
      </c>
      <c r="B86" t="s">
        <v>71</v>
      </c>
      <c r="C86" t="s">
        <v>15</v>
      </c>
      <c r="D86">
        <v>6</v>
      </c>
      <c r="E86" s="17">
        <v>2407</v>
      </c>
      <c r="F86" s="17">
        <f t="shared" si="7"/>
        <v>14442</v>
      </c>
      <c r="G86" s="17">
        <f t="shared" si="9"/>
        <v>2310.7200000000003</v>
      </c>
      <c r="H86" s="17">
        <f t="shared" si="8"/>
        <v>16752.72</v>
      </c>
      <c r="K86" s="28" t="s">
        <v>8</v>
      </c>
      <c r="L86" s="29">
        <v>2</v>
      </c>
    </row>
    <row r="87" spans="1:12">
      <c r="A87" t="s">
        <v>72</v>
      </c>
      <c r="B87" t="s">
        <v>71</v>
      </c>
      <c r="C87" t="s">
        <v>0</v>
      </c>
      <c r="D87">
        <v>3</v>
      </c>
      <c r="E87" s="17">
        <v>4985</v>
      </c>
      <c r="F87" s="17">
        <f t="shared" si="7"/>
        <v>14955</v>
      </c>
      <c r="G87" s="17">
        <f t="shared" si="9"/>
        <v>2392.8000000000002</v>
      </c>
      <c r="H87" s="17">
        <f t="shared" si="8"/>
        <v>17347.8</v>
      </c>
      <c r="K87" s="28" t="s">
        <v>74</v>
      </c>
      <c r="L87" s="29">
        <v>563</v>
      </c>
    </row>
    <row r="88" spans="1:12">
      <c r="A88" t="s">
        <v>72</v>
      </c>
      <c r="B88" t="s">
        <v>71</v>
      </c>
      <c r="C88" t="s">
        <v>16</v>
      </c>
      <c r="D88">
        <v>8</v>
      </c>
      <c r="E88" s="17">
        <v>3664</v>
      </c>
      <c r="F88" s="17">
        <f t="shared" si="7"/>
        <v>29312</v>
      </c>
      <c r="G88" s="17">
        <f t="shared" si="9"/>
        <v>4689.92</v>
      </c>
      <c r="H88" s="17">
        <f t="shared" si="8"/>
        <v>34001.919999999998</v>
      </c>
    </row>
    <row r="89" spans="1:12">
      <c r="A89" t="s">
        <v>72</v>
      </c>
      <c r="B89" t="s">
        <v>71</v>
      </c>
      <c r="C89" t="s">
        <v>6</v>
      </c>
      <c r="D89">
        <v>5</v>
      </c>
      <c r="E89" s="17">
        <v>637</v>
      </c>
      <c r="F89" s="17">
        <f t="shared" si="7"/>
        <v>3185</v>
      </c>
      <c r="G89" s="17">
        <f t="shared" si="9"/>
        <v>509.6</v>
      </c>
      <c r="H89" s="17">
        <f t="shared" si="8"/>
        <v>3694.6</v>
      </c>
    </row>
    <row r="90" spans="1:12">
      <c r="A90" t="s">
        <v>72</v>
      </c>
      <c r="B90" t="s">
        <v>35</v>
      </c>
      <c r="C90" t="s">
        <v>22</v>
      </c>
      <c r="D90">
        <v>3</v>
      </c>
      <c r="E90" s="17">
        <v>4324</v>
      </c>
      <c r="F90" s="17">
        <f t="shared" si="7"/>
        <v>12972</v>
      </c>
      <c r="G90" s="17">
        <f t="shared" si="9"/>
        <v>2075.52</v>
      </c>
      <c r="H90" s="17">
        <f t="shared" si="8"/>
        <v>15047.52</v>
      </c>
      <c r="K90" s="27" t="s">
        <v>73</v>
      </c>
      <c r="L90" t="s">
        <v>75</v>
      </c>
    </row>
    <row r="91" spans="1:12">
      <c r="A91" t="s">
        <v>72</v>
      </c>
      <c r="B91" t="s">
        <v>35</v>
      </c>
      <c r="C91" t="s">
        <v>0</v>
      </c>
      <c r="D91">
        <v>10</v>
      </c>
      <c r="E91" s="17">
        <v>4985</v>
      </c>
      <c r="F91" s="17">
        <f t="shared" si="7"/>
        <v>49850</v>
      </c>
      <c r="G91" s="17">
        <f t="shared" si="9"/>
        <v>7976</v>
      </c>
      <c r="H91" s="17">
        <f t="shared" si="8"/>
        <v>57826</v>
      </c>
      <c r="K91" s="28" t="s">
        <v>0</v>
      </c>
      <c r="L91" s="17">
        <v>231304.00000000003</v>
      </c>
    </row>
    <row r="92" spans="1:12">
      <c r="A92" t="s">
        <v>72</v>
      </c>
      <c r="B92" t="s">
        <v>35</v>
      </c>
      <c r="C92" t="s">
        <v>4</v>
      </c>
      <c r="D92">
        <v>8</v>
      </c>
      <c r="E92" s="17">
        <v>1188</v>
      </c>
      <c r="F92" s="17">
        <f t="shared" si="7"/>
        <v>9504</v>
      </c>
      <c r="G92" s="17">
        <f t="shared" si="9"/>
        <v>1520.64</v>
      </c>
      <c r="H92" s="17">
        <f t="shared" si="8"/>
        <v>11024.64</v>
      </c>
      <c r="K92" s="28" t="s">
        <v>16</v>
      </c>
      <c r="L92" s="17">
        <v>204011.51999999999</v>
      </c>
    </row>
    <row r="93" spans="1:12">
      <c r="A93" t="s">
        <v>72</v>
      </c>
      <c r="B93" t="s">
        <v>35</v>
      </c>
      <c r="C93" t="s">
        <v>4</v>
      </c>
      <c r="D93">
        <v>9</v>
      </c>
      <c r="E93" s="17">
        <v>1188</v>
      </c>
      <c r="F93" s="17">
        <f t="shared" si="7"/>
        <v>10692</v>
      </c>
      <c r="G93" s="17">
        <f t="shared" si="9"/>
        <v>1710.72</v>
      </c>
      <c r="H93" s="17">
        <f t="shared" si="8"/>
        <v>12402.72</v>
      </c>
      <c r="K93" s="28" t="s">
        <v>2</v>
      </c>
      <c r="L93" s="17">
        <v>185444.56</v>
      </c>
    </row>
    <row r="94" spans="1:12">
      <c r="A94" t="s">
        <v>72</v>
      </c>
      <c r="B94" t="s">
        <v>35</v>
      </c>
      <c r="C94" t="s">
        <v>9</v>
      </c>
      <c r="D94">
        <v>6</v>
      </c>
      <c r="E94" s="17">
        <v>1981</v>
      </c>
      <c r="F94" s="17">
        <f t="shared" si="7"/>
        <v>11886</v>
      </c>
      <c r="G94" s="17">
        <f t="shared" si="9"/>
        <v>1901.76</v>
      </c>
      <c r="H94" s="17">
        <f t="shared" si="8"/>
        <v>13787.76</v>
      </c>
      <c r="K94" s="28" t="s">
        <v>18</v>
      </c>
      <c r="L94" s="17">
        <v>124757.99999999999</v>
      </c>
    </row>
    <row r="95" spans="1:12">
      <c r="A95" t="s">
        <v>72</v>
      </c>
      <c r="B95" t="s">
        <v>35</v>
      </c>
      <c r="C95" t="s">
        <v>16</v>
      </c>
      <c r="D95">
        <v>4</v>
      </c>
      <c r="E95" s="17">
        <v>3664</v>
      </c>
      <c r="F95" s="17">
        <f t="shared" si="7"/>
        <v>14656</v>
      </c>
      <c r="G95" s="17">
        <f t="shared" si="9"/>
        <v>2344.96</v>
      </c>
      <c r="H95" s="17">
        <f t="shared" si="8"/>
        <v>17000.96</v>
      </c>
      <c r="K95" s="28" t="s">
        <v>7</v>
      </c>
      <c r="L95" s="17">
        <v>95444.800000000003</v>
      </c>
    </row>
    <row r="96" spans="1:12">
      <c r="K96" s="28" t="s">
        <v>9</v>
      </c>
      <c r="L96" s="17">
        <v>94216.36</v>
      </c>
    </row>
    <row r="97" spans="11:12">
      <c r="K97" s="28" t="s">
        <v>20</v>
      </c>
      <c r="L97" s="17">
        <v>89804.88</v>
      </c>
    </row>
    <row r="98" spans="11:12">
      <c r="K98" s="28" t="s">
        <v>22</v>
      </c>
      <c r="L98" s="17">
        <v>80253.440000000002</v>
      </c>
    </row>
    <row r="99" spans="11:12">
      <c r="K99" s="28" t="s">
        <v>21</v>
      </c>
      <c r="L99" s="17">
        <v>67943.520000000004</v>
      </c>
    </row>
    <row r="100" spans="11:12">
      <c r="K100" s="28" t="s">
        <v>11</v>
      </c>
      <c r="L100" s="17">
        <v>63516.959999999999</v>
      </c>
    </row>
    <row r="101" spans="11:12">
      <c r="K101" s="28" t="s">
        <v>1</v>
      </c>
      <c r="L101" s="17">
        <v>51410.04</v>
      </c>
    </row>
    <row r="102" spans="11:12">
      <c r="K102" s="28" t="s">
        <v>4</v>
      </c>
      <c r="L102" s="17">
        <v>45476.639999999999</v>
      </c>
    </row>
    <row r="103" spans="11:12">
      <c r="K103" s="28" t="s">
        <v>15</v>
      </c>
      <c r="L103" s="17">
        <v>39089.68</v>
      </c>
    </row>
    <row r="104" spans="11:12">
      <c r="K104" s="28" t="s">
        <v>3</v>
      </c>
      <c r="L104" s="17">
        <v>36282.479999999996</v>
      </c>
    </row>
    <row r="105" spans="11:12">
      <c r="K105" s="28" t="s">
        <v>19</v>
      </c>
      <c r="L105" s="17">
        <v>24208.039999999997</v>
      </c>
    </row>
    <row r="106" spans="11:12">
      <c r="K106" s="28" t="s">
        <v>6</v>
      </c>
      <c r="L106" s="17">
        <v>22906.519999999997</v>
      </c>
    </row>
    <row r="107" spans="11:12">
      <c r="K107" s="28" t="s">
        <v>17</v>
      </c>
      <c r="L107" s="17">
        <v>22466.880000000001</v>
      </c>
    </row>
    <row r="108" spans="11:12">
      <c r="K108" s="28" t="s">
        <v>24</v>
      </c>
      <c r="L108" s="17">
        <v>21355.599999999999</v>
      </c>
    </row>
    <row r="109" spans="11:12">
      <c r="K109" s="28" t="s">
        <v>12</v>
      </c>
      <c r="L109" s="17">
        <v>17698.12</v>
      </c>
    </row>
    <row r="110" spans="11:12">
      <c r="K110" s="28" t="s">
        <v>14</v>
      </c>
      <c r="L110" s="17">
        <v>17239.919999999998</v>
      </c>
    </row>
    <row r="111" spans="11:12">
      <c r="K111" s="28" t="s">
        <v>5</v>
      </c>
      <c r="L111" s="17">
        <v>16920.919999999998</v>
      </c>
    </row>
    <row r="112" spans="11:12">
      <c r="K112" s="28" t="s">
        <v>13</v>
      </c>
      <c r="L112" s="17">
        <v>15771.36</v>
      </c>
    </row>
    <row r="113" spans="11:12">
      <c r="K113" s="28" t="s">
        <v>23</v>
      </c>
      <c r="L113" s="17">
        <v>10430.719999999999</v>
      </c>
    </row>
    <row r="114" spans="11:12">
      <c r="K114" s="28" t="s">
        <v>10</v>
      </c>
      <c r="L114" s="17">
        <v>9198.7999999999993</v>
      </c>
    </row>
    <row r="115" spans="11:12">
      <c r="K115" s="28" t="s">
        <v>8</v>
      </c>
      <c r="L115" s="17">
        <v>5579.6</v>
      </c>
    </row>
    <row r="116" spans="11:12">
      <c r="K116" s="28" t="s">
        <v>74</v>
      </c>
      <c r="L116" s="17">
        <v>1592733.36</v>
      </c>
    </row>
  </sheetData>
  <phoneticPr fontId="6" type="noConversion"/>
  <pageMargins left="0.7" right="0.7" top="0.75" bottom="0.75" header="0.3" footer="0.3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77C9-371D-42D6-A9C7-BA3AD1676BC5}">
  <dimension ref="A1:M25"/>
  <sheetViews>
    <sheetView tabSelected="1" workbookViewId="0">
      <selection activeCell="C33" sqref="C33"/>
    </sheetView>
  </sheetViews>
  <sheetFormatPr baseColWidth="10" defaultRowHeight="15"/>
  <cols>
    <col min="1" max="1" width="95" customWidth="1"/>
    <col min="2" max="2" width="19.85546875" style="6" customWidth="1"/>
    <col min="3" max="3" width="19.28515625" style="4" customWidth="1"/>
    <col min="4" max="4" width="15.140625" customWidth="1"/>
    <col min="11" max="13" width="4" style="9" customWidth="1"/>
  </cols>
  <sheetData>
    <row r="1" spans="1:13" ht="29.25" customHeight="1" thickBot="1">
      <c r="A1" s="2" t="s">
        <v>44</v>
      </c>
      <c r="B1" s="5" t="s">
        <v>53</v>
      </c>
      <c r="C1" s="22" t="s">
        <v>57</v>
      </c>
      <c r="D1" s="22"/>
      <c r="E1" s="22"/>
      <c r="F1" s="22"/>
      <c r="K1" s="9" t="s">
        <v>28</v>
      </c>
      <c r="L1" s="9" t="s">
        <v>36</v>
      </c>
      <c r="M1" s="9" t="s">
        <v>0</v>
      </c>
    </row>
    <row r="2" spans="1:13" ht="15.75" thickBot="1">
      <c r="A2" s="3" t="s">
        <v>45</v>
      </c>
      <c r="B2" s="11">
        <v>503681</v>
      </c>
      <c r="D2" s="4"/>
      <c r="E2" s="7" t="str">
        <f>IF(B2="","",IF(B2=503681,"✔","✘"))</f>
        <v>✔</v>
      </c>
      <c r="F2" s="14"/>
      <c r="K2" s="9" t="s">
        <v>30</v>
      </c>
      <c r="L2" s="9" t="s">
        <v>37</v>
      </c>
      <c r="M2" s="9" t="s">
        <v>1</v>
      </c>
    </row>
    <row r="3" spans="1:13" ht="22.5" thickBot="1">
      <c r="A3" s="2" t="s">
        <v>39</v>
      </c>
      <c r="B3" s="5" t="s">
        <v>60</v>
      </c>
      <c r="C3" s="1" t="s">
        <v>61</v>
      </c>
      <c r="E3" s="14"/>
      <c r="F3" s="14"/>
      <c r="K3" s="9" t="s">
        <v>31</v>
      </c>
      <c r="L3" s="9" t="s">
        <v>38</v>
      </c>
      <c r="M3" s="9" t="s">
        <v>2</v>
      </c>
    </row>
    <row r="4" spans="1:13" ht="15.75" thickBot="1">
      <c r="A4" s="3" t="s">
        <v>46</v>
      </c>
      <c r="B4" s="11">
        <v>88284</v>
      </c>
      <c r="C4" s="11">
        <v>71797</v>
      </c>
      <c r="D4" s="4"/>
      <c r="E4" s="7" t="str">
        <f>IF(B4="","",IF(B4=88284,"✔","✘"))</f>
        <v>✔</v>
      </c>
      <c r="F4" s="7" t="str">
        <f>IF(C4="","",IF(C4=71797,"✔","✘"))</f>
        <v>✔</v>
      </c>
      <c r="K4" s="9" t="s">
        <v>32</v>
      </c>
      <c r="M4" s="9" t="s">
        <v>3</v>
      </c>
    </row>
    <row r="5" spans="1:13" ht="22.5" thickBot="1">
      <c r="A5" s="2" t="s">
        <v>40</v>
      </c>
      <c r="B5" s="5" t="s">
        <v>54</v>
      </c>
      <c r="C5" s="1" t="s">
        <v>55</v>
      </c>
      <c r="E5" s="14"/>
      <c r="F5" s="14"/>
      <c r="K5" s="9" t="s">
        <v>33</v>
      </c>
      <c r="M5" s="9" t="s">
        <v>4</v>
      </c>
    </row>
    <row r="6" spans="1:13" ht="15.75" thickBot="1">
      <c r="A6" s="3" t="s">
        <v>47</v>
      </c>
      <c r="B6" s="12" t="s">
        <v>33</v>
      </c>
      <c r="C6" s="13" t="s">
        <v>38</v>
      </c>
      <c r="D6" s="4"/>
      <c r="E6" s="7" t="str">
        <f>IF(B6="","",IF(B6="Sistema Hidráulico","✔","✘"))</f>
        <v>✔</v>
      </c>
      <c r="F6" s="7" t="str">
        <f>IF(C6="","",IF(C6="Automotor 3","✔","✘"))</f>
        <v>✔</v>
      </c>
      <c r="K6" s="9" t="s">
        <v>34</v>
      </c>
      <c r="M6" s="9" t="s">
        <v>5</v>
      </c>
    </row>
    <row r="7" spans="1:13" ht="22.5" thickBot="1">
      <c r="A7" s="2" t="s">
        <v>48</v>
      </c>
      <c r="B7" s="5" t="s">
        <v>54</v>
      </c>
      <c r="C7" s="1" t="s">
        <v>55</v>
      </c>
      <c r="E7" s="14"/>
      <c r="F7" s="14"/>
      <c r="K7" s="9" t="s">
        <v>35</v>
      </c>
      <c r="M7" s="9" t="s">
        <v>6</v>
      </c>
    </row>
    <row r="8" spans="1:13" ht="15.75" thickBot="1">
      <c r="A8" s="3" t="s">
        <v>49</v>
      </c>
      <c r="B8" s="12" t="s">
        <v>32</v>
      </c>
      <c r="C8" s="13" t="s">
        <v>37</v>
      </c>
      <c r="E8" s="7" t="str">
        <f>IF(B8="","",IF(B8="Aire Acondicionado","✔","✘"))</f>
        <v>✔</v>
      </c>
      <c r="F8" s="7" t="str">
        <f>IF(C8="","",IF(C8="Automotor 2","✔","✘"))</f>
        <v>✔</v>
      </c>
      <c r="M8" s="9" t="s">
        <v>7</v>
      </c>
    </row>
    <row r="9" spans="1:13" ht="22.5" thickBot="1">
      <c r="A9" s="2" t="s">
        <v>41</v>
      </c>
      <c r="B9" s="5" t="s">
        <v>54</v>
      </c>
      <c r="C9" s="1" t="s">
        <v>55</v>
      </c>
      <c r="E9" s="14"/>
      <c r="F9" s="14"/>
      <c r="M9" s="9" t="s">
        <v>8</v>
      </c>
    </row>
    <row r="10" spans="1:13" ht="15.75" thickBot="1">
      <c r="A10" s="3" t="s">
        <v>50</v>
      </c>
      <c r="B10" s="12" t="s">
        <v>33</v>
      </c>
      <c r="C10" s="13" t="s">
        <v>38</v>
      </c>
      <c r="E10" s="7" t="str">
        <f>IF(B10="","",IF(B10="Sistema Hidráulico","✔","✘"))</f>
        <v>✔</v>
      </c>
      <c r="F10" s="7" t="str">
        <f>IF(C10="","",IF(C10="Automotor 3","✔","✘"))</f>
        <v>✔</v>
      </c>
      <c r="M10" s="9" t="s">
        <v>9</v>
      </c>
    </row>
    <row r="11" spans="1:13" ht="15" customHeight="1">
      <c r="A11" s="10" t="s">
        <v>51</v>
      </c>
      <c r="E11" s="14"/>
      <c r="F11" s="14"/>
      <c r="M11" s="9" t="s">
        <v>10</v>
      </c>
    </row>
    <row r="12" spans="1:13" ht="22.5" thickBot="1">
      <c r="A12" s="2" t="s">
        <v>42</v>
      </c>
      <c r="B12" s="5" t="s">
        <v>56</v>
      </c>
      <c r="C12" s="1" t="s">
        <v>58</v>
      </c>
      <c r="E12" s="14"/>
      <c r="F12" s="14"/>
      <c r="M12" s="9" t="s">
        <v>11</v>
      </c>
    </row>
    <row r="13" spans="1:13" ht="15.75" thickBot="1">
      <c r="A13" s="3" t="s">
        <v>52</v>
      </c>
      <c r="B13" s="12" t="s">
        <v>16</v>
      </c>
      <c r="C13" s="12">
        <v>48</v>
      </c>
      <c r="E13" s="7" t="str">
        <f>IF(B13="","",IF(B13="Pieza 17","✔","✘"))</f>
        <v>✔</v>
      </c>
      <c r="F13" s="7" t="str">
        <f>IF(C13="","",IF(C13=48,"✔","✘"))</f>
        <v>✔</v>
      </c>
      <c r="M13" s="9" t="s">
        <v>12</v>
      </c>
    </row>
    <row r="14" spans="1:13" ht="22.5" thickBot="1">
      <c r="A14" s="2" t="s">
        <v>43</v>
      </c>
      <c r="B14" s="5" t="s">
        <v>56</v>
      </c>
      <c r="C14" s="1" t="s">
        <v>62</v>
      </c>
      <c r="E14" s="14"/>
      <c r="F14" s="14"/>
      <c r="M14" s="9" t="s">
        <v>13</v>
      </c>
    </row>
    <row r="15" spans="1:13" ht="15.75" thickBot="1">
      <c r="A15" s="3" t="s">
        <v>59</v>
      </c>
      <c r="B15" s="12" t="s">
        <v>8</v>
      </c>
      <c r="C15" s="11">
        <v>5579</v>
      </c>
      <c r="D15" s="4"/>
      <c r="E15" s="7" t="str">
        <f>IF(B15="","",IF(B15="Pieza 9","✔","✘"))</f>
        <v>✔</v>
      </c>
      <c r="F15" s="7" t="str">
        <f>IF(C15="","",IF(C15=5579,"✔","✘"))</f>
        <v>✔</v>
      </c>
      <c r="M15" s="9" t="s">
        <v>14</v>
      </c>
    </row>
    <row r="16" spans="1:13">
      <c r="M16" s="9" t="s">
        <v>15</v>
      </c>
    </row>
    <row r="17" spans="13:13">
      <c r="M17" s="9" t="s">
        <v>16</v>
      </c>
    </row>
    <row r="18" spans="13:13">
      <c r="M18" s="9" t="s">
        <v>17</v>
      </c>
    </row>
    <row r="19" spans="13:13">
      <c r="M19" s="9" t="s">
        <v>18</v>
      </c>
    </row>
    <row r="20" spans="13:13">
      <c r="M20" s="9" t="s">
        <v>19</v>
      </c>
    </row>
    <row r="21" spans="13:13">
      <c r="M21" s="9" t="s">
        <v>20</v>
      </c>
    </row>
    <row r="22" spans="13:13">
      <c r="M22" s="9" t="s">
        <v>21</v>
      </c>
    </row>
    <row r="23" spans="13:13">
      <c r="M23" s="9" t="s">
        <v>22</v>
      </c>
    </row>
    <row r="24" spans="13:13">
      <c r="M24" s="9" t="s">
        <v>23</v>
      </c>
    </row>
    <row r="25" spans="13:13">
      <c r="M25" s="9" t="s">
        <v>24</v>
      </c>
    </row>
  </sheetData>
  <sheetProtection algorithmName="SHA-512" hashValue="ziFTU2tKiFjW08Ng8onllRT9wQKaW8PtN4m/KmsDpRo4zT1syC+5icxm9PllIr7iNl0R9V2UewjJcdvSBYGQ+Q==" saltValue="ZDm0e4FqlCpZSxy/8GDpOA==" spinCount="100000" sheet="1" objects="1" scenarios="1"/>
  <mergeCells count="1">
    <mergeCell ref="C1:F1"/>
  </mergeCells>
  <phoneticPr fontId="6" type="noConversion"/>
  <conditionalFormatting sqref="E2">
    <cfRule type="containsBlanks" dxfId="32" priority="52">
      <formula>LEN(TRIM(E2))=0</formula>
    </cfRule>
    <cfRule type="containsText" dxfId="31" priority="53" operator="containsText" text="✘">
      <formula>NOT(ISERROR(SEARCH("✘",E2)))</formula>
    </cfRule>
    <cfRule type="containsText" dxfId="30" priority="54" operator="containsText" text="✔">
      <formula>NOT(ISERROR(SEARCH("✔",E2)))</formula>
    </cfRule>
  </conditionalFormatting>
  <conditionalFormatting sqref="E4:F4">
    <cfRule type="containsBlanks" dxfId="29" priority="46">
      <formula>LEN(TRIM(E4))=0</formula>
    </cfRule>
    <cfRule type="containsText" dxfId="28" priority="47" operator="containsText" text="✘">
      <formula>NOT(ISERROR(SEARCH("✘",E4)))</formula>
    </cfRule>
    <cfRule type="containsText" dxfId="27" priority="48" operator="containsText" text="✔">
      <formula>NOT(ISERROR(SEARCH("✔",E4)))</formula>
    </cfRule>
  </conditionalFormatting>
  <conditionalFormatting sqref="E6:F6">
    <cfRule type="containsBlanks" dxfId="26" priority="34">
      <formula>LEN(TRIM(E6))=0</formula>
    </cfRule>
    <cfRule type="containsText" dxfId="25" priority="35" operator="containsText" text="✘">
      <formula>NOT(ISERROR(SEARCH("✘",E6)))</formula>
    </cfRule>
    <cfRule type="containsText" dxfId="24" priority="36" operator="containsText" text="✔">
      <formula>NOT(ISERROR(SEARCH("✔",E6)))</formula>
    </cfRule>
  </conditionalFormatting>
  <conditionalFormatting sqref="E8:F8">
    <cfRule type="containsBlanks" dxfId="23" priority="16">
      <formula>LEN(TRIM(E8))=0</formula>
    </cfRule>
    <cfRule type="containsText" dxfId="22" priority="17" operator="containsText" text="✘">
      <formula>NOT(ISERROR(SEARCH("✘",E8)))</formula>
    </cfRule>
    <cfRule type="containsText" dxfId="21" priority="18" operator="containsText" text="✔">
      <formula>NOT(ISERROR(SEARCH("✔",E8)))</formula>
    </cfRule>
  </conditionalFormatting>
  <conditionalFormatting sqref="E10:F10">
    <cfRule type="containsBlanks" dxfId="20" priority="10">
      <formula>LEN(TRIM(E10))=0</formula>
    </cfRule>
    <cfRule type="containsText" dxfId="19" priority="11" operator="containsText" text="✘">
      <formula>NOT(ISERROR(SEARCH("✘",E10)))</formula>
    </cfRule>
    <cfRule type="containsText" dxfId="18" priority="12" operator="containsText" text="✔">
      <formula>NOT(ISERROR(SEARCH("✔",E10)))</formula>
    </cfRule>
  </conditionalFormatting>
  <conditionalFormatting sqref="E13:F13">
    <cfRule type="containsBlanks" dxfId="17" priority="4">
      <formula>LEN(TRIM(E13))=0</formula>
    </cfRule>
    <cfRule type="containsText" dxfId="16" priority="5" operator="containsText" text="✘">
      <formula>NOT(ISERROR(SEARCH("✘",E13)))</formula>
    </cfRule>
    <cfRule type="containsText" dxfId="15" priority="6" operator="containsText" text="✔">
      <formula>NOT(ISERROR(SEARCH("✔",E13)))</formula>
    </cfRule>
  </conditionalFormatting>
  <conditionalFormatting sqref="E15:F15">
    <cfRule type="containsBlanks" dxfId="14" priority="1">
      <formula>LEN(TRIM(E15))=0</formula>
    </cfRule>
    <cfRule type="containsText" dxfId="13" priority="2" operator="containsText" text="✘">
      <formula>NOT(ISERROR(SEARCH("✘",E15)))</formula>
    </cfRule>
    <cfRule type="containsText" dxfId="12" priority="3" operator="containsText" text="✔">
      <formula>NOT(ISERROR(SEARCH("✔",E15)))</formula>
    </cfRule>
  </conditionalFormatting>
  <dataValidations count="4">
    <dataValidation type="whole" allowBlank="1" showInputMessage="1" showErrorMessage="1" promptTitle="Pon tu resultado sin decimales" sqref="B2 C15 B4:C4" xr:uid="{51F2295B-773C-447B-BE9B-5CFB1FB786B5}">
      <formula1>0</formula1>
      <formula2>1000000</formula2>
    </dataValidation>
    <dataValidation type="list" allowBlank="1" showInputMessage="1" showErrorMessage="1" sqref="B6 B8 B10" xr:uid="{0CD87091-6AE8-4538-86CF-C73F8E03D4AA}">
      <formula1>$K$1:$K$7</formula1>
    </dataValidation>
    <dataValidation type="list" allowBlank="1" showInputMessage="1" showErrorMessage="1" sqref="C6 C8 C10" xr:uid="{41B1F1CE-C42F-4AE5-8978-47631982D03C}">
      <formula1>$L$1:$L$3</formula1>
    </dataValidation>
    <dataValidation type="list" allowBlank="1" showInputMessage="1" showErrorMessage="1" sqref="B13 B15" xr:uid="{6DAF18CE-A38D-40BF-B714-1D91C2DECE7A}">
      <formula1>$M$1:$M$25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Automotor 1</vt:lpstr>
      <vt:lpstr>Automotor 2</vt:lpstr>
      <vt:lpstr>Automotor 3</vt:lpstr>
      <vt:lpstr>Tablas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Juan Muñoz Meza</cp:lastModifiedBy>
  <dcterms:created xsi:type="dcterms:W3CDTF">2016-10-10T21:48:26Z</dcterms:created>
  <dcterms:modified xsi:type="dcterms:W3CDTF">2024-08-26T20:56:25Z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ba4c9b31-20c0-4f10-ac28-ecea8549c9b6</vt:lpwstr>
  </property>
</Properties>
</file>