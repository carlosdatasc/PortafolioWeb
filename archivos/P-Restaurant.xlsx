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1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drawings/drawing7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uñoz\Cursos\A2\Excel 2\"/>
    </mc:Choice>
  </mc:AlternateContent>
  <xr:revisionPtr revIDLastSave="0" documentId="13_ncr:1_{142F1805-7FD6-4A52-89F3-22D52508E0C5}" xr6:coauthVersionLast="47" xr6:coauthVersionMax="47" xr10:uidLastSave="{00000000-0000-0000-0000-000000000000}"/>
  <bookViews>
    <workbookView xWindow="-120" yWindow="-120" windowWidth="20730" windowHeight="11310" firstSheet="6" activeTab="11" xr2:uid="{0EA209C6-F977-4155-8114-7803A51F3650}"/>
  </bookViews>
  <sheets>
    <sheet name="Intro" sheetId="1" state="hidden" r:id="rId1"/>
    <sheet name="Tablas Limpias" sheetId="12" r:id="rId2"/>
    <sheet name="Tablas Excel" sheetId="11" r:id="rId3"/>
    <sheet name="Tablas Dinámicas" sheetId="10" r:id="rId4"/>
    <sheet name="Gráficas" sheetId="9" r:id="rId5"/>
    <sheet name="Segmentación" sheetId="8" r:id="rId6"/>
    <sheet name="Dashboards" sheetId="7" r:id="rId7"/>
    <sheet name="Condicionales" sheetId="6" r:id="rId8"/>
    <sheet name="BuscarV" sheetId="5" r:id="rId9"/>
    <sheet name="Razonamiento" sheetId="4" r:id="rId10"/>
    <sheet name="Herramientas" sheetId="3" state="hidden" r:id="rId11"/>
    <sheet name="Formato Condicional" sheetId="2" r:id="rId12"/>
  </sheets>
  <definedNames>
    <definedName name="_xlnm._FilterDatabase" localSheetId="7" hidden="1">Condicionales!$A$11:$C$260</definedName>
    <definedName name="_xlnm._FilterDatabase" localSheetId="1" hidden="1">'Tablas Limpias'!$A$11:$J$11</definedName>
    <definedName name="SegmentaciónDeDatos_Años__Fecha">#N/A</definedName>
    <definedName name="SegmentaciónDeDatos_Color">#N/A</definedName>
  </definedNames>
  <calcPr calcId="191029"/>
  <pivotCaches>
    <pivotCache cacheId="29" r:id="rId13"/>
    <pivotCache cacheId="26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4" l="1"/>
  <c r="U36" i="4"/>
  <c r="V36" i="4"/>
  <c r="V35" i="4"/>
  <c r="V34" i="4"/>
  <c r="R43" i="4"/>
  <c r="R42" i="4"/>
  <c r="R41" i="4"/>
  <c r="R36" i="4"/>
  <c r="R37" i="4" s="1"/>
  <c r="R34" i="4"/>
  <c r="S31" i="4"/>
  <c r="R31" i="4"/>
  <c r="R30" i="4"/>
  <c r="R29" i="4"/>
  <c r="R28" i="4"/>
  <c r="R27" i="4"/>
  <c r="R26" i="4"/>
  <c r="U19" i="4"/>
  <c r="T19" i="4"/>
  <c r="S19" i="4"/>
  <c r="S15" i="4"/>
  <c r="S14" i="4"/>
  <c r="S13" i="4"/>
  <c r="S12" i="4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5" i="5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12" i="6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P11" i="7"/>
  <c r="M19" i="7"/>
  <c r="M15" i="7"/>
  <c r="M11" i="7"/>
  <c r="D12" i="5" l="1"/>
</calcChain>
</file>

<file path=xl/sharedStrings.xml><?xml version="1.0" encoding="utf-8"?>
<sst xmlns="http://schemas.openxmlformats.org/spreadsheetml/2006/main" count="9571" uniqueCount="588">
  <si>
    <t>Clave de Venta</t>
  </si>
  <si>
    <t>Fecha</t>
  </si>
  <si>
    <t>Clave Producto</t>
  </si>
  <si>
    <t>Tipo</t>
  </si>
  <si>
    <t>Categoría</t>
  </si>
  <si>
    <t>Producto</t>
  </si>
  <si>
    <t>Color</t>
  </si>
  <si>
    <t>Precio</t>
  </si>
  <si>
    <t>Costo</t>
  </si>
  <si>
    <t>Descuento</t>
  </si>
  <si>
    <t>Ganancia</t>
  </si>
  <si>
    <t>IPP756</t>
  </si>
  <si>
    <t>Iluminación</t>
  </si>
  <si>
    <t>Pantallas</t>
  </si>
  <si>
    <t>Pantalla para Lámpara Burlap</t>
  </si>
  <si>
    <t>No Aplica</t>
  </si>
  <si>
    <t>DCF341</t>
  </si>
  <si>
    <t>Decorasión</t>
  </si>
  <si>
    <t>Cojines Decorativos</t>
  </si>
  <si>
    <t>Funda para Cojín Culiver Reversible Gris</t>
  </si>
  <si>
    <t>Gris</t>
  </si>
  <si>
    <t>DFF542</t>
  </si>
  <si>
    <t>Decoración</t>
  </si>
  <si>
    <t>Floreros y Flores</t>
  </si>
  <si>
    <t>Florero Cut Glass</t>
  </si>
  <si>
    <t>VVV282</t>
  </si>
  <si>
    <t>Velas y Esencias</t>
  </si>
  <si>
    <t>Velas</t>
  </si>
  <si>
    <t>Vela sin Flama Premium Flicker Taper</t>
  </si>
  <si>
    <t>VVS410</t>
  </si>
  <si>
    <t>Set de Velas Tealights</t>
  </si>
  <si>
    <t>DCF374</t>
  </si>
  <si>
    <t>Funda para Cojín Chenille</t>
  </si>
  <si>
    <t>Azul</t>
  </si>
  <si>
    <t>ILL761</t>
  </si>
  <si>
    <t>Lámparas</t>
  </si>
  <si>
    <t>Lámpara de Piso con Polea Glendale</t>
  </si>
  <si>
    <t>VVS735</t>
  </si>
  <si>
    <t>Set de Velas sin Flama Chunky</t>
  </si>
  <si>
    <t>DFF236</t>
  </si>
  <si>
    <t>Florero Aegean</t>
  </si>
  <si>
    <t>DCF212</t>
  </si>
  <si>
    <t>Funda para Cojín Kenobi</t>
  </si>
  <si>
    <t>Blanco</t>
  </si>
  <si>
    <t>VPP362</t>
  </si>
  <si>
    <t>Portavelas</t>
  </si>
  <si>
    <t>Portavela Arlington</t>
  </si>
  <si>
    <t>VVV520</t>
  </si>
  <si>
    <t>Vela sin Flama Parpadeante Azul</t>
  </si>
  <si>
    <t>VVS174</t>
  </si>
  <si>
    <t>Set de Velas Largas Taper</t>
  </si>
  <si>
    <t>DFF871</t>
  </si>
  <si>
    <t>Florero Tuscan</t>
  </si>
  <si>
    <t>DCF571</t>
  </si>
  <si>
    <t>Funda para Cojín French Knot</t>
  </si>
  <si>
    <t>VPP741</t>
  </si>
  <si>
    <t>Portavela Kistler</t>
  </si>
  <si>
    <t>DCF759</t>
  </si>
  <si>
    <t>Funda para Cojín Monte Block Azul</t>
  </si>
  <si>
    <t>ILL169</t>
  </si>
  <si>
    <t>Lámpara de Piso Marston</t>
  </si>
  <si>
    <t>VPÁ655</t>
  </si>
  <si>
    <t>Árbol Decorativo Mercury</t>
  </si>
  <si>
    <t>ILL126</t>
  </si>
  <si>
    <t>Lámpara Seccional Chelsea</t>
  </si>
  <si>
    <t>IPP340</t>
  </si>
  <si>
    <t>Pantalla para Lámpara Sectional</t>
  </si>
  <si>
    <t>DCF141</t>
  </si>
  <si>
    <t>Funda para Cojín Washed Velvet</t>
  </si>
  <si>
    <t>Rojo</t>
  </si>
  <si>
    <t>VPP185</t>
  </si>
  <si>
    <t>Portavela Brooks Cross</t>
  </si>
  <si>
    <t>DCF555</t>
  </si>
  <si>
    <t>Funda para Cojín Reversible Marquette</t>
  </si>
  <si>
    <t>IPP653</t>
  </si>
  <si>
    <t>Pantalla para Lámpara Sectional Burlap</t>
  </si>
  <si>
    <t>DCF415</t>
  </si>
  <si>
    <t>Funda para Cojín Florentine Paisley</t>
  </si>
  <si>
    <t>Verde</t>
  </si>
  <si>
    <t>VVV347</t>
  </si>
  <si>
    <t>Vela Crystal Lidded</t>
  </si>
  <si>
    <t>DCF544</t>
  </si>
  <si>
    <t>Funda para Cojín Kelcie Embroidered Natural</t>
  </si>
  <si>
    <t>VPP897</t>
  </si>
  <si>
    <t>Portavela White Wash</t>
  </si>
  <si>
    <t>DEE703</t>
  </si>
  <si>
    <t>Espejos</t>
  </si>
  <si>
    <t>Espejo Bevel</t>
  </si>
  <si>
    <t>DEE342</t>
  </si>
  <si>
    <t>Espejo Benchwright</t>
  </si>
  <si>
    <t>ILL743</t>
  </si>
  <si>
    <t>Lámpara de Piso Barnaby</t>
  </si>
  <si>
    <t>DEE446</t>
  </si>
  <si>
    <t>Espejo Silver Beaded</t>
  </si>
  <si>
    <t>VPP767</t>
  </si>
  <si>
    <t>Portavela Carson</t>
  </si>
  <si>
    <t>ILL419</t>
  </si>
  <si>
    <t>Lámpara de Piso Chelsea</t>
  </si>
  <si>
    <t>DEE374</t>
  </si>
  <si>
    <t>Espejo Multipanel Extra Chico Eagan</t>
  </si>
  <si>
    <t>ILL603</t>
  </si>
  <si>
    <t>Lámpara de Piso Atticus</t>
  </si>
  <si>
    <t>DCF770</t>
  </si>
  <si>
    <t>Funda para Cojín Shadow Trellis</t>
  </si>
  <si>
    <t>DFR890</t>
  </si>
  <si>
    <t>Ramo de oliva</t>
  </si>
  <si>
    <t>DFT242</t>
  </si>
  <si>
    <t>Tallo Decorativo de Rosa</t>
  </si>
  <si>
    <t>DFF781</t>
  </si>
  <si>
    <t>Florero Sonoma</t>
  </si>
  <si>
    <t>ILL579</t>
  </si>
  <si>
    <t>Lámpara para Consola Sophia Crackled</t>
  </si>
  <si>
    <t>DFM730</t>
  </si>
  <si>
    <t>Mini Cactus en maceta</t>
  </si>
  <si>
    <t>DEE691</t>
  </si>
  <si>
    <t>Espejo Silver Beades</t>
  </si>
  <si>
    <t>DEE226</t>
  </si>
  <si>
    <t>Espejo Multipanel Eagan Bronce</t>
  </si>
  <si>
    <t>DCF650</t>
  </si>
  <si>
    <t>Funda para Cojín Honeycomb</t>
  </si>
  <si>
    <t>DFS340</t>
  </si>
  <si>
    <t>Set de Ramas Tillandsia</t>
  </si>
  <si>
    <t>DFF967</t>
  </si>
  <si>
    <t>Florero Cilíndrico Bosphorus</t>
  </si>
  <si>
    <t>DEE811</t>
  </si>
  <si>
    <t>Espejo Redondo Eagan</t>
  </si>
  <si>
    <t>VVS510</t>
  </si>
  <si>
    <t>Set de Velas Core</t>
  </si>
  <si>
    <t>VPP239</t>
  </si>
  <si>
    <t>Pilar Portavela</t>
  </si>
  <si>
    <t>IPP469</t>
  </si>
  <si>
    <t>Pantalla para Lámpara Tapered</t>
  </si>
  <si>
    <t>VPP254</t>
  </si>
  <si>
    <t>Portavela Eclectic Mercury</t>
  </si>
  <si>
    <t>DCF970</t>
  </si>
  <si>
    <t>Funda para Cojín Libeco</t>
  </si>
  <si>
    <t>ILL267</t>
  </si>
  <si>
    <t>Lampara de Piso Carter</t>
  </si>
  <si>
    <t>DEE790</t>
  </si>
  <si>
    <t>Espejo Multipanel Eagan</t>
  </si>
  <si>
    <t>DCF495</t>
  </si>
  <si>
    <t>Funda para Cojín Bordado Kenmare Ikat</t>
  </si>
  <si>
    <t>ILL723</t>
  </si>
  <si>
    <t>Lámpara de Mesa Jamie Young Ribbon</t>
  </si>
  <si>
    <t>ILL482</t>
  </si>
  <si>
    <t>Lámpara de Piso Finn</t>
  </si>
  <si>
    <t>ILL969</t>
  </si>
  <si>
    <t>Lámpara Redonda Jaimie Young Emma</t>
  </si>
  <si>
    <t>DCF914</t>
  </si>
  <si>
    <t>Funda para Almohada Dara Azul</t>
  </si>
  <si>
    <t>VVV105</t>
  </si>
  <si>
    <t>Vela sin Flama Grand Plastic</t>
  </si>
  <si>
    <t>DFF359</t>
  </si>
  <si>
    <t>Florero Eclectic</t>
  </si>
  <si>
    <t>VVV208</t>
  </si>
  <si>
    <t>Vela Clásica sin Aroma Marfil</t>
  </si>
  <si>
    <t>DFR332</t>
  </si>
  <si>
    <t>Ramo de Rosas Decorativas</t>
  </si>
  <si>
    <t>DEE236</t>
  </si>
  <si>
    <t>Espejo Kensington</t>
  </si>
  <si>
    <t>VPP279</t>
  </si>
  <si>
    <t>Portavela Taper</t>
  </si>
  <si>
    <t>DFF862</t>
  </si>
  <si>
    <t>Florero Marlowe Blanco</t>
  </si>
  <si>
    <t>DCF859</t>
  </si>
  <si>
    <t>Funda para Cojín Jaya Floral Azul</t>
  </si>
  <si>
    <t>DCF370</t>
  </si>
  <si>
    <t>Funda para Cojín Maddie</t>
  </si>
  <si>
    <t>Naranja</t>
  </si>
  <si>
    <t>VVV202</t>
  </si>
  <si>
    <t>Vela Clásica sin Aroma Blanca</t>
  </si>
  <si>
    <t>VPP894</t>
  </si>
  <si>
    <t>Portavela Glass Tree</t>
  </si>
  <si>
    <t>DCF903</t>
  </si>
  <si>
    <t>Funda para Cojín Washed Diamond</t>
  </si>
  <si>
    <t>VVV839</t>
  </si>
  <si>
    <t>Vela sin Flama Parpadeante Gris</t>
  </si>
  <si>
    <t>IPP873</t>
  </si>
  <si>
    <t>Pantalla para Lámpara Straight Sided</t>
  </si>
  <si>
    <t>IVA</t>
  </si>
  <si>
    <t>Número de Empleado</t>
  </si>
  <si>
    <t>Area</t>
  </si>
  <si>
    <t>L07504</t>
  </si>
  <si>
    <t>Software</t>
  </si>
  <si>
    <t>L08156</t>
  </si>
  <si>
    <t>A-7959</t>
  </si>
  <si>
    <t>Hardware</t>
  </si>
  <si>
    <t>L07720</t>
  </si>
  <si>
    <t>R07372</t>
  </si>
  <si>
    <t>L07396</t>
  </si>
  <si>
    <t>R08373</t>
  </si>
  <si>
    <t>R-8110</t>
  </si>
  <si>
    <t>A-7601</t>
  </si>
  <si>
    <t>R-7685</t>
  </si>
  <si>
    <t>L08147</t>
  </si>
  <si>
    <t>L-7860</t>
  </si>
  <si>
    <t>G-7675</t>
  </si>
  <si>
    <t>A-7844</t>
  </si>
  <si>
    <t>Marketing</t>
  </si>
  <si>
    <t>G-8497</t>
  </si>
  <si>
    <t>A-7797</t>
  </si>
  <si>
    <t>Manufactura</t>
  </si>
  <si>
    <t>L07619</t>
  </si>
  <si>
    <t>G07393</t>
  </si>
  <si>
    <t>R07916</t>
  </si>
  <si>
    <t>A-7431</t>
  </si>
  <si>
    <t>G08012</t>
  </si>
  <si>
    <t>A07942</t>
  </si>
  <si>
    <t>R07593</t>
  </si>
  <si>
    <t>G-7793</t>
  </si>
  <si>
    <t>RH</t>
  </si>
  <si>
    <t>A-8261</t>
  </si>
  <si>
    <t>R-8458</t>
  </si>
  <si>
    <t>RESO</t>
  </si>
  <si>
    <t>R08105</t>
  </si>
  <si>
    <t>G-7450</t>
  </si>
  <si>
    <t>G07516</t>
  </si>
  <si>
    <t>R08286</t>
  </si>
  <si>
    <t>A07419</t>
  </si>
  <si>
    <t>A08144</t>
  </si>
  <si>
    <t>A08002</t>
  </si>
  <si>
    <t>A-8470</t>
  </si>
  <si>
    <t>R-7930</t>
  </si>
  <si>
    <t>G-7846</t>
  </si>
  <si>
    <t>G08400</t>
  </si>
  <si>
    <t>R08253</t>
  </si>
  <si>
    <t>L07994</t>
  </si>
  <si>
    <t>G-8393</t>
  </si>
  <si>
    <t>A07947</t>
  </si>
  <si>
    <t>A-7633</t>
  </si>
  <si>
    <t>Administración</t>
  </si>
  <si>
    <t>A07387</t>
  </si>
  <si>
    <t>A-7364</t>
  </si>
  <si>
    <t>R-8363</t>
  </si>
  <si>
    <t>A07385</t>
  </si>
  <si>
    <t>R-7844</t>
  </si>
  <si>
    <t>L08063</t>
  </si>
  <si>
    <t>G07800</t>
  </si>
  <si>
    <t>R-8152</t>
  </si>
  <si>
    <t>A07547</t>
  </si>
  <si>
    <t>G07717</t>
  </si>
  <si>
    <t>G07547</t>
  </si>
  <si>
    <t>R-7780</t>
  </si>
  <si>
    <t>L07702</t>
  </si>
  <si>
    <t>Business Services</t>
  </si>
  <si>
    <t>G-8106</t>
  </si>
  <si>
    <t>A-7840</t>
  </si>
  <si>
    <t>A-8387</t>
  </si>
  <si>
    <t>R-7523</t>
  </si>
  <si>
    <t>A07302</t>
  </si>
  <si>
    <t>R-8282</t>
  </si>
  <si>
    <t>R07903</t>
  </si>
  <si>
    <t>G-8399</t>
  </si>
  <si>
    <t>L-8440</t>
  </si>
  <si>
    <t>R-8171</t>
  </si>
  <si>
    <t>R07444</t>
  </si>
  <si>
    <t>R07859</t>
  </si>
  <si>
    <t>A07792</t>
  </si>
  <si>
    <t>L-7709</t>
  </si>
  <si>
    <t>A-8424</t>
  </si>
  <si>
    <t>G-7446</t>
  </si>
  <si>
    <t>L07347</t>
  </si>
  <si>
    <t>L-8497</t>
  </si>
  <si>
    <t>G07426</t>
  </si>
  <si>
    <t>R-7793</t>
  </si>
  <si>
    <t>L08312</t>
  </si>
  <si>
    <t>L08282</t>
  </si>
  <si>
    <t>A07394</t>
  </si>
  <si>
    <t>G07997</t>
  </si>
  <si>
    <t>R-7903</t>
  </si>
  <si>
    <t>L-8097</t>
  </si>
  <si>
    <t>A07671</t>
  </si>
  <si>
    <t>A-8310</t>
  </si>
  <si>
    <t>G07884</t>
  </si>
  <si>
    <t>L07301</t>
  </si>
  <si>
    <t>L-8444</t>
  </si>
  <si>
    <t>L08381</t>
  </si>
  <si>
    <t>A-7318</t>
  </si>
  <si>
    <t>G07477</t>
  </si>
  <si>
    <t>R07339</t>
  </si>
  <si>
    <t>A-8168</t>
  </si>
  <si>
    <t>G-7897</t>
  </si>
  <si>
    <t>A-7946</t>
  </si>
  <si>
    <t>R-8030</t>
  </si>
  <si>
    <t>A07338</t>
  </si>
  <si>
    <t>R07953</t>
  </si>
  <si>
    <t>R08407</t>
  </si>
  <si>
    <t>R07920</t>
  </si>
  <si>
    <t>A-7480</t>
  </si>
  <si>
    <t>L07555</t>
  </si>
  <si>
    <t>R-7447</t>
  </si>
  <si>
    <t>A-8072</t>
  </si>
  <si>
    <t>R07562</t>
  </si>
  <si>
    <t>A-7744</t>
  </si>
  <si>
    <t>A08184</t>
  </si>
  <si>
    <t>A-8288</t>
  </si>
  <si>
    <t>L-7972</t>
  </si>
  <si>
    <t>R-7418</t>
  </si>
  <si>
    <t>R07949</t>
  </si>
  <si>
    <t>G07480</t>
  </si>
  <si>
    <t>L-8264</t>
  </si>
  <si>
    <t>G07521</t>
  </si>
  <si>
    <t>L-7780</t>
  </si>
  <si>
    <t>G08050</t>
  </si>
  <si>
    <t>G-8337</t>
  </si>
  <si>
    <t>R07449</t>
  </si>
  <si>
    <t>G08266</t>
  </si>
  <si>
    <t>G-8163</t>
  </si>
  <si>
    <t>A08271</t>
  </si>
  <si>
    <t>G08479</t>
  </si>
  <si>
    <t>R-7743</t>
  </si>
  <si>
    <t>L-8359</t>
  </si>
  <si>
    <t>L07843</t>
  </si>
  <si>
    <t>R-8248</t>
  </si>
  <si>
    <t>G-7732</t>
  </si>
  <si>
    <t>R07767</t>
  </si>
  <si>
    <t>R07343</t>
  </si>
  <si>
    <t>A-8273</t>
  </si>
  <si>
    <t>G-8042</t>
  </si>
  <si>
    <t>A-8409</t>
  </si>
  <si>
    <t>R-8402</t>
  </si>
  <si>
    <t>L08362</t>
  </si>
  <si>
    <t>R07479</t>
  </si>
  <si>
    <t>A08084</t>
  </si>
  <si>
    <t>R-7836</t>
  </si>
  <si>
    <t>L08002</t>
  </si>
  <si>
    <t>G07308</t>
  </si>
  <si>
    <t>A-8240</t>
  </si>
  <si>
    <t>G07387</t>
  </si>
  <si>
    <t>L07826</t>
  </si>
  <si>
    <t>A-7887</t>
  </si>
  <si>
    <t>A-7822</t>
  </si>
  <si>
    <t>A07561</t>
  </si>
  <si>
    <t>L-8140</t>
  </si>
  <si>
    <t>G-8358</t>
  </si>
  <si>
    <t>A-7315</t>
  </si>
  <si>
    <t>G08052</t>
  </si>
  <si>
    <t>L-7886</t>
  </si>
  <si>
    <t>G-8048</t>
  </si>
  <si>
    <t>L08387</t>
  </si>
  <si>
    <t>G08121</t>
  </si>
  <si>
    <t>A-7881</t>
  </si>
  <si>
    <t>L07534</t>
  </si>
  <si>
    <t>G08325</t>
  </si>
  <si>
    <t>L-7428</t>
  </si>
  <si>
    <t>R07650</t>
  </si>
  <si>
    <t>A-7727</t>
  </si>
  <si>
    <t>R-8213</t>
  </si>
  <si>
    <t>R-7662</t>
  </si>
  <si>
    <t>R-7677</t>
  </si>
  <si>
    <t>A07458</t>
  </si>
  <si>
    <t>A07894</t>
  </si>
  <si>
    <t>R07934</t>
  </si>
  <si>
    <t>R-7718</t>
  </si>
  <si>
    <t>L08046</t>
  </si>
  <si>
    <t>R07750</t>
  </si>
  <si>
    <t>R-8159</t>
  </si>
  <si>
    <t>L07955</t>
  </si>
  <si>
    <t>G07906</t>
  </si>
  <si>
    <t>G-7423</t>
  </si>
  <si>
    <t>A07795</t>
  </si>
  <si>
    <t>G-8098</t>
  </si>
  <si>
    <t>G-8232</t>
  </si>
  <si>
    <t>L-8363</t>
  </si>
  <si>
    <t>L08248</t>
  </si>
  <si>
    <t>L-7564</t>
  </si>
  <si>
    <t>L-7641</t>
  </si>
  <si>
    <t>R07902</t>
  </si>
  <si>
    <t>L07617</t>
  </si>
  <si>
    <t>R08376</t>
  </si>
  <si>
    <t>R-7454</t>
  </si>
  <si>
    <t>L-8194</t>
  </si>
  <si>
    <t>R07805</t>
  </si>
  <si>
    <t>G07996</t>
  </si>
  <si>
    <t>R08414</t>
  </si>
  <si>
    <t>G-7332</t>
  </si>
  <si>
    <t>R-8388</t>
  </si>
  <si>
    <t>A08196</t>
  </si>
  <si>
    <t>A07696</t>
  </si>
  <si>
    <t>L07665</t>
  </si>
  <si>
    <t>L-7793</t>
  </si>
  <si>
    <t>R-7606</t>
  </si>
  <si>
    <t>A-7980</t>
  </si>
  <si>
    <t>R07443</t>
  </si>
  <si>
    <t>G-8343</t>
  </si>
  <si>
    <t>R-7619</t>
  </si>
  <si>
    <t>R07367</t>
  </si>
  <si>
    <t>A08104</t>
  </si>
  <si>
    <t>L07700</t>
  </si>
  <si>
    <t>R-7428</t>
  </si>
  <si>
    <t>G-7427</t>
  </si>
  <si>
    <t>G-7372</t>
  </si>
  <si>
    <t>A-7912</t>
  </si>
  <si>
    <t>L-8345</t>
  </si>
  <si>
    <t>L07567</t>
  </si>
  <si>
    <t>A-8007</t>
  </si>
  <si>
    <t>L-8018</t>
  </si>
  <si>
    <t>G08372</t>
  </si>
  <si>
    <t>A-7996</t>
  </si>
  <si>
    <t>G-8105</t>
  </si>
  <si>
    <t>R08043</t>
  </si>
  <si>
    <t>L-8493</t>
  </si>
  <si>
    <t>L08030</t>
  </si>
  <si>
    <t>G08175</t>
  </si>
  <si>
    <t>G-7713</t>
  </si>
  <si>
    <t>R-7515</t>
  </si>
  <si>
    <t>A-7384</t>
  </si>
  <si>
    <t>L-7425</t>
  </si>
  <si>
    <t>R-8387</t>
  </si>
  <si>
    <t>A-8221</t>
  </si>
  <si>
    <t>L-7591</t>
  </si>
  <si>
    <t>G08084</t>
  </si>
  <si>
    <t>L08017</t>
  </si>
  <si>
    <t>R07305</t>
  </si>
  <si>
    <t>A-8145</t>
  </si>
  <si>
    <t>L08284</t>
  </si>
  <si>
    <t>G-7322</t>
  </si>
  <si>
    <t>L-8175</t>
  </si>
  <si>
    <t>R-8224</t>
  </si>
  <si>
    <t>R07851</t>
  </si>
  <si>
    <t>G-8471</t>
  </si>
  <si>
    <t>G-8185</t>
  </si>
  <si>
    <t>A-7706</t>
  </si>
  <si>
    <t>R-8002</t>
  </si>
  <si>
    <t>A07681</t>
  </si>
  <si>
    <t>R07641</t>
  </si>
  <si>
    <t>A07688</t>
  </si>
  <si>
    <t>R08125</t>
  </si>
  <si>
    <t>R-7954</t>
  </si>
  <si>
    <t>L08078</t>
  </si>
  <si>
    <t>G07526</t>
  </si>
  <si>
    <t>G-8089</t>
  </si>
  <si>
    <t>G07919</t>
  </si>
  <si>
    <t>A-8341</t>
  </si>
  <si>
    <t>R08273</t>
  </si>
  <si>
    <t>R-8004</t>
  </si>
  <si>
    <t>Salario base</t>
  </si>
  <si>
    <t>Salario Base</t>
  </si>
  <si>
    <t>Aumento</t>
  </si>
  <si>
    <t>Hasta</t>
  </si>
  <si>
    <t>Mayor a</t>
  </si>
  <si>
    <t>Aumentos Salariales</t>
  </si>
  <si>
    <t>SKU</t>
  </si>
  <si>
    <t>NombreZapato</t>
  </si>
  <si>
    <t>Precio Venta</t>
  </si>
  <si>
    <t>DE-15205</t>
  </si>
  <si>
    <t>Deportivos</t>
  </si>
  <si>
    <t>Basketball Elevación</t>
  </si>
  <si>
    <t>BO-15082</t>
  </si>
  <si>
    <t>Botas</t>
  </si>
  <si>
    <t>Iwo Jima Gamuza</t>
  </si>
  <si>
    <t>SA-12124</t>
  </si>
  <si>
    <t>Sandalias</t>
  </si>
  <si>
    <t>HariHari Flips</t>
  </si>
  <si>
    <t>SA-11133</t>
  </si>
  <si>
    <t>HariHari Coloridas</t>
  </si>
  <si>
    <t>FO-14642</t>
  </si>
  <si>
    <t>Formales</t>
  </si>
  <si>
    <t>Central Park Oxford</t>
  </si>
  <si>
    <t>BO-10758</t>
  </si>
  <si>
    <t>Iron Master</t>
  </si>
  <si>
    <t>SA-12963</t>
  </si>
  <si>
    <t>Ahorcapollos</t>
  </si>
  <si>
    <t>FO-12034</t>
  </si>
  <si>
    <t>Hamilton Oxford</t>
  </si>
  <si>
    <t>BO-10119</t>
  </si>
  <si>
    <t>Manchester Chelsea</t>
  </si>
  <si>
    <t>CA-10091</t>
  </si>
  <si>
    <t>Casuales</t>
  </si>
  <si>
    <t>Marineros</t>
  </si>
  <si>
    <t>SA-15899</t>
  </si>
  <si>
    <t>Clásica Colorida</t>
  </si>
  <si>
    <t>FO-14550</t>
  </si>
  <si>
    <t>Beach Oxford</t>
  </si>
  <si>
    <t>FO-13332</t>
  </si>
  <si>
    <t>Marmellon Oxford</t>
  </si>
  <si>
    <t>BO-15397</t>
  </si>
  <si>
    <t>Crosstrail Glory</t>
  </si>
  <si>
    <t>BO-14360</t>
  </si>
  <si>
    <t>Dalian Cordovan</t>
  </si>
  <si>
    <t>DE-10381</t>
  </si>
  <si>
    <t>Football Americano Furia</t>
  </si>
  <si>
    <t>FO-12560</t>
  </si>
  <si>
    <t>SFO Derby Shoe</t>
  </si>
  <si>
    <t>FO-13896</t>
  </si>
  <si>
    <t>SFO Dress Loafer</t>
  </si>
  <si>
    <t>BO-12103</t>
  </si>
  <si>
    <t>Dalian Wingtip Vestir</t>
  </si>
  <si>
    <t>CA-14506</t>
  </si>
  <si>
    <t>Tennis Skt8r</t>
  </si>
  <si>
    <t>SA-15593</t>
  </si>
  <si>
    <t>Clásica Flip</t>
  </si>
  <si>
    <t>DE-14690</t>
  </si>
  <si>
    <t>Escalada Presición</t>
  </si>
  <si>
    <t>DE-14163</t>
  </si>
  <si>
    <t>Trail Velocidad</t>
  </si>
  <si>
    <t>DE-12516</t>
  </si>
  <si>
    <t>Tennis Momentum</t>
  </si>
  <si>
    <t>DE-15588</t>
  </si>
  <si>
    <t>Correr Spring</t>
  </si>
  <si>
    <t>CA-11145</t>
  </si>
  <si>
    <t>Tennis Club-Diva</t>
  </si>
  <si>
    <t>CA-15201</t>
  </si>
  <si>
    <t>Roble Casual</t>
  </si>
  <si>
    <t>DE-11233</t>
  </si>
  <si>
    <t>Trail Impermeables</t>
  </si>
  <si>
    <t>DE-14590</t>
  </si>
  <si>
    <t>Correr Maratón</t>
  </si>
  <si>
    <t>DE-14064</t>
  </si>
  <si>
    <t>Crossfit Fuerza</t>
  </si>
  <si>
    <t>FO-15561</t>
  </si>
  <si>
    <t>McDermond Wingtip Oxford</t>
  </si>
  <si>
    <t>FO-14900</t>
  </si>
  <si>
    <t>Tywin Penny Loafer</t>
  </si>
  <si>
    <t>CA-15742</t>
  </si>
  <si>
    <t>Tennis Lounge</t>
  </si>
  <si>
    <t>CA-11217</t>
  </si>
  <si>
    <t>Tennis Punk</t>
  </si>
  <si>
    <t>CA-14538</t>
  </si>
  <si>
    <t>William Comfort</t>
  </si>
  <si>
    <t>Cassini Walking Shoe</t>
  </si>
  <si>
    <t>CA-12215</t>
  </si>
  <si>
    <t>Wasteland Comfort</t>
  </si>
  <si>
    <t>FO-12642</t>
  </si>
  <si>
    <t>5ta Avenida Oxford</t>
  </si>
  <si>
    <t>BO-13867</t>
  </si>
  <si>
    <t>Crosstrail Victory</t>
  </si>
  <si>
    <t>FO-14755</t>
  </si>
  <si>
    <t>Marmellon Wingtip Oxford</t>
  </si>
  <si>
    <t>BO-12304</t>
  </si>
  <si>
    <t>Iwo Jima Hule</t>
  </si>
  <si>
    <t>CA-11992</t>
  </si>
  <si>
    <t>Tennis All American</t>
  </si>
  <si>
    <t>FO-11139</t>
  </si>
  <si>
    <t>McDermond Oxford CapToe</t>
  </si>
  <si>
    <t>FO-11930</t>
  </si>
  <si>
    <t>Avenue Cap Toe Dress Shoe</t>
  </si>
  <si>
    <t>FO-15811</t>
  </si>
  <si>
    <t>Central Park Wingtip Oxford</t>
  </si>
  <si>
    <t>CA-10908</t>
  </si>
  <si>
    <t>Tennis Rockstar</t>
  </si>
  <si>
    <t>FO-11400</t>
  </si>
  <si>
    <t>Blackson Dress Loafer</t>
  </si>
  <si>
    <t>DE-15000</t>
  </si>
  <si>
    <t>Soccer Soyboy</t>
  </si>
  <si>
    <t>BO-11125</t>
  </si>
  <si>
    <t>Iron Master Wingtip</t>
  </si>
  <si>
    <t>FO-10885</t>
  </si>
  <si>
    <t>Delroy Loafer</t>
  </si>
  <si>
    <t>Desc $</t>
  </si>
  <si>
    <t>Suma de Precio</t>
  </si>
  <si>
    <t>Etiquetas de fila</t>
  </si>
  <si>
    <t>Total general</t>
  </si>
  <si>
    <t>2016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</si>
  <si>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</si>
  <si>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</si>
  <si>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</si>
  <si>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</si>
  <si>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</si>
  <si>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</si>
  <si>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</si>
  <si>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</si>
  <si>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</si>
  <si>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</si>
  <si>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</si>
  <si>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</si>
  <si>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2017</t>
  </si>
  <si>
    <t>Años (Fecha)</t>
  </si>
  <si>
    <t>Meses (Fecha)</t>
  </si>
  <si>
    <t>Total 2016</t>
  </si>
  <si>
    <t>Total 2017</t>
  </si>
  <si>
    <t>(Todas)</t>
  </si>
  <si>
    <t>Cuenta de Producto</t>
  </si>
  <si>
    <t>Promedio de Descuento</t>
  </si>
  <si>
    <t>Suma de Ganancia</t>
  </si>
  <si>
    <t>Total Decoración</t>
  </si>
  <si>
    <t>Total Iluminación</t>
  </si>
  <si>
    <t>Total Velas y Esencias</t>
  </si>
  <si>
    <t>Suma de Ganancia_pct</t>
  </si>
  <si>
    <t>Suma de Costo</t>
  </si>
  <si>
    <t xml:space="preserve"> </t>
  </si>
  <si>
    <t>Aumento Sal.</t>
  </si>
  <si>
    <t>FINAL</t>
  </si>
  <si>
    <t>Venta</t>
  </si>
  <si>
    <t>Categoria</t>
  </si>
  <si>
    <t>Suma de Venta</t>
  </si>
  <si>
    <t>alumnos</t>
  </si>
  <si>
    <t>Promedio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</si>
</sst>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Franklin Gothic Demi Cond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31">
    <xf numFmtId="0" fontId="0" fillId="0" borderId="0" xfId="0"/>
    <xf numFmtId="15" fontId="0" fillId="0" borderId="0" xfId="0" applyNumberFormat="1"/>
    <xf numFmtId="9" fontId="0" fillId="0" borderId="0" xfId="0" applyNumberFormat="1"/>
    <xf numFmtId="0" fontId="1" fillId="2" borderId="1" xfId="1"/>
    <xf numFmtId="9" fontId="1" fillId="2" borderId="1" xfId="1" applyNumberFormat="1"/>
    <xf numFmtId="8" fontId="0" fillId="0" borderId="0" xfId="0" applyNumberFormat="1"/>
    <xf numFmtId="0" fontId="3" fillId="0" borderId="0" xfId="0" applyFont="1"/>
    <xf numFmtId="15" fontId="3" fillId="0" borderId="0" xfId="0" applyNumberFormat="1" applyFont="1"/>
    <xf numFmtId="8" fontId="3" fillId="0" borderId="0" xfId="0" applyNumberFormat="1" applyFont="1"/>
    <xf numFmtId="9" fontId="3" fillId="0" borderId="0" xfId="0" applyNumberFormat="1" applyFont="1"/>
    <xf numFmtId="0" fontId="2" fillId="3" borderId="0" xfId="2" applyFont="1"/>
    <xf numFmtId="8" fontId="3" fillId="3" borderId="0" xfId="2" applyNumberFormat="1"/>
    <xf numFmtId="9" fontId="3" fillId="3" borderId="0" xfId="2" applyNumberForma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5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4" fontId="0" fillId="0" borderId="0" xfId="0" applyNumberFormat="1"/>
    <xf numFmtId="10" fontId="0" fillId="0" borderId="0" xfId="0" applyNumberFormat="1" applyFont="1"/>
    <xf numFmtId="10" fontId="0" fillId="0" borderId="0" xfId="0" applyNumberFormat="1"/>
    <xf numFmtId="0" fontId="6" fillId="0" borderId="0" xfId="0" applyFont="1"/>
    <xf numFmtId="8" fontId="6" fillId="0" borderId="0" xfId="0" applyNumberFormat="1" applyFont="1"/>
  </cellXfs>
  <cellStyles count="3">
    <cellStyle name="Énfasis2" xfId="2" builtinId="33"/>
    <cellStyle name="Entrada" xfId="1" builtinId="20"/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2" formatCode="&quot;$&quot;#,##0.00;[Red]\-&quot;$&quot;#,##0.00"/>
    </dxf>
    <dxf>
      <font>
        <color rgb="FF006100"/>
      </font>
      <fill>
        <patternFill>
          <bgColor rgb="FFC6EFCE"/>
        </patternFill>
      </fill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20" formatCode="dd\-mmm\-yy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4" formatCode="0.00%"/>
    </dxf>
    <dxf>
      <numFmt numFmtId="14" formatCode="0.00%"/>
    </dxf>
    <dxf>
      <font>
        <strike val="0"/>
      </font>
    </dxf>
    <dxf>
      <numFmt numFmtId="4" formatCode="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;[Red]\-&quot;$&quot;#,##0.00"/>
    </dxf>
    <dxf>
      <numFmt numFmtId="13" formatCode="0%"/>
    </dxf>
    <dxf>
      <numFmt numFmtId="12" formatCode="&quot;$&quot;#,##0.00;[Red]\-&quot;$&quot;#,##0.00"/>
    </dxf>
    <dxf>
      <numFmt numFmtId="12" formatCode="&quot;$&quot;#,##0.00;[Red]\-&quot;$&quot;#,##0.00"/>
    </dxf>
    <dxf>
      <numFmt numFmtId="20" formatCode="dd\-mmm\-yy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1.8319553805774279E-2"/>
              <c:y val="-7.17246281714785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2016</c:v>
              </c:pt>
              <c:pt idx="1">
                <c:v>2017</c:v>
              </c:pt>
            </c:strLit>
          </c:cat>
          <c:val>
            <c:numLit>
              <c:formatCode>General</c:formatCode>
              <c:ptCount val="2"/>
              <c:pt idx="0">
                <c:v>667732.7499999993</c:v>
              </c:pt>
              <c:pt idx="1">
                <c:v>74656.260000000009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67B-4315-BDD9-A27E0B8B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12192"/>
        <c:axId val="427280064"/>
      </c:lineChart>
      <c:catAx>
        <c:axId val="4322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7280064"/>
        <c:crosses val="autoZero"/>
        <c:auto val="1"/>
        <c:lblAlgn val="ctr"/>
        <c:lblOffset val="100"/>
        <c:noMultiLvlLbl val="0"/>
      </c:catAx>
      <c:valAx>
        <c:axId val="42728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22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[Repaso General Examen.xlsx]Gráficas!TablaDinámica6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Gráficas!$K$9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Gráficas!$J$10:$J$22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Gráficas!$K$10:$K$22</c:f>
              <c:numCache>
                <c:formatCode>"$"#,##0.00_);[Red]\("$"#,##0.00\)</c:formatCode>
                <c:ptCount val="12"/>
                <c:pt idx="0">
                  <c:v>59329.51</c:v>
                </c:pt>
                <c:pt idx="1">
                  <c:v>163114.15</c:v>
                </c:pt>
                <c:pt idx="2">
                  <c:v>93251.49</c:v>
                </c:pt>
                <c:pt idx="3">
                  <c:v>25467.000000000007</c:v>
                </c:pt>
                <c:pt idx="4">
                  <c:v>118890.44999999998</c:v>
                </c:pt>
                <c:pt idx="5">
                  <c:v>32268.32</c:v>
                </c:pt>
                <c:pt idx="6">
                  <c:v>54741.030000000021</c:v>
                </c:pt>
                <c:pt idx="7">
                  <c:v>32989.430000000008</c:v>
                </c:pt>
                <c:pt idx="8">
                  <c:v>71878.410000000018</c:v>
                </c:pt>
                <c:pt idx="9">
                  <c:v>49823.180000000008</c:v>
                </c:pt>
                <c:pt idx="10">
                  <c:v>22875.05000000001</c:v>
                </c:pt>
                <c:pt idx="11">
                  <c:v>17760.989999999994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F-42B7-90B6-99972FCF0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532623"/>
        <c:axId val="1935081104"/>
      </c:lineChart>
      <c:catAx>
        <c:axId val="14705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35081104"/>
        <c:crosses val="autoZero"/>
        <c:auto val="1"/>
        <c:lblAlgn val="ctr"/>
        <c:lblOffset val="100"/>
        <c:noMultiLvlLbl val="0"/>
      </c:catAx>
      <c:valAx>
        <c:axId val="1935081104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053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[Repaso General Examen.xlsx]Gráficas!TablaDinámica7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Gráficas!$K$25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Gráficas!$J$26:$J$33</c:f>
              <c:strCache>
                <c:ptCount val="7"/>
                <c:pt idx="0">
                  <c:v>Portavelas</c:v>
                </c:pt>
                <c:pt idx="1">
                  <c:v>Floreros y Flores</c:v>
                </c:pt>
                <c:pt idx="2">
                  <c:v>Pantallas</c:v>
                </c:pt>
                <c:pt idx="3">
                  <c:v>Velas</c:v>
                </c:pt>
                <c:pt idx="4">
                  <c:v>Cojines Decorativos</c:v>
                </c:pt>
                <c:pt idx="5">
                  <c:v>Lámparas</c:v>
                </c:pt>
                <c:pt idx="6">
                  <c:v>Espejos</c:v>
                </c:pt>
              </c:strCache>
            </c:strRef>
          </c:cat>
          <c:val>
            <c:numRef>
              <c:f>Gráficas!$K$26:$K$33</c:f>
              <c:numCache>
                <c:formatCode>"$"#,##0.00_);[Red]\("$"#,##0.00\)</c:formatCode>
                <c:ptCount val="7"/>
                <c:pt idx="0">
                  <c:v>5210.4500000000016</c:v>
                </c:pt>
                <c:pt idx="1">
                  <c:v>9924.0699999999979</c:v>
                </c:pt>
                <c:pt idx="2">
                  <c:v>21202.2</c:v>
                </c:pt>
                <c:pt idx="3">
                  <c:v>22071.809999999998</c:v>
                </c:pt>
                <c:pt idx="4">
                  <c:v>29342.919999999984</c:v>
                </c:pt>
                <c:pt idx="5">
                  <c:v>108228.46</c:v>
                </c:pt>
                <c:pt idx="6">
                  <c:v>110145.83000000002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1-41C8-9504-E78EB5065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726271"/>
        <c:axId val="1352180095"/>
      </c:barChart>
      <c:catAx>
        <c:axId val="151372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2180095"/>
        <c:crosses val="autoZero"/>
        <c:auto val="1"/>
        <c:lblAlgn val="ctr"/>
        <c:lblOffset val="100"/>
        <c:noMultiLvlLbl val="0"/>
      </c:catAx>
      <c:valAx>
        <c:axId val="1352180095"/>
        <c:scaling>
          <c:orientation val="minMax"/>
        </c:scaling>
        <c:delete val="1"/>
        <c:axPos val="b"/>
        <c:numFmt formatCode="&quot;$&quot;#,##0.00_);[Red]\(&quot;$&quot;#,##0.00\)" sourceLinked="1"/>
        <c:majorTickMark val="none"/>
        <c:minorTickMark val="none"/>
        <c:tickLblPos val="nextTo"/>
        <c:crossAx val="151372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[Repaso General Examen.xlsx]Gráficas!TablaDinámica9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Cantidad</a:t>
            </a:r>
            <a:r>
              <a:rPr lang="es-MX" baseline="0"/>
              <a:t> vendidas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Gráficas!$A$39:$A$41</c:f>
              <c:strCache>
                <c:ptCount val="2"/>
                <c:pt idx="0">
                  <c:v>Portavelas</c:v>
                </c:pt>
                <c:pt idx="1">
                  <c:v>Velas</c:v>
                </c:pt>
              </c:strCache>
            </c:strRef>
          </c:cat>
          <c:val>
            <c:numRef>
              <c:f>Gráficas!$B$39:$B$41</c:f>
              <c:numCache>
                <c:formatCode>General</c:formatCode>
                <c:ptCount val="2"/>
                <c:pt idx="0">
                  <c:v>45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A-4792-B893-EDA30B833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534063"/>
        <c:axId val="1515888607"/>
      </c:barChart>
      <c:catAx>
        <c:axId val="147053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5888607"/>
        <c:crosses val="autoZero"/>
        <c:auto val="1"/>
        <c:lblAlgn val="ctr"/>
        <c:lblOffset val="100"/>
        <c:noMultiLvlLbl val="0"/>
      </c:catAx>
      <c:valAx>
        <c:axId val="151588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05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[Repaso General Examen.xlsx]BuscarV!TablaDinámica14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BuscarV!$H$74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BuscarV!$G$75:$G$80</c:f>
              <c:strCache>
                <c:ptCount val="5"/>
                <c:pt idx="0">
                  <c:v>Botas</c:v>
                </c:pt>
                <c:pt idx="1">
                  <c:v>Casuales</c:v>
                </c:pt>
                <c:pt idx="2">
                  <c:v>Deportivos</c:v>
                </c:pt>
                <c:pt idx="3">
                  <c:v>Formales</c:v>
                </c:pt>
                <c:pt idx="4">
                  <c:v>Sandalias</c:v>
                </c:pt>
              </c:strCache>
            </c:strRef>
          </c:cat>
          <c:val>
            <c:numRef>
              <c:f>BuscarV!$H$75:$H$80</c:f>
              <c:numCache>
                <c:formatCode>"$"#,##0.00_);[Red]\("$"#,##0.00\)</c:formatCode>
                <c:ptCount val="5"/>
                <c:pt idx="0">
                  <c:v>430110</c:v>
                </c:pt>
                <c:pt idx="1">
                  <c:v>221660</c:v>
                </c:pt>
                <c:pt idx="2">
                  <c:v>364510</c:v>
                </c:pt>
                <c:pt idx="3">
                  <c:v>433130</c:v>
                </c:pt>
                <c:pt idx="4">
                  <c:v>52550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B-49A8-9F5D-3BF03C49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644399"/>
        <c:axId val="1475907791"/>
      </c:barChart>
      <c:catAx>
        <c:axId val="13496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5907791"/>
        <c:crosses val="autoZero"/>
        <c:auto val="1"/>
        <c:lblAlgn val="ctr"/>
        <c:lblOffset val="100"/>
        <c:noMultiLvlLbl val="0"/>
      </c:catAx>
      <c:valAx>
        <c:axId val="1475907791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134964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6</xdr:row>
      <xdr:rowOff>66674</xdr:rowOff>
    </xdr:from>
    <xdr:to>
      <xdr:col>19</xdr:col>
      <xdr:colOff>586063</xdr:colOff>
      <xdr:row>30</xdr:row>
      <xdr:rowOff>167640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38C6478-9E90-4DF1-90CE-42EDE2C16C4A}"/>
            </a:ext>
          </a:extLst>
        </xdr:cNvPr>
        <xdr:cNvGrpSpPr/>
      </xdr:nvGrpSpPr>
      <xdr:grpSpPr>
        <a:xfrm>
          <a:off x="10877550" y="1209674"/>
          <a:ext cx="5500963" cy="4672966"/>
          <a:chOff x="10563225" y="1209675"/>
          <a:chExt cx="5500963" cy="4540784"/>
        </a:xfrm>
      </xdr:grpSpPr>
      <xdr:sp macro="" textlink="">
        <xdr:nvSpPr>
          <xdr:cNvPr id="4" name="Fondo" descr="Fondo">
            <a:extLst>
              <a:ext uri="{FF2B5EF4-FFF2-40B4-BE49-F238E27FC236}">
                <a16:creationId xmlns:a16="http://schemas.microsoft.com/office/drawing/2014/main" id="{D08A1691-6431-4031-9D9E-7818623EECD9}"/>
              </a:ext>
            </a:extLst>
          </xdr:cNvPr>
          <xdr:cNvSpPr/>
        </xdr:nvSpPr>
        <xdr:spPr>
          <a:xfrm>
            <a:off x="10563225" y="1209675"/>
            <a:ext cx="4295775" cy="4540784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5" name="Paso" descr="Agregar números como quiera">
            <a:extLst>
              <a:ext uri="{FF2B5EF4-FFF2-40B4-BE49-F238E27FC236}">
                <a16:creationId xmlns:a16="http://schemas.microsoft.com/office/drawing/2014/main" id="{28C14FAE-EA6C-4B81-939D-A9F8AE9EC445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6" name="Línea superior" descr="Línea decorativa">
            <a:extLst>
              <a:ext uri="{FF2B5EF4-FFF2-40B4-BE49-F238E27FC236}">
                <a16:creationId xmlns:a16="http://schemas.microsoft.com/office/drawing/2014/main" id="{441FDB99-091A-492B-B09B-C5DA3755CE95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B806DA30-EFC4-4C4F-A4F3-54E3872A4969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638175</xdr:colOff>
      <xdr:row>7</xdr:row>
      <xdr:rowOff>66689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319A1E-403D-4F1D-A309-16FE50B7F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505450" cy="1400188"/>
        </a:xfrm>
        <a:prstGeom prst="rect">
          <a:avLst/>
        </a:prstGeom>
      </xdr:spPr>
    </xdr:pic>
    <xdr:clientData/>
  </xdr:twoCellAnchor>
  <xdr:twoCellAnchor editAs="oneCell">
    <xdr:from>
      <xdr:col>11</xdr:col>
      <xdr:colOff>165072</xdr:colOff>
      <xdr:row>10</xdr:row>
      <xdr:rowOff>176661</xdr:rowOff>
    </xdr:from>
    <xdr:to>
      <xdr:col>19</xdr:col>
      <xdr:colOff>504822</xdr:colOff>
      <xdr:row>14</xdr:row>
      <xdr:rowOff>12322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366341EB-4A6B-40AD-9991-5A9DF9DCCC65}"/>
            </a:ext>
          </a:extLst>
        </xdr:cNvPr>
        <xdr:cNvGrpSpPr/>
      </xdr:nvGrpSpPr>
      <xdr:grpSpPr>
        <a:xfrm>
          <a:off x="11080722" y="2081661"/>
          <a:ext cx="5216550" cy="597661"/>
          <a:chOff x="231749" y="1003336"/>
          <a:chExt cx="5216550" cy="603885"/>
        </a:xfrm>
      </xdr:grpSpPr>
      <xdr:sp macro="" textlink="">
        <xdr:nvSpPr>
          <xdr:cNvPr id="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9002440A-6CF0-4524-B073-1AD762898DD7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 filtros a esta tabla. </a:t>
            </a: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FA303309-96CB-48BF-8BDC-3F1E139EC71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11</xdr:col>
      <xdr:colOff>155547</xdr:colOff>
      <xdr:row>13</xdr:row>
      <xdr:rowOff>176661</xdr:rowOff>
    </xdr:from>
    <xdr:to>
      <xdr:col>17</xdr:col>
      <xdr:colOff>542925</xdr:colOff>
      <xdr:row>17</xdr:row>
      <xdr:rowOff>12322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067B2890-0E8D-4B75-A75C-62D6E7619108}"/>
            </a:ext>
          </a:extLst>
        </xdr:cNvPr>
        <xdr:cNvGrpSpPr/>
      </xdr:nvGrpSpPr>
      <xdr:grpSpPr>
        <a:xfrm>
          <a:off x="11071197" y="2653161"/>
          <a:ext cx="4044978" cy="597661"/>
          <a:chOff x="231749" y="1003336"/>
          <a:chExt cx="4044978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01488854-8AFC-43FE-AF4C-E2B63055BAE8}"/>
              </a:ext>
            </a:extLst>
          </xdr:cNvPr>
          <xdr:cNvSpPr txBox="1"/>
        </xdr:nvSpPr>
        <xdr:spPr>
          <a:xfrm>
            <a:off x="638783" y="1045834"/>
            <a:ext cx="3637944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 supone solo puede haber datos del 2016 y 2017. Busca fechas erroneas y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conviértelas al 2016 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(Filtros, Buscar y Reemplazar)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C9E2AB7D-B5A7-432D-88B6-091282AC1ABC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11</xdr:col>
      <xdr:colOff>165072</xdr:colOff>
      <xdr:row>17</xdr:row>
      <xdr:rowOff>129036</xdr:rowOff>
    </xdr:from>
    <xdr:to>
      <xdr:col>17</xdr:col>
      <xdr:colOff>552450</xdr:colOff>
      <xdr:row>20</xdr:row>
      <xdr:rowOff>155197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0DC161D5-7896-4A65-B9D6-91EB6A104A6D}"/>
            </a:ext>
          </a:extLst>
        </xdr:cNvPr>
        <xdr:cNvGrpSpPr/>
      </xdr:nvGrpSpPr>
      <xdr:grpSpPr>
        <a:xfrm>
          <a:off x="11080722" y="3367536"/>
          <a:ext cx="4044978" cy="597661"/>
          <a:chOff x="231749" y="1003336"/>
          <a:chExt cx="4044978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A01A880-4B8D-4135-A951-F28AADC82573}"/>
              </a:ext>
            </a:extLst>
          </xdr:cNvPr>
          <xdr:cNvSpPr txBox="1"/>
        </xdr:nvSpPr>
        <xdr:spPr>
          <a:xfrm>
            <a:off x="638783" y="1045834"/>
            <a:ext cx="3637944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Hay espacios de más en la columna de categorías. Corrígelos usando Texto en Columnas.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5EC882E6-A10C-42FA-B23C-B279B4A281C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11</xdr:col>
      <xdr:colOff>155547</xdr:colOff>
      <xdr:row>21</xdr:row>
      <xdr:rowOff>33786</xdr:rowOff>
    </xdr:from>
    <xdr:to>
      <xdr:col>17</xdr:col>
      <xdr:colOff>542925</xdr:colOff>
      <xdr:row>24</xdr:row>
      <xdr:rowOff>59947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191AD40C-CD60-4B80-8322-9BEBE327ED6B}"/>
            </a:ext>
          </a:extLst>
        </xdr:cNvPr>
        <xdr:cNvGrpSpPr/>
      </xdr:nvGrpSpPr>
      <xdr:grpSpPr>
        <a:xfrm>
          <a:off x="11071197" y="4034286"/>
          <a:ext cx="4044978" cy="597661"/>
          <a:chOff x="231749" y="1003336"/>
          <a:chExt cx="4044978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5E0B73C8-39BD-44A0-AC44-29B2B18A1E3F}"/>
              </a:ext>
            </a:extLst>
          </xdr:cNvPr>
          <xdr:cNvSpPr txBox="1"/>
        </xdr:nvSpPr>
        <xdr:spPr>
          <a:xfrm>
            <a:off x="638783" y="1045834"/>
            <a:ext cx="3637944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Usando la herramienta de Quitar Duplicados, obtén la lista de diferentes Categorías en la tienda. Muestra tu resultado en la columna U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86668D1E-8183-410F-BA2D-6029F41C0DD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11</xdr:col>
      <xdr:colOff>170787</xdr:colOff>
      <xdr:row>25</xdr:row>
      <xdr:rowOff>18546</xdr:rowOff>
    </xdr:from>
    <xdr:to>
      <xdr:col>17</xdr:col>
      <xdr:colOff>558165</xdr:colOff>
      <xdr:row>28</xdr:row>
      <xdr:rowOff>44707</xdr:rowOff>
    </xdr:to>
    <xdr:grpSp>
      <xdr:nvGrpSpPr>
        <xdr:cNvPr id="21" name="Step1">
          <a:extLst>
            <a:ext uri="{FF2B5EF4-FFF2-40B4-BE49-F238E27FC236}">
              <a16:creationId xmlns:a16="http://schemas.microsoft.com/office/drawing/2014/main" id="{FB0D9759-282B-4262-86D1-3406B1ACAC5E}"/>
            </a:ext>
          </a:extLst>
        </xdr:cNvPr>
        <xdr:cNvGrpSpPr/>
      </xdr:nvGrpSpPr>
      <xdr:grpSpPr>
        <a:xfrm>
          <a:off x="11086437" y="4781046"/>
          <a:ext cx="4044978" cy="597661"/>
          <a:chOff x="231749" y="1003336"/>
          <a:chExt cx="4044978" cy="603885"/>
        </a:xfrm>
      </xdr:grpSpPr>
      <xdr:sp macro="" textlink="">
        <xdr:nvSpPr>
          <xdr:cNvPr id="2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1B8722A3-8087-4869-9EF2-96C1B6632834}"/>
              </a:ext>
            </a:extLst>
          </xdr:cNvPr>
          <xdr:cNvSpPr txBox="1"/>
        </xdr:nvSpPr>
        <xdr:spPr>
          <a:xfrm>
            <a:off x="638783" y="1045834"/>
            <a:ext cx="3637944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Convertir descuentos a formato de porcentaje. Precios y costos a formato de moneda. </a:t>
            </a:r>
          </a:p>
        </xdr:txBody>
      </xdr:sp>
      <xdr:sp macro="" textlink="">
        <xdr:nvSpPr>
          <xdr:cNvPr id="23" name="1" descr="1">
            <a:extLst>
              <a:ext uri="{FF2B5EF4-FFF2-40B4-BE49-F238E27FC236}">
                <a16:creationId xmlns:a16="http://schemas.microsoft.com/office/drawing/2014/main" id="{C857B36F-F51A-458A-AE60-39D4FADFDCD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333375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4CD9A-EA04-4205-819C-56B9E01F7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14</xdr:col>
      <xdr:colOff>342900</xdr:colOff>
      <xdr:row>8</xdr:row>
      <xdr:rowOff>19050</xdr:rowOff>
    </xdr:from>
    <xdr:to>
      <xdr:col>23</xdr:col>
      <xdr:colOff>357463</xdr:colOff>
      <xdr:row>28</xdr:row>
      <xdr:rowOff>133350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47C66004-0558-4188-9B8C-9728BAF847EF}"/>
            </a:ext>
          </a:extLst>
        </xdr:cNvPr>
        <xdr:cNvGrpSpPr/>
      </xdr:nvGrpSpPr>
      <xdr:grpSpPr>
        <a:xfrm>
          <a:off x="13535025" y="1543050"/>
          <a:ext cx="5500963" cy="3924300"/>
          <a:chOff x="10563225" y="1209675"/>
          <a:chExt cx="5500963" cy="3924300"/>
        </a:xfrm>
      </xdr:grpSpPr>
      <xdr:sp macro="" textlink="">
        <xdr:nvSpPr>
          <xdr:cNvPr id="14" name="Fondo" descr="Fondo">
            <a:extLst>
              <a:ext uri="{FF2B5EF4-FFF2-40B4-BE49-F238E27FC236}">
                <a16:creationId xmlns:a16="http://schemas.microsoft.com/office/drawing/2014/main" id="{A0F29105-4300-4E78-82E3-07C8414DE698}"/>
              </a:ext>
            </a:extLst>
          </xdr:cNvPr>
          <xdr:cNvSpPr/>
        </xdr:nvSpPr>
        <xdr:spPr>
          <a:xfrm>
            <a:off x="10563225" y="1209675"/>
            <a:ext cx="4295775" cy="392430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15" name="Paso" descr="Agregar números como quiera">
            <a:extLst>
              <a:ext uri="{FF2B5EF4-FFF2-40B4-BE49-F238E27FC236}">
                <a16:creationId xmlns:a16="http://schemas.microsoft.com/office/drawing/2014/main" id="{F02BB672-4874-48C4-A959-ACC7D569FBED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16" name="Línea superior" descr="Línea decorativa">
            <a:extLst>
              <a:ext uri="{FF2B5EF4-FFF2-40B4-BE49-F238E27FC236}">
                <a16:creationId xmlns:a16="http://schemas.microsoft.com/office/drawing/2014/main" id="{C372D5DD-EA9B-45B4-972C-774FF1AD5267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A54FFA3A-7121-42A4-B6F0-D3F0CCD0B7D6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14</xdr:col>
      <xdr:colOff>495300</xdr:colOff>
      <xdr:row>12</xdr:row>
      <xdr:rowOff>171450</xdr:rowOff>
    </xdr:from>
    <xdr:to>
      <xdr:col>23</xdr:col>
      <xdr:colOff>225450</xdr:colOff>
      <xdr:row>16</xdr:row>
      <xdr:rowOff>7111</xdr:rowOff>
    </xdr:to>
    <xdr:grpSp>
      <xdr:nvGrpSpPr>
        <xdr:cNvPr id="18" name="Step1">
          <a:extLst>
            <a:ext uri="{FF2B5EF4-FFF2-40B4-BE49-F238E27FC236}">
              <a16:creationId xmlns:a16="http://schemas.microsoft.com/office/drawing/2014/main" id="{C5A48CE9-C33F-4D34-B692-7F2625898F4E}"/>
            </a:ext>
          </a:extLst>
        </xdr:cNvPr>
        <xdr:cNvGrpSpPr/>
      </xdr:nvGrpSpPr>
      <xdr:grpSpPr>
        <a:xfrm>
          <a:off x="13687425" y="2457450"/>
          <a:ext cx="5216550" cy="597661"/>
          <a:chOff x="231749" y="1003336"/>
          <a:chExt cx="5216550" cy="603885"/>
        </a:xfrm>
      </xdr:grpSpPr>
      <xdr:sp macro="" textlink="">
        <xdr:nvSpPr>
          <xdr:cNvPr id="1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F50628B3-3C7D-423F-B205-62ADACD5F942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Convierte a Tabla de Excel</a:t>
            </a:r>
          </a:p>
        </xdr:txBody>
      </xdr:sp>
      <xdr:sp macro="" textlink="">
        <xdr:nvSpPr>
          <xdr:cNvPr id="20" name="1" descr="1">
            <a:extLst>
              <a:ext uri="{FF2B5EF4-FFF2-40B4-BE49-F238E27FC236}">
                <a16:creationId xmlns:a16="http://schemas.microsoft.com/office/drawing/2014/main" id="{F412C584-8402-4D51-B750-093B8AE40E7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14</xdr:col>
      <xdr:colOff>495300</xdr:colOff>
      <xdr:row>15</xdr:row>
      <xdr:rowOff>85725</xdr:rowOff>
    </xdr:from>
    <xdr:to>
      <xdr:col>23</xdr:col>
      <xdr:colOff>225450</xdr:colOff>
      <xdr:row>18</xdr:row>
      <xdr:rowOff>111886</xdr:rowOff>
    </xdr:to>
    <xdr:grpSp>
      <xdr:nvGrpSpPr>
        <xdr:cNvPr id="21" name="Step1">
          <a:extLst>
            <a:ext uri="{FF2B5EF4-FFF2-40B4-BE49-F238E27FC236}">
              <a16:creationId xmlns:a16="http://schemas.microsoft.com/office/drawing/2014/main" id="{2FFC4E39-C5D2-4AC3-BDD5-42AD5370439A}"/>
            </a:ext>
          </a:extLst>
        </xdr:cNvPr>
        <xdr:cNvGrpSpPr/>
      </xdr:nvGrpSpPr>
      <xdr:grpSpPr>
        <a:xfrm>
          <a:off x="13687425" y="2943225"/>
          <a:ext cx="5216550" cy="597661"/>
          <a:chOff x="231749" y="1003336"/>
          <a:chExt cx="5216550" cy="603885"/>
        </a:xfrm>
      </xdr:grpSpPr>
      <xdr:sp macro="" textlink="">
        <xdr:nvSpPr>
          <xdr:cNvPr id="2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D5C0C9FB-A38E-411B-A4F0-1705C0A969B5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Cambíale el nombre a "Ventas"</a:t>
            </a:r>
          </a:p>
        </xdr:txBody>
      </xdr:sp>
      <xdr:sp macro="" textlink="">
        <xdr:nvSpPr>
          <xdr:cNvPr id="23" name="1" descr="1">
            <a:extLst>
              <a:ext uri="{FF2B5EF4-FFF2-40B4-BE49-F238E27FC236}">
                <a16:creationId xmlns:a16="http://schemas.microsoft.com/office/drawing/2014/main" id="{7FBFCF72-EC19-4A6F-8E71-331BB5A14E0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14</xdr:col>
      <xdr:colOff>495300</xdr:colOff>
      <xdr:row>18</xdr:row>
      <xdr:rowOff>9525</xdr:rowOff>
    </xdr:from>
    <xdr:to>
      <xdr:col>20</xdr:col>
      <xdr:colOff>504825</xdr:colOff>
      <xdr:row>21</xdr:row>
      <xdr:rowOff>35686</xdr:rowOff>
    </xdr:to>
    <xdr:grpSp>
      <xdr:nvGrpSpPr>
        <xdr:cNvPr id="24" name="Step1">
          <a:extLst>
            <a:ext uri="{FF2B5EF4-FFF2-40B4-BE49-F238E27FC236}">
              <a16:creationId xmlns:a16="http://schemas.microsoft.com/office/drawing/2014/main" id="{95D0F80F-ED72-4B91-8DCF-6096EC83C027}"/>
            </a:ext>
          </a:extLst>
        </xdr:cNvPr>
        <xdr:cNvGrpSpPr/>
      </xdr:nvGrpSpPr>
      <xdr:grpSpPr>
        <a:xfrm>
          <a:off x="13687425" y="3438525"/>
          <a:ext cx="3667125" cy="597661"/>
          <a:chOff x="231749" y="1003336"/>
          <a:chExt cx="3667125" cy="603885"/>
        </a:xfrm>
      </xdr:grpSpPr>
      <xdr:sp macro="" textlink="">
        <xdr:nvSpPr>
          <xdr:cNvPr id="2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BF03FDC8-F97C-4F90-8DBF-3468F2693209}"/>
              </a:ext>
            </a:extLst>
          </xdr:cNvPr>
          <xdr:cNvSpPr txBox="1"/>
        </xdr:nvSpPr>
        <xdr:spPr>
          <a:xfrm>
            <a:off x="638783" y="1045834"/>
            <a:ext cx="32600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Crea, en la columna K, una columna llamada "IVA a recolectar" que muestre el resultado de multiplicar el precio por la tasa de IVA (J4)</a:t>
            </a:r>
          </a:p>
        </xdr:txBody>
      </xdr:sp>
      <xdr:sp macro="" textlink="">
        <xdr:nvSpPr>
          <xdr:cNvPr id="26" name="1" descr="1">
            <a:extLst>
              <a:ext uri="{FF2B5EF4-FFF2-40B4-BE49-F238E27FC236}">
                <a16:creationId xmlns:a16="http://schemas.microsoft.com/office/drawing/2014/main" id="{F22BF1D4-6E6D-43EB-8134-CF5025F0B2B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14</xdr:col>
      <xdr:colOff>495300</xdr:colOff>
      <xdr:row>22</xdr:row>
      <xdr:rowOff>76200</xdr:rowOff>
    </xdr:from>
    <xdr:to>
      <xdr:col>20</xdr:col>
      <xdr:colOff>571500</xdr:colOff>
      <xdr:row>25</xdr:row>
      <xdr:rowOff>102361</xdr:rowOff>
    </xdr:to>
    <xdr:grpSp>
      <xdr:nvGrpSpPr>
        <xdr:cNvPr id="27" name="Step1">
          <a:extLst>
            <a:ext uri="{FF2B5EF4-FFF2-40B4-BE49-F238E27FC236}">
              <a16:creationId xmlns:a16="http://schemas.microsoft.com/office/drawing/2014/main" id="{3F661278-F5B2-47E7-A9ED-DD9EFB9D5642}"/>
            </a:ext>
          </a:extLst>
        </xdr:cNvPr>
        <xdr:cNvGrpSpPr/>
      </xdr:nvGrpSpPr>
      <xdr:grpSpPr>
        <a:xfrm>
          <a:off x="13687425" y="4267200"/>
          <a:ext cx="3733800" cy="597661"/>
          <a:chOff x="231749" y="1003336"/>
          <a:chExt cx="3733800" cy="603885"/>
        </a:xfrm>
      </xdr:grpSpPr>
      <xdr:sp macro="" textlink="">
        <xdr:nvSpPr>
          <xdr:cNvPr id="2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3889E409-DA7B-4CF7-A644-D1FE36CD7984}"/>
              </a:ext>
            </a:extLst>
          </xdr:cNvPr>
          <xdr:cNvSpPr txBox="1"/>
        </xdr:nvSpPr>
        <xdr:spPr>
          <a:xfrm>
            <a:off x="638783" y="1045834"/>
            <a:ext cx="332676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columna nueva en L, llamada "Ganancia" que muestre la ganancia final. Dada como Precio - Costo - Descuento. Nota que el descuento se da como porcentaje y debes de convertirlo a pesos. </a:t>
            </a:r>
          </a:p>
        </xdr:txBody>
      </xdr:sp>
      <xdr:sp macro="" textlink="">
        <xdr:nvSpPr>
          <xdr:cNvPr id="29" name="1" descr="1">
            <a:extLst>
              <a:ext uri="{FF2B5EF4-FFF2-40B4-BE49-F238E27FC236}">
                <a16:creationId xmlns:a16="http://schemas.microsoft.com/office/drawing/2014/main" id="{E03050ED-EB52-49A5-8638-0D774FF1B08F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C385F-4FE9-4002-8438-A1125533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13</xdr:col>
      <xdr:colOff>133350</xdr:colOff>
      <xdr:row>8</xdr:row>
      <xdr:rowOff>104774</xdr:rowOff>
    </xdr:from>
    <xdr:to>
      <xdr:col>20</xdr:col>
      <xdr:colOff>0</xdr:colOff>
      <xdr:row>37</xdr:row>
      <xdr:rowOff>47625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30B2E6B-2556-4C5D-8F31-95118932B684}"/>
            </a:ext>
          </a:extLst>
        </xdr:cNvPr>
        <xdr:cNvGrpSpPr/>
      </xdr:nvGrpSpPr>
      <xdr:grpSpPr>
        <a:xfrm>
          <a:off x="12934950" y="1628774"/>
          <a:ext cx="4133850" cy="5467351"/>
          <a:chOff x="10563225" y="1209674"/>
          <a:chExt cx="5500963" cy="4905375"/>
        </a:xfrm>
      </xdr:grpSpPr>
      <xdr:sp macro="" textlink="">
        <xdr:nvSpPr>
          <xdr:cNvPr id="6" name="Fondo" descr="Fondo">
            <a:extLst>
              <a:ext uri="{FF2B5EF4-FFF2-40B4-BE49-F238E27FC236}">
                <a16:creationId xmlns:a16="http://schemas.microsoft.com/office/drawing/2014/main" id="{CF77811A-058A-4277-8D9C-A5302BE5DEF9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7" name="Paso" descr="Agregar números como quiera">
            <a:extLst>
              <a:ext uri="{FF2B5EF4-FFF2-40B4-BE49-F238E27FC236}">
                <a16:creationId xmlns:a16="http://schemas.microsoft.com/office/drawing/2014/main" id="{6B2BECE8-E9E9-4E47-BE44-C47366FFB7CD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8" name="Línea superior" descr="Línea decorativa">
            <a:extLst>
              <a:ext uri="{FF2B5EF4-FFF2-40B4-BE49-F238E27FC236}">
                <a16:creationId xmlns:a16="http://schemas.microsoft.com/office/drawing/2014/main" id="{72CCFBB8-7E51-4227-851F-F17C83602BA3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FECD6F48-C5FF-4F54-AB60-EBA5352609FF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13</xdr:col>
      <xdr:colOff>381000</xdr:colOff>
      <xdr:row>13</xdr:row>
      <xdr:rowOff>100965</xdr:rowOff>
    </xdr:from>
    <xdr:to>
      <xdr:col>19</xdr:col>
      <xdr:colOff>171450</xdr:colOff>
      <xdr:row>16</xdr:row>
      <xdr:rowOff>119506</xdr:rowOff>
    </xdr:to>
    <xdr:grpSp>
      <xdr:nvGrpSpPr>
        <xdr:cNvPr id="10" name="Step1">
          <a:extLst>
            <a:ext uri="{FF2B5EF4-FFF2-40B4-BE49-F238E27FC236}">
              <a16:creationId xmlns:a16="http://schemas.microsoft.com/office/drawing/2014/main" id="{936DC742-20B2-4FB4-96C1-6CC587756088}"/>
            </a:ext>
          </a:extLst>
        </xdr:cNvPr>
        <xdr:cNvGrpSpPr/>
      </xdr:nvGrpSpPr>
      <xdr:grpSpPr>
        <a:xfrm>
          <a:off x="13182600" y="2577465"/>
          <a:ext cx="3448050" cy="590041"/>
          <a:chOff x="231749" y="1003336"/>
          <a:chExt cx="3448050" cy="603885"/>
        </a:xfrm>
      </xdr:grpSpPr>
      <xdr:sp macro="" textlink="">
        <xdr:nvSpPr>
          <xdr:cNvPr id="11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4D0E5291-0194-4480-90A5-ECAA9FA28EFC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Esta tabla se llama "Datos". Inserta una tabla dinámica usando esta tabla en esta misma hoja.</a:t>
            </a: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D3F9FE74-36A3-4CFE-A8C7-198C350C8874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13</xdr:col>
      <xdr:colOff>381000</xdr:colOff>
      <xdr:row>16</xdr:row>
      <xdr:rowOff>161925</xdr:rowOff>
    </xdr:from>
    <xdr:to>
      <xdr:col>19</xdr:col>
      <xdr:colOff>171450</xdr:colOff>
      <xdr:row>19</xdr:row>
      <xdr:rowOff>180466</xdr:rowOff>
    </xdr:to>
    <xdr:grpSp>
      <xdr:nvGrpSpPr>
        <xdr:cNvPr id="13" name="Step1">
          <a:extLst>
            <a:ext uri="{FF2B5EF4-FFF2-40B4-BE49-F238E27FC236}">
              <a16:creationId xmlns:a16="http://schemas.microsoft.com/office/drawing/2014/main" id="{15238945-2BAD-4635-A025-97E0D49278B9}"/>
            </a:ext>
          </a:extLst>
        </xdr:cNvPr>
        <xdr:cNvGrpSpPr/>
      </xdr:nvGrpSpPr>
      <xdr:grpSpPr>
        <a:xfrm>
          <a:off x="13182600" y="3209925"/>
          <a:ext cx="3448050" cy="590041"/>
          <a:chOff x="231749" y="1003336"/>
          <a:chExt cx="3448050" cy="603885"/>
        </a:xfrm>
      </xdr:grpSpPr>
      <xdr:sp macro="" textlink="">
        <xdr:nvSpPr>
          <xdr:cNvPr id="14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4C0C5C7C-6AA0-4B72-A7B7-BE0DC4311387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Que la tabla nos muestre las ventas totales por año y por mes solamente. </a:t>
            </a:r>
          </a:p>
        </xdr:txBody>
      </xdr:sp>
      <xdr:sp macro="" textlink="">
        <xdr:nvSpPr>
          <xdr:cNvPr id="15" name="1" descr="1">
            <a:extLst>
              <a:ext uri="{FF2B5EF4-FFF2-40B4-BE49-F238E27FC236}">
                <a16:creationId xmlns:a16="http://schemas.microsoft.com/office/drawing/2014/main" id="{B125C97F-1D91-43BD-B4E7-31E3C5AA9667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13</xdr:col>
      <xdr:colOff>381000</xdr:colOff>
      <xdr:row>20</xdr:row>
      <xdr:rowOff>9525</xdr:rowOff>
    </xdr:from>
    <xdr:to>
      <xdr:col>19</xdr:col>
      <xdr:colOff>171450</xdr:colOff>
      <xdr:row>23</xdr:row>
      <xdr:rowOff>35686</xdr:rowOff>
    </xdr:to>
    <xdr:grpSp>
      <xdr:nvGrpSpPr>
        <xdr:cNvPr id="16" name="Step1">
          <a:extLst>
            <a:ext uri="{FF2B5EF4-FFF2-40B4-BE49-F238E27FC236}">
              <a16:creationId xmlns:a16="http://schemas.microsoft.com/office/drawing/2014/main" id="{B84BC521-D2E7-4612-8E22-BA7ED4DD685F}"/>
            </a:ext>
          </a:extLst>
        </xdr:cNvPr>
        <xdr:cNvGrpSpPr/>
      </xdr:nvGrpSpPr>
      <xdr:grpSpPr>
        <a:xfrm>
          <a:off x="13182600" y="3819525"/>
          <a:ext cx="3448050" cy="597661"/>
          <a:chOff x="231749" y="1003336"/>
          <a:chExt cx="3448050" cy="603885"/>
        </a:xfrm>
      </xdr:grpSpPr>
      <xdr:sp macro="" textlink="">
        <xdr:nvSpPr>
          <xdr:cNvPr id="17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1797F6FC-2D87-4FAE-A260-4E369D21AF4F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Inserta otra tabla dinámica que nos muestre la cantidad de los productos vendidos de la categoría "cojines decorativos".</a:t>
            </a:r>
          </a:p>
        </xdr:txBody>
      </xdr:sp>
      <xdr:sp macro="" textlink="">
        <xdr:nvSpPr>
          <xdr:cNvPr id="18" name="1" descr="1">
            <a:extLst>
              <a:ext uri="{FF2B5EF4-FFF2-40B4-BE49-F238E27FC236}">
                <a16:creationId xmlns:a16="http://schemas.microsoft.com/office/drawing/2014/main" id="{9A8BADF8-7FEA-405D-BEB0-10FC3A186DB6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13</xdr:col>
      <xdr:colOff>381000</xdr:colOff>
      <xdr:row>23</xdr:row>
      <xdr:rowOff>133350</xdr:rowOff>
    </xdr:from>
    <xdr:to>
      <xdr:col>19</xdr:col>
      <xdr:colOff>171450</xdr:colOff>
      <xdr:row>26</xdr:row>
      <xdr:rowOff>159511</xdr:rowOff>
    </xdr:to>
    <xdr:grpSp>
      <xdr:nvGrpSpPr>
        <xdr:cNvPr id="19" name="Step1">
          <a:extLst>
            <a:ext uri="{FF2B5EF4-FFF2-40B4-BE49-F238E27FC236}">
              <a16:creationId xmlns:a16="http://schemas.microsoft.com/office/drawing/2014/main" id="{1510382D-878E-4935-B24C-A2B1989E1391}"/>
            </a:ext>
          </a:extLst>
        </xdr:cNvPr>
        <xdr:cNvGrpSpPr/>
      </xdr:nvGrpSpPr>
      <xdr:grpSpPr>
        <a:xfrm>
          <a:off x="13182600" y="4514850"/>
          <a:ext cx="3448050" cy="597661"/>
          <a:chOff x="231749" y="1003336"/>
          <a:chExt cx="3448050" cy="603885"/>
        </a:xfrm>
      </xdr:grpSpPr>
      <xdr:sp macro="" textlink="">
        <xdr:nvSpPr>
          <xdr:cNvPr id="20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6A108DD-89E5-4933-ABFA-431BCB90DABA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otra tabla dinámica en W34 que nos muestre el descuento promedio por Tipo</a:t>
            </a:r>
          </a:p>
        </xdr:txBody>
      </xdr:sp>
      <xdr:sp macro="" textlink="">
        <xdr:nvSpPr>
          <xdr:cNvPr id="21" name="1" descr="1">
            <a:extLst>
              <a:ext uri="{FF2B5EF4-FFF2-40B4-BE49-F238E27FC236}">
                <a16:creationId xmlns:a16="http://schemas.microsoft.com/office/drawing/2014/main" id="{203AF8B8-685F-4E1A-9884-E359AD09ECB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13</xdr:col>
      <xdr:colOff>381000</xdr:colOff>
      <xdr:row>26</xdr:row>
      <xdr:rowOff>123825</xdr:rowOff>
    </xdr:from>
    <xdr:to>
      <xdr:col>19</xdr:col>
      <xdr:colOff>171450</xdr:colOff>
      <xdr:row>29</xdr:row>
      <xdr:rowOff>149986</xdr:rowOff>
    </xdr:to>
    <xdr:grpSp>
      <xdr:nvGrpSpPr>
        <xdr:cNvPr id="22" name="Step1">
          <a:extLst>
            <a:ext uri="{FF2B5EF4-FFF2-40B4-BE49-F238E27FC236}">
              <a16:creationId xmlns:a16="http://schemas.microsoft.com/office/drawing/2014/main" id="{79C2DA07-A2A9-4619-A8DA-A9AE674BD693}"/>
            </a:ext>
          </a:extLst>
        </xdr:cNvPr>
        <xdr:cNvGrpSpPr/>
      </xdr:nvGrpSpPr>
      <xdr:grpSpPr>
        <a:xfrm>
          <a:off x="13182600" y="5076825"/>
          <a:ext cx="3448050" cy="597661"/>
          <a:chOff x="231749" y="1003336"/>
          <a:chExt cx="3448050" cy="603885"/>
        </a:xfrm>
      </xdr:grpSpPr>
      <xdr:sp macro="" textlink="">
        <xdr:nvSpPr>
          <xdr:cNvPr id="23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99BED2C3-BF3C-40D6-AC86-9E6213FC6DA5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tabla en esta misma hoja (donde sea) que nos muestre la ganancia por tipo y categoría como % del total. Que tenga subtitulos</a:t>
            </a:r>
          </a:p>
        </xdr:txBody>
      </xdr:sp>
      <xdr:sp macro="" textlink="">
        <xdr:nvSpPr>
          <xdr:cNvPr id="24" name="1" descr="1">
            <a:extLst>
              <a:ext uri="{FF2B5EF4-FFF2-40B4-BE49-F238E27FC236}">
                <a16:creationId xmlns:a16="http://schemas.microsoft.com/office/drawing/2014/main" id="{78DD7775-2A70-4DA8-94B5-604CFDEEB9B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 editAs="oneCell">
    <xdr:from>
      <xdr:col>13</xdr:col>
      <xdr:colOff>390525</xdr:colOff>
      <xdr:row>31</xdr:row>
      <xdr:rowOff>142875</xdr:rowOff>
    </xdr:from>
    <xdr:to>
      <xdr:col>19</xdr:col>
      <xdr:colOff>180975</xdr:colOff>
      <xdr:row>36</xdr:row>
      <xdr:rowOff>180975</xdr:rowOff>
    </xdr:to>
    <xdr:grpSp>
      <xdr:nvGrpSpPr>
        <xdr:cNvPr id="25" name="Step1">
          <a:extLst>
            <a:ext uri="{FF2B5EF4-FFF2-40B4-BE49-F238E27FC236}">
              <a16:creationId xmlns:a16="http://schemas.microsoft.com/office/drawing/2014/main" id="{6AF78941-F9F8-4232-A959-B6462F70BAFA}"/>
            </a:ext>
          </a:extLst>
        </xdr:cNvPr>
        <xdr:cNvGrpSpPr/>
      </xdr:nvGrpSpPr>
      <xdr:grpSpPr>
        <a:xfrm>
          <a:off x="13192125" y="6048375"/>
          <a:ext cx="3448050" cy="990600"/>
          <a:chOff x="231749" y="1003336"/>
          <a:chExt cx="3448050" cy="1000916"/>
        </a:xfrm>
      </xdr:grpSpPr>
      <xdr:sp macro="" textlink="">
        <xdr:nvSpPr>
          <xdr:cNvPr id="26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D6DB7A9F-1EB6-43B4-AE8F-A93D1C12DE11}"/>
              </a:ext>
            </a:extLst>
          </xdr:cNvPr>
          <xdr:cNvSpPr txBox="1"/>
        </xdr:nvSpPr>
        <xdr:spPr>
          <a:xfrm>
            <a:off x="638783" y="1045834"/>
            <a:ext cx="3041016" cy="9584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tabla dinámica en esta misma hoja que, con un campo calculado, nos muestre el margen de ganancia con respecto al precio (Ganancia/precio) por categoría</a:t>
            </a:r>
          </a:p>
        </xdr:txBody>
      </xdr:sp>
      <xdr:sp macro="" textlink="">
        <xdr:nvSpPr>
          <xdr:cNvPr id="27" name="1" descr="1">
            <a:extLst>
              <a:ext uri="{FF2B5EF4-FFF2-40B4-BE49-F238E27FC236}">
                <a16:creationId xmlns:a16="http://schemas.microsoft.com/office/drawing/2014/main" id="{9AE71369-35C0-4486-99D8-AB58C6D5437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6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9</xdr:col>
      <xdr:colOff>0</xdr:colOff>
      <xdr:row>34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470B68F-0F4C-4C2E-942A-BD5C46C5CAD4}"/>
            </a:ext>
          </a:extLst>
        </xdr:cNvPr>
        <xdr:cNvGrpSpPr/>
      </xdr:nvGrpSpPr>
      <xdr:grpSpPr>
        <a:xfrm>
          <a:off x="0" y="1600200"/>
          <a:ext cx="6677025" cy="4905375"/>
          <a:chOff x="10563225" y="1209674"/>
          <a:chExt cx="5500963" cy="4905375"/>
        </a:xfrm>
      </xdr:grpSpPr>
      <xdr:sp macro="" textlink="">
        <xdr:nvSpPr>
          <xdr:cNvPr id="3" name="Fondo" descr="Fondo">
            <a:extLst>
              <a:ext uri="{FF2B5EF4-FFF2-40B4-BE49-F238E27FC236}">
                <a16:creationId xmlns:a16="http://schemas.microsoft.com/office/drawing/2014/main" id="{0FF24A48-D4C1-4164-BA87-38A5C874755E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4" name="Paso" descr="Agregar números como quiera">
            <a:extLst>
              <a:ext uri="{FF2B5EF4-FFF2-40B4-BE49-F238E27FC236}">
                <a16:creationId xmlns:a16="http://schemas.microsoft.com/office/drawing/2014/main" id="{B9149D9B-F108-4492-97FB-EF344422DEC1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5" name="Línea superior" descr="Línea decorativa">
            <a:extLst>
              <a:ext uri="{FF2B5EF4-FFF2-40B4-BE49-F238E27FC236}">
                <a16:creationId xmlns:a16="http://schemas.microsoft.com/office/drawing/2014/main" id="{F295DB25-D13F-4499-97CF-DA1E46DDDB4C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B47864F3-C3AA-4C3A-B8A7-DF434156B4D9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47625</xdr:colOff>
      <xdr:row>7</xdr:row>
      <xdr:rowOff>66688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763A2A-3096-42BB-9295-6FCB80892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13</xdr:row>
      <xdr:rowOff>85725</xdr:rowOff>
    </xdr:from>
    <xdr:to>
      <xdr:col>4</xdr:col>
      <xdr:colOff>66675</xdr:colOff>
      <xdr:row>16</xdr:row>
      <xdr:rowOff>111886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E9DE87C9-8967-4117-B638-DAC948405E2E}"/>
            </a:ext>
          </a:extLst>
        </xdr:cNvPr>
        <xdr:cNvGrpSpPr/>
      </xdr:nvGrpSpPr>
      <xdr:grpSpPr>
        <a:xfrm>
          <a:off x="247650" y="2562225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2A373E6-401E-4CEC-BA4D-6DC696EB62A9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 estarán usando los datos de la misma tabla "Datos" de la pestaña anterior. 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4F2F3880-D339-45F5-B57A-BD297409C23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247650</xdr:colOff>
      <xdr:row>16</xdr:row>
      <xdr:rowOff>123825</xdr:rowOff>
    </xdr:from>
    <xdr:to>
      <xdr:col>4</xdr:col>
      <xdr:colOff>66675</xdr:colOff>
      <xdr:row>19</xdr:row>
      <xdr:rowOff>149986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E86F3EC3-16B8-491F-9C5C-A60E662CD167}"/>
            </a:ext>
          </a:extLst>
        </xdr:cNvPr>
        <xdr:cNvGrpSpPr/>
      </xdr:nvGrpSpPr>
      <xdr:grpSpPr>
        <a:xfrm>
          <a:off x="247650" y="3171825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27477B35-B1E6-4387-A3B5-D75B449B16BE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gráfica de lineas que muestre los costos por mes. 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AE4996B4-F67D-4BF7-9D04-3268EED805A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247650</xdr:colOff>
      <xdr:row>20</xdr:row>
      <xdr:rowOff>0</xdr:rowOff>
    </xdr:from>
    <xdr:to>
      <xdr:col>4</xdr:col>
      <xdr:colOff>66675</xdr:colOff>
      <xdr:row>23</xdr:row>
      <xdr:rowOff>26161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5FC07663-5C70-4639-B317-7FE4A03B7745}"/>
            </a:ext>
          </a:extLst>
        </xdr:cNvPr>
        <xdr:cNvGrpSpPr/>
      </xdr:nvGrpSpPr>
      <xdr:grpSpPr>
        <a:xfrm>
          <a:off x="247650" y="3810000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C957D2A7-FBF0-4F43-9856-86B1DC44182F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gráfica de barras acostadas que muestre las ganancias por categoría.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13503799-778B-4DED-8862-1BA901371FA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0</xdr:col>
      <xdr:colOff>247650</xdr:colOff>
      <xdr:row>23</xdr:row>
      <xdr:rowOff>66675</xdr:rowOff>
    </xdr:from>
    <xdr:to>
      <xdr:col>4</xdr:col>
      <xdr:colOff>66675</xdr:colOff>
      <xdr:row>26</xdr:row>
      <xdr:rowOff>92836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BCCB294A-74A7-4A88-BCBF-57EA42E0DAE0}"/>
            </a:ext>
          </a:extLst>
        </xdr:cNvPr>
        <xdr:cNvGrpSpPr/>
      </xdr:nvGrpSpPr>
      <xdr:grpSpPr>
        <a:xfrm>
          <a:off x="247650" y="4448175"/>
          <a:ext cx="3448050" cy="597661"/>
          <a:chOff x="231749" y="1003336"/>
          <a:chExt cx="3448050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F9742F8-BA32-490C-90CB-3638844DBE9B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gráfica que nos muestre la cantidad de objetos vendidos por categoría solo para Velas y esencias. 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2B8A15F6-BB4E-463F-8D68-E57AF7EE5F0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0</xdr:col>
      <xdr:colOff>247650</xdr:colOff>
      <xdr:row>27</xdr:row>
      <xdr:rowOff>133350</xdr:rowOff>
    </xdr:from>
    <xdr:to>
      <xdr:col>4</xdr:col>
      <xdr:colOff>66675</xdr:colOff>
      <xdr:row>30</xdr:row>
      <xdr:rowOff>159511</xdr:rowOff>
    </xdr:to>
    <xdr:grpSp>
      <xdr:nvGrpSpPr>
        <xdr:cNvPr id="20" name="Step1">
          <a:extLst>
            <a:ext uri="{FF2B5EF4-FFF2-40B4-BE49-F238E27FC236}">
              <a16:creationId xmlns:a16="http://schemas.microsoft.com/office/drawing/2014/main" id="{7C3C3FB8-B207-4B08-BE1D-63F769E31552}"/>
            </a:ext>
          </a:extLst>
        </xdr:cNvPr>
        <xdr:cNvGrpSpPr/>
      </xdr:nvGrpSpPr>
      <xdr:grpSpPr>
        <a:xfrm>
          <a:off x="247650" y="5276850"/>
          <a:ext cx="3448050" cy="597661"/>
          <a:chOff x="231749" y="1003336"/>
          <a:chExt cx="3448050" cy="603885"/>
        </a:xfrm>
      </xdr:grpSpPr>
      <xdr:sp macro="" textlink="">
        <xdr:nvSpPr>
          <xdr:cNvPr id="21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D29CF652-FA2D-46ED-A110-6060AB8A9424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Todas las gráficas deben de ser legibles, tener sus títulos y respetar los principios del buen diseño. Deben de estar en esta misma hoja. </a:t>
            </a:r>
          </a:p>
        </xdr:txBody>
      </xdr:sp>
      <xdr:sp macro="" textlink="">
        <xdr:nvSpPr>
          <xdr:cNvPr id="22" name="1" descr="1">
            <a:extLst>
              <a:ext uri="{FF2B5EF4-FFF2-40B4-BE49-F238E27FC236}">
                <a16:creationId xmlns:a16="http://schemas.microsoft.com/office/drawing/2014/main" id="{89FA8401-092D-4CB0-B61B-BB3D9788A22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>
    <xdr:from>
      <xdr:col>9</xdr:col>
      <xdr:colOff>0</xdr:colOff>
      <xdr:row>13</xdr:row>
      <xdr:rowOff>176212</xdr:rowOff>
    </xdr:from>
    <xdr:to>
      <xdr:col>9</xdr:col>
      <xdr:colOff>0</xdr:colOff>
      <xdr:row>28</xdr:row>
      <xdr:rowOff>61912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F08A90B-FBD6-4C88-933F-18F64016C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390525</xdr:colOff>
      <xdr:row>6</xdr:row>
      <xdr:rowOff>23812</xdr:rowOff>
    </xdr:from>
    <xdr:to>
      <xdr:col>19</xdr:col>
      <xdr:colOff>85725</xdr:colOff>
      <xdr:row>20</xdr:row>
      <xdr:rowOff>100012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D94C04A-8C95-C3C4-2E57-019900C59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457200</xdr:colOff>
      <xdr:row>22</xdr:row>
      <xdr:rowOff>42862</xdr:rowOff>
    </xdr:from>
    <xdr:to>
      <xdr:col>19</xdr:col>
      <xdr:colOff>152400</xdr:colOff>
      <xdr:row>36</xdr:row>
      <xdr:rowOff>119062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03AD0F5-33FA-A40D-FB77-47B9B110E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85725</xdr:colOff>
      <xdr:row>35</xdr:row>
      <xdr:rowOff>90487</xdr:rowOff>
    </xdr:from>
    <xdr:to>
      <xdr:col>9</xdr:col>
      <xdr:colOff>1000125</xdr:colOff>
      <xdr:row>49</xdr:row>
      <xdr:rowOff>166687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4456301-9A56-3474-BB51-7C15C1DFD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9</xdr:col>
      <xdr:colOff>14563</xdr:colOff>
      <xdr:row>36</xdr:row>
      <xdr:rowOff>175260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6A5A7D-F587-4982-AE68-2CA70D5495D9}"/>
            </a:ext>
          </a:extLst>
        </xdr:cNvPr>
        <xdr:cNvGrpSpPr/>
      </xdr:nvGrpSpPr>
      <xdr:grpSpPr>
        <a:xfrm>
          <a:off x="0" y="1600200"/>
          <a:ext cx="5500963" cy="5433060"/>
          <a:chOff x="10563225" y="1209674"/>
          <a:chExt cx="5500963" cy="5439388"/>
        </a:xfrm>
      </xdr:grpSpPr>
      <xdr:sp macro="" textlink="">
        <xdr:nvSpPr>
          <xdr:cNvPr id="3" name="Fondo" descr="Fondo">
            <a:extLst>
              <a:ext uri="{FF2B5EF4-FFF2-40B4-BE49-F238E27FC236}">
                <a16:creationId xmlns:a16="http://schemas.microsoft.com/office/drawing/2014/main" id="{4DCFE0EF-0BAF-47E4-B7FE-A14204E04844}"/>
              </a:ext>
            </a:extLst>
          </xdr:cNvPr>
          <xdr:cNvSpPr/>
        </xdr:nvSpPr>
        <xdr:spPr>
          <a:xfrm>
            <a:off x="10563225" y="1209674"/>
            <a:ext cx="4295775" cy="5439388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4" name="Paso" descr="Agregar números como quiera">
            <a:extLst>
              <a:ext uri="{FF2B5EF4-FFF2-40B4-BE49-F238E27FC236}">
                <a16:creationId xmlns:a16="http://schemas.microsoft.com/office/drawing/2014/main" id="{4874DF84-9379-4C80-8B5C-BC3E5A819A1C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5" name="Línea superior" descr="Línea decorativa">
            <a:extLst>
              <a:ext uri="{FF2B5EF4-FFF2-40B4-BE49-F238E27FC236}">
                <a16:creationId xmlns:a16="http://schemas.microsoft.com/office/drawing/2014/main" id="{7CA2229D-0368-4BF4-9A68-0ED99315480C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E2FF18D1-83C0-49B3-B370-D453E15EDD33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7</xdr:row>
      <xdr:rowOff>66688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A76884-3564-4999-95D6-E917A26FE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13</xdr:row>
      <xdr:rowOff>38100</xdr:rowOff>
    </xdr:from>
    <xdr:to>
      <xdr:col>6</xdr:col>
      <xdr:colOff>0</xdr:colOff>
      <xdr:row>16</xdr:row>
      <xdr:rowOff>64261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097469FA-B126-4CCA-9769-B87EFFCF9451}"/>
            </a:ext>
          </a:extLst>
        </xdr:cNvPr>
        <xdr:cNvGrpSpPr/>
      </xdr:nvGrpSpPr>
      <xdr:grpSpPr>
        <a:xfrm>
          <a:off x="209550" y="2514600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2EEF87BB-B1A8-4C80-84B8-1C9C900B2C99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este ejercicio se usarán los datos de la tabla "datos"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C51A15BF-ACFF-4CDA-9BE8-105386A2CE3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209550</xdr:colOff>
      <xdr:row>16</xdr:row>
      <xdr:rowOff>145256</xdr:rowOff>
    </xdr:from>
    <xdr:to>
      <xdr:col>6</xdr:col>
      <xdr:colOff>0</xdr:colOff>
      <xdr:row>19</xdr:row>
      <xdr:rowOff>171417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56798A45-7482-4BE5-96BD-9D5C09AB99E1}"/>
            </a:ext>
          </a:extLst>
        </xdr:cNvPr>
        <xdr:cNvGrpSpPr/>
      </xdr:nvGrpSpPr>
      <xdr:grpSpPr>
        <a:xfrm>
          <a:off x="209550" y="3193256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9B7EAA06-92EF-42EB-9AA0-A59CF8F5E9DC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 segmentador, a partir de la primer tabla dinámica de la pestaña "tablas dinámicas" que segmente por color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7B48794C-2347-48D0-8F80-B0E18623A5F4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209550</xdr:colOff>
      <xdr:row>20</xdr:row>
      <xdr:rowOff>61912</xdr:rowOff>
    </xdr:from>
    <xdr:to>
      <xdr:col>6</xdr:col>
      <xdr:colOff>0</xdr:colOff>
      <xdr:row>23</xdr:row>
      <xdr:rowOff>88073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7F360B8E-EB6A-48EB-B295-917CA0E89060}"/>
            </a:ext>
          </a:extLst>
        </xdr:cNvPr>
        <xdr:cNvGrpSpPr/>
      </xdr:nvGrpSpPr>
      <xdr:grpSpPr>
        <a:xfrm>
          <a:off x="209550" y="3871912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79718475-6596-43E0-84D5-0DAD6C72A867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Asignale un estilo Azul Oscuro. Ponlo a 2 columnas.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B0DAEF30-8ADD-475D-B254-E65A3196ADCF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0</xdr:col>
      <xdr:colOff>209550</xdr:colOff>
      <xdr:row>23</xdr:row>
      <xdr:rowOff>169068</xdr:rowOff>
    </xdr:from>
    <xdr:to>
      <xdr:col>6</xdr:col>
      <xdr:colOff>0</xdr:colOff>
      <xdr:row>27</xdr:row>
      <xdr:rowOff>4729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00983794-E6F5-43B4-BE42-7278592A6288}"/>
            </a:ext>
          </a:extLst>
        </xdr:cNvPr>
        <xdr:cNvGrpSpPr/>
      </xdr:nvGrpSpPr>
      <xdr:grpSpPr>
        <a:xfrm>
          <a:off x="209550" y="4550568"/>
          <a:ext cx="3448050" cy="597661"/>
          <a:chOff x="231749" y="1003336"/>
          <a:chExt cx="3448050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1FF8C8E3-587C-4F4E-88F6-94F4B54166DD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Desactiva la opción de mostrar elementos sin datos al final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077BAF8E-2153-4F0D-8A4D-1803094C51A4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0</xdr:col>
      <xdr:colOff>209550</xdr:colOff>
      <xdr:row>27</xdr:row>
      <xdr:rowOff>85725</xdr:rowOff>
    </xdr:from>
    <xdr:to>
      <xdr:col>6</xdr:col>
      <xdr:colOff>0</xdr:colOff>
      <xdr:row>30</xdr:row>
      <xdr:rowOff>111886</xdr:rowOff>
    </xdr:to>
    <xdr:grpSp>
      <xdr:nvGrpSpPr>
        <xdr:cNvPr id="20" name="Step1">
          <a:extLst>
            <a:ext uri="{FF2B5EF4-FFF2-40B4-BE49-F238E27FC236}">
              <a16:creationId xmlns:a16="http://schemas.microsoft.com/office/drawing/2014/main" id="{FE65C06C-FB42-4CD5-9D84-CD80EC79F41C}"/>
            </a:ext>
          </a:extLst>
        </xdr:cNvPr>
        <xdr:cNvGrpSpPr/>
      </xdr:nvGrpSpPr>
      <xdr:grpSpPr>
        <a:xfrm>
          <a:off x="209550" y="5229225"/>
          <a:ext cx="3448050" cy="597661"/>
          <a:chOff x="231749" y="1003336"/>
          <a:chExt cx="3448050" cy="603885"/>
        </a:xfrm>
      </xdr:grpSpPr>
      <xdr:sp macro="" textlink="">
        <xdr:nvSpPr>
          <xdr:cNvPr id="21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A4859886-6C30-4EE3-AB7E-815E2FE009FE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Lígalo a todas tus gráficas de la pestaña de "graficas".</a:t>
            </a:r>
          </a:p>
        </xdr:txBody>
      </xdr:sp>
      <xdr:sp macro="" textlink="">
        <xdr:nvSpPr>
          <xdr:cNvPr id="22" name="1" descr="1">
            <a:extLst>
              <a:ext uri="{FF2B5EF4-FFF2-40B4-BE49-F238E27FC236}">
                <a16:creationId xmlns:a16="http://schemas.microsoft.com/office/drawing/2014/main" id="{5E31E3A4-C67B-403F-BECB-577E80544BA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 editAs="oneCell">
    <xdr:from>
      <xdr:col>0</xdr:col>
      <xdr:colOff>217170</xdr:colOff>
      <xdr:row>30</xdr:row>
      <xdr:rowOff>161925</xdr:rowOff>
    </xdr:from>
    <xdr:to>
      <xdr:col>6</xdr:col>
      <xdr:colOff>7620</xdr:colOff>
      <xdr:row>34</xdr:row>
      <xdr:rowOff>5206</xdr:rowOff>
    </xdr:to>
    <xdr:grpSp>
      <xdr:nvGrpSpPr>
        <xdr:cNvPr id="23" name="Step1">
          <a:extLst>
            <a:ext uri="{FF2B5EF4-FFF2-40B4-BE49-F238E27FC236}">
              <a16:creationId xmlns:a16="http://schemas.microsoft.com/office/drawing/2014/main" id="{91EA6013-F745-4C63-816E-2A04F57F5770}"/>
            </a:ext>
          </a:extLst>
        </xdr:cNvPr>
        <xdr:cNvGrpSpPr/>
      </xdr:nvGrpSpPr>
      <xdr:grpSpPr>
        <a:xfrm>
          <a:off x="217170" y="5876925"/>
          <a:ext cx="3448050" cy="605281"/>
          <a:chOff x="231749" y="1003336"/>
          <a:chExt cx="3448050" cy="603885"/>
        </a:xfrm>
      </xdr:grpSpPr>
      <xdr:sp macro="" textlink="">
        <xdr:nvSpPr>
          <xdr:cNvPr id="24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3CFF203C-EB75-4113-B849-81FEA01A04BE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Activar "Ocultar elementos que no contienen datos"</a:t>
            </a: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5" name="1" descr="1">
            <a:extLst>
              <a:ext uri="{FF2B5EF4-FFF2-40B4-BE49-F238E27FC236}">
                <a16:creationId xmlns:a16="http://schemas.microsoft.com/office/drawing/2014/main" id="{15138560-F10A-4094-BBDE-8AD703230614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6</a:t>
            </a:r>
          </a:p>
        </xdr:txBody>
      </xdr:sp>
    </xdr:grpSp>
    <xdr:clientData/>
  </xdr:twoCellAnchor>
  <xdr:twoCellAnchor editAs="oneCell">
    <xdr:from>
      <xdr:col>9</xdr:col>
      <xdr:colOff>0</xdr:colOff>
      <xdr:row>8</xdr:row>
      <xdr:rowOff>0</xdr:rowOff>
    </xdr:from>
    <xdr:to>
      <xdr:col>12</xdr:col>
      <xdr:colOff>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Color">
              <a:extLst>
                <a:ext uri="{FF2B5EF4-FFF2-40B4-BE49-F238E27FC236}">
                  <a16:creationId xmlns:a16="http://schemas.microsoft.com/office/drawing/2014/main" id="{F64A9944-9C34-4D4E-AD57-692166FE1A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524000"/>
              <a:ext cx="182880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9</xdr:col>
      <xdr:colOff>0</xdr:colOff>
      <xdr:row>36</xdr:row>
      <xdr:rowOff>104775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A0CF9-A39B-4EC2-A682-5C2D737B0610}"/>
            </a:ext>
          </a:extLst>
        </xdr:cNvPr>
        <xdr:cNvGrpSpPr/>
      </xdr:nvGrpSpPr>
      <xdr:grpSpPr>
        <a:xfrm>
          <a:off x="0" y="1600200"/>
          <a:ext cx="5486400" cy="5362575"/>
          <a:chOff x="10563225" y="1209674"/>
          <a:chExt cx="5500963" cy="4905375"/>
        </a:xfrm>
      </xdr:grpSpPr>
      <xdr:sp macro="" textlink="">
        <xdr:nvSpPr>
          <xdr:cNvPr id="3" name="Fondo" descr="Fondo">
            <a:extLst>
              <a:ext uri="{FF2B5EF4-FFF2-40B4-BE49-F238E27FC236}">
                <a16:creationId xmlns:a16="http://schemas.microsoft.com/office/drawing/2014/main" id="{27F18B94-F327-44C1-A0A2-366DEA35107A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4" name="Paso" descr="Agregar números como quiera">
            <a:extLst>
              <a:ext uri="{FF2B5EF4-FFF2-40B4-BE49-F238E27FC236}">
                <a16:creationId xmlns:a16="http://schemas.microsoft.com/office/drawing/2014/main" id="{021E3141-30DD-40AB-ADF9-49D9367B8310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5" name="Línea superior" descr="Línea decorativa">
            <a:extLst>
              <a:ext uri="{FF2B5EF4-FFF2-40B4-BE49-F238E27FC236}">
                <a16:creationId xmlns:a16="http://schemas.microsoft.com/office/drawing/2014/main" id="{507D7960-4B91-48EB-B2EB-E6F0EF836AB7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B67F4F15-90D6-44B7-A0B6-4CB7AAD89FE9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7</xdr:row>
      <xdr:rowOff>66688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E49FBD-0E55-4BB8-AFD5-C8708044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13</xdr:row>
      <xdr:rowOff>133350</xdr:rowOff>
    </xdr:from>
    <xdr:to>
      <xdr:col>6</xdr:col>
      <xdr:colOff>47625</xdr:colOff>
      <xdr:row>16</xdr:row>
      <xdr:rowOff>159511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1B94AC79-AE6E-441A-AD9D-BA6C93139CBD}"/>
            </a:ext>
          </a:extLst>
        </xdr:cNvPr>
        <xdr:cNvGrpSpPr/>
      </xdr:nvGrpSpPr>
      <xdr:grpSpPr>
        <a:xfrm>
          <a:off x="257175" y="2609850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540AA8C6-114D-4ABA-B8AF-AFAF45322BA9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este ejercicio se usarán los datos de la tabla "datos"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FF68DCB7-E90C-4DE7-B1CA-12ED31A4F09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257175</xdr:colOff>
      <xdr:row>17</xdr:row>
      <xdr:rowOff>47625</xdr:rowOff>
    </xdr:from>
    <xdr:to>
      <xdr:col>6</xdr:col>
      <xdr:colOff>47625</xdr:colOff>
      <xdr:row>20</xdr:row>
      <xdr:rowOff>73786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9927F0AD-8411-4628-863B-2BB7C313FD4F}"/>
            </a:ext>
          </a:extLst>
        </xdr:cNvPr>
        <xdr:cNvGrpSpPr/>
      </xdr:nvGrpSpPr>
      <xdr:grpSpPr>
        <a:xfrm>
          <a:off x="257175" y="3286125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63A1C666-DDF4-4EBE-BCD4-5D39BE0DD9A8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tarjeta que nos muestre las ventas totales. Se debe de alimentar de una tabla dinámica nueva (esta misma página)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3E4EE0F1-7D3B-4D09-B612-90D10E13417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257175</xdr:colOff>
      <xdr:row>21</xdr:row>
      <xdr:rowOff>28575</xdr:rowOff>
    </xdr:from>
    <xdr:to>
      <xdr:col>6</xdr:col>
      <xdr:colOff>47625</xdr:colOff>
      <xdr:row>24</xdr:row>
      <xdr:rowOff>54736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8065E598-D767-4E3A-B4AE-767DDE2C3D8D}"/>
            </a:ext>
          </a:extLst>
        </xdr:cNvPr>
        <xdr:cNvGrpSpPr/>
      </xdr:nvGrpSpPr>
      <xdr:grpSpPr>
        <a:xfrm>
          <a:off x="257175" y="4029075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489CEFD0-D567-4A81-AF64-532AED55453A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tarjeta que nos muestre los costos totales.</a:t>
            </a:r>
            <a:r>
              <a:rPr lang="es-MX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 debe de alimentar de una tabla dinámica nueva (esta misma página)</a:t>
            </a: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376AE75C-7291-449A-AEA1-1200497BC86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0</xdr:col>
      <xdr:colOff>257175</xdr:colOff>
      <xdr:row>25</xdr:row>
      <xdr:rowOff>19050</xdr:rowOff>
    </xdr:from>
    <xdr:to>
      <xdr:col>6</xdr:col>
      <xdr:colOff>47625</xdr:colOff>
      <xdr:row>28</xdr:row>
      <xdr:rowOff>45211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D5F4CCE3-657F-4FC9-8651-912D42848CE7}"/>
            </a:ext>
          </a:extLst>
        </xdr:cNvPr>
        <xdr:cNvGrpSpPr/>
      </xdr:nvGrpSpPr>
      <xdr:grpSpPr>
        <a:xfrm>
          <a:off x="257175" y="4781550"/>
          <a:ext cx="3448050" cy="597661"/>
          <a:chOff x="231749" y="1003336"/>
          <a:chExt cx="3448050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5058760B-C8A5-45DF-87D7-81C220158B80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tarjeta que nos muestre </a:t>
            </a:r>
            <a:r>
              <a:rPr lang="es-MX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las ganancias totales, en pesos y como margen. Se debe de alimentar de una tabla dinámica nueva (esta misma página) </a:t>
            </a: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11B4E15B-23AD-4943-8571-006412DBA41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0</xdr:col>
      <xdr:colOff>257175</xdr:colOff>
      <xdr:row>29</xdr:row>
      <xdr:rowOff>85725</xdr:rowOff>
    </xdr:from>
    <xdr:to>
      <xdr:col>6</xdr:col>
      <xdr:colOff>47625</xdr:colOff>
      <xdr:row>32</xdr:row>
      <xdr:rowOff>111886</xdr:rowOff>
    </xdr:to>
    <xdr:grpSp>
      <xdr:nvGrpSpPr>
        <xdr:cNvPr id="20" name="Step1">
          <a:extLst>
            <a:ext uri="{FF2B5EF4-FFF2-40B4-BE49-F238E27FC236}">
              <a16:creationId xmlns:a16="http://schemas.microsoft.com/office/drawing/2014/main" id="{35F791F4-DA0A-47E1-A83D-09E4C1B449D3}"/>
            </a:ext>
          </a:extLst>
        </xdr:cNvPr>
        <xdr:cNvGrpSpPr/>
      </xdr:nvGrpSpPr>
      <xdr:grpSpPr>
        <a:xfrm>
          <a:off x="257175" y="5610225"/>
          <a:ext cx="3448050" cy="597661"/>
          <a:chOff x="231749" y="1003336"/>
          <a:chExt cx="3448050" cy="603885"/>
        </a:xfrm>
      </xdr:grpSpPr>
      <xdr:sp macro="" textlink="">
        <xdr:nvSpPr>
          <xdr:cNvPr id="21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3CCA99A-45CD-4F4F-BB17-620233D5D393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Agregale titulo a tu dashboard. </a:t>
            </a: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1" descr="1">
            <a:extLst>
              <a:ext uri="{FF2B5EF4-FFF2-40B4-BE49-F238E27FC236}">
                <a16:creationId xmlns:a16="http://schemas.microsoft.com/office/drawing/2014/main" id="{10E0E668-F615-45B7-A7E9-C6147587133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 editAs="oneCell">
    <xdr:from>
      <xdr:col>0</xdr:col>
      <xdr:colOff>257175</xdr:colOff>
      <xdr:row>32</xdr:row>
      <xdr:rowOff>9525</xdr:rowOff>
    </xdr:from>
    <xdr:to>
      <xdr:col>6</xdr:col>
      <xdr:colOff>47625</xdr:colOff>
      <xdr:row>35</xdr:row>
      <xdr:rowOff>35686</xdr:rowOff>
    </xdr:to>
    <xdr:grpSp>
      <xdr:nvGrpSpPr>
        <xdr:cNvPr id="23" name="Step1">
          <a:extLst>
            <a:ext uri="{FF2B5EF4-FFF2-40B4-BE49-F238E27FC236}">
              <a16:creationId xmlns:a16="http://schemas.microsoft.com/office/drawing/2014/main" id="{C7D10CAA-7C2A-4EC7-AAD6-CDD9A3EBDDA5}"/>
            </a:ext>
          </a:extLst>
        </xdr:cNvPr>
        <xdr:cNvGrpSpPr/>
      </xdr:nvGrpSpPr>
      <xdr:grpSpPr>
        <a:xfrm>
          <a:off x="257175" y="6105525"/>
          <a:ext cx="3448050" cy="597661"/>
          <a:chOff x="231749" y="1003336"/>
          <a:chExt cx="3448050" cy="603885"/>
        </a:xfrm>
      </xdr:grpSpPr>
      <xdr:sp macro="" textlink="">
        <xdr:nvSpPr>
          <xdr:cNvPr id="24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DD29844F-BDA9-4D59-B1F6-4F8849FC1CFF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 un segmentador por Año que afecte las 3 tarjetas. </a:t>
            </a: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5" name="1" descr="1">
            <a:extLst>
              <a:ext uri="{FF2B5EF4-FFF2-40B4-BE49-F238E27FC236}">
                <a16:creationId xmlns:a16="http://schemas.microsoft.com/office/drawing/2014/main" id="{495E055D-4638-4E56-8DFC-7DE34BDB17AC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6</a:t>
            </a:r>
          </a:p>
        </xdr:txBody>
      </xdr:sp>
    </xdr:grpSp>
    <xdr:clientData/>
  </xdr:twoCellAnchor>
  <xdr:twoCellAnchor>
    <xdr:from>
      <xdr:col>9</xdr:col>
      <xdr:colOff>0</xdr:colOff>
      <xdr:row>1</xdr:row>
      <xdr:rowOff>28575</xdr:rowOff>
    </xdr:from>
    <xdr:to>
      <xdr:col>9</xdr:col>
      <xdr:colOff>0</xdr:colOff>
      <xdr:row>7</xdr:row>
      <xdr:rowOff>19050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F90C8BF2-A65F-4271-A66A-82761D853E35}"/>
            </a:ext>
          </a:extLst>
        </xdr:cNvPr>
        <xdr:cNvSpPr txBox="1"/>
      </xdr:nvSpPr>
      <xdr:spPr>
        <a:xfrm>
          <a:off x="5762625" y="219075"/>
          <a:ext cx="3581400" cy="1133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3200">
              <a:latin typeface="Franklin Gothic Demi Cond" panose="020B0706030402020204" pitchFamily="34" charset="0"/>
            </a:rPr>
            <a:t>Reporte</a:t>
          </a:r>
          <a:r>
            <a:rPr lang="es-MX" sz="3200" baseline="0">
              <a:latin typeface="Franklin Gothic Demi Cond" panose="020B0706030402020204" pitchFamily="34" charset="0"/>
            </a:rPr>
            <a:t> de Ventas y Ganancia</a:t>
          </a:r>
        </a:p>
      </xdr:txBody>
    </xdr:sp>
    <xdr:clientData/>
  </xdr:twoCellAnchor>
  <xdr:twoCellAnchor>
    <xdr:from>
      <xdr:col>9</xdr:col>
      <xdr:colOff>142875</xdr:colOff>
      <xdr:row>4</xdr:row>
      <xdr:rowOff>28575</xdr:rowOff>
    </xdr:from>
    <xdr:to>
      <xdr:col>11</xdr:col>
      <xdr:colOff>714375</xdr:colOff>
      <xdr:row>7</xdr:row>
      <xdr:rowOff>0</xdr:rowOff>
    </xdr:to>
    <xdr:sp macro="" textlink="$M$11">
      <xdr:nvSpPr>
        <xdr:cNvPr id="27" name="CuadroTexto 26">
          <a:extLst>
            <a:ext uri="{FF2B5EF4-FFF2-40B4-BE49-F238E27FC236}">
              <a16:creationId xmlns:a16="http://schemas.microsoft.com/office/drawing/2014/main" id="{81E1166D-E8F3-585D-4719-4F751BCBEF0F}"/>
            </a:ext>
          </a:extLst>
        </xdr:cNvPr>
        <xdr:cNvSpPr txBox="1"/>
      </xdr:nvSpPr>
      <xdr:spPr>
        <a:xfrm>
          <a:off x="5629275" y="790575"/>
          <a:ext cx="1790700" cy="5429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3F20414-B9CD-4019-8A70-52ED08ACE85B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$1,199,590.00</a:t>
          </a:fld>
          <a:endParaRPr lang="es-MX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838200</xdr:colOff>
      <xdr:row>4</xdr:row>
      <xdr:rowOff>38100</xdr:rowOff>
    </xdr:from>
    <xdr:to>
      <xdr:col>13</xdr:col>
      <xdr:colOff>409575</xdr:colOff>
      <xdr:row>7</xdr:row>
      <xdr:rowOff>9525</xdr:rowOff>
    </xdr:to>
    <xdr:sp macro="" textlink="$M$15">
      <xdr:nvSpPr>
        <xdr:cNvPr id="28" name="CuadroTexto 27">
          <a:extLst>
            <a:ext uri="{FF2B5EF4-FFF2-40B4-BE49-F238E27FC236}">
              <a16:creationId xmlns:a16="http://schemas.microsoft.com/office/drawing/2014/main" id="{F17F3144-C150-4955-9AFD-0AD13588ECB3}"/>
            </a:ext>
          </a:extLst>
        </xdr:cNvPr>
        <xdr:cNvSpPr txBox="1"/>
      </xdr:nvSpPr>
      <xdr:spPr>
        <a:xfrm>
          <a:off x="7543800" y="800100"/>
          <a:ext cx="1571625" cy="5429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6FB0AFA-C116-46FA-98AE-55A9AB70FF62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$742,389.01</a:t>
          </a:fld>
          <a:endParaRPr lang="es-MX" sz="12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495300</xdr:colOff>
      <xdr:row>4</xdr:row>
      <xdr:rowOff>28575</xdr:rowOff>
    </xdr:from>
    <xdr:to>
      <xdr:col>15</xdr:col>
      <xdr:colOff>57150</xdr:colOff>
      <xdr:row>7</xdr:row>
      <xdr:rowOff>0</xdr:rowOff>
    </xdr:to>
    <xdr:sp macro="" textlink="$M$19">
      <xdr:nvSpPr>
        <xdr:cNvPr id="29" name="CuadroTexto 28">
          <a:extLst>
            <a:ext uri="{FF2B5EF4-FFF2-40B4-BE49-F238E27FC236}">
              <a16:creationId xmlns:a16="http://schemas.microsoft.com/office/drawing/2014/main" id="{719E0AE4-834C-4CEC-B699-93C00466CFB0}"/>
            </a:ext>
          </a:extLst>
        </xdr:cNvPr>
        <xdr:cNvSpPr txBox="1"/>
      </xdr:nvSpPr>
      <xdr:spPr>
        <a:xfrm>
          <a:off x="9201150" y="790575"/>
          <a:ext cx="1571625" cy="5429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302CF05-C294-441D-B8CF-45C476A5D61D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$306,125.74</a:t>
          </a:fld>
          <a:endParaRPr lang="es-MX" sz="12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152400</xdr:colOff>
      <xdr:row>4</xdr:row>
      <xdr:rowOff>38100</xdr:rowOff>
    </xdr:from>
    <xdr:to>
      <xdr:col>17</xdr:col>
      <xdr:colOff>504825</xdr:colOff>
      <xdr:row>7</xdr:row>
      <xdr:rowOff>9525</xdr:rowOff>
    </xdr:to>
    <xdr:sp macro="" textlink="$P$11">
      <xdr:nvSpPr>
        <xdr:cNvPr id="30" name="CuadroTexto 29">
          <a:extLst>
            <a:ext uri="{FF2B5EF4-FFF2-40B4-BE49-F238E27FC236}">
              <a16:creationId xmlns:a16="http://schemas.microsoft.com/office/drawing/2014/main" id="{C08E0E7F-0D24-4D7C-872D-AF1B5260F4BB}"/>
            </a:ext>
          </a:extLst>
        </xdr:cNvPr>
        <xdr:cNvSpPr txBox="1"/>
      </xdr:nvSpPr>
      <xdr:spPr>
        <a:xfrm>
          <a:off x="10868025" y="800100"/>
          <a:ext cx="1571625" cy="5429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59547E24-34ED-4B23-90C6-C92E1846F866}" type="TxLink">
            <a:rPr lang="en-US" sz="1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25.52%</a:t>
          </a:fld>
          <a:endParaRPr lang="es-MX" sz="12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7</xdr:col>
      <xdr:colOff>95250</xdr:colOff>
      <xdr:row>8</xdr:row>
      <xdr:rowOff>9526</xdr:rowOff>
    </xdr:from>
    <xdr:to>
      <xdr:col>10</xdr:col>
      <xdr:colOff>95250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Años (Fecha)">
              <a:extLst>
                <a:ext uri="{FF2B5EF4-FFF2-40B4-BE49-F238E27FC236}">
                  <a16:creationId xmlns:a16="http://schemas.microsoft.com/office/drawing/2014/main" id="{AB4EE6AE-DDCD-25EF-AFB1-F1A8F3FD9E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1533526"/>
              <a:ext cx="182880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114300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1E697-1373-44B1-880C-0481C8277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20</xdr:col>
      <xdr:colOff>142875</xdr:colOff>
      <xdr:row>5</xdr:row>
      <xdr:rowOff>161925</xdr:rowOff>
    </xdr:from>
    <xdr:to>
      <xdr:col>29</xdr:col>
      <xdr:colOff>157438</xdr:colOff>
      <xdr:row>31</xdr:row>
      <xdr:rowOff>114300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378B914-65E2-4A80-85D5-5118FA58BDAB}"/>
            </a:ext>
          </a:extLst>
        </xdr:cNvPr>
        <xdr:cNvGrpSpPr/>
      </xdr:nvGrpSpPr>
      <xdr:grpSpPr>
        <a:xfrm>
          <a:off x="13011150" y="1114425"/>
          <a:ext cx="5500963" cy="5076825"/>
          <a:chOff x="10563225" y="1209674"/>
          <a:chExt cx="5500963" cy="4905375"/>
        </a:xfrm>
      </xdr:grpSpPr>
      <xdr:sp macro="" textlink="">
        <xdr:nvSpPr>
          <xdr:cNvPr id="4" name="Fondo" descr="Fondo">
            <a:extLst>
              <a:ext uri="{FF2B5EF4-FFF2-40B4-BE49-F238E27FC236}">
                <a16:creationId xmlns:a16="http://schemas.microsoft.com/office/drawing/2014/main" id="{7654CA25-C1B7-46F5-967B-8840B6BA9477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5" name="Paso" descr="Agregar números como quiera">
            <a:extLst>
              <a:ext uri="{FF2B5EF4-FFF2-40B4-BE49-F238E27FC236}">
                <a16:creationId xmlns:a16="http://schemas.microsoft.com/office/drawing/2014/main" id="{417F4653-9377-4E40-A95A-14B74D561115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6" name="Línea superior" descr="Línea decorativa">
            <a:extLst>
              <a:ext uri="{FF2B5EF4-FFF2-40B4-BE49-F238E27FC236}">
                <a16:creationId xmlns:a16="http://schemas.microsoft.com/office/drawing/2014/main" id="{8391D17B-0CF8-4075-B234-FBA8E9EAD47A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CB70884A-0657-4A09-A1D7-24B2DD544DD2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20</xdr:col>
      <xdr:colOff>352425</xdr:colOff>
      <xdr:row>10</xdr:row>
      <xdr:rowOff>180975</xdr:rowOff>
    </xdr:from>
    <xdr:to>
      <xdr:col>26</xdr:col>
      <xdr:colOff>142875</xdr:colOff>
      <xdr:row>13</xdr:row>
      <xdr:rowOff>207136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FDA726ED-BF5C-4EB2-833C-C79507695F66}"/>
            </a:ext>
          </a:extLst>
        </xdr:cNvPr>
        <xdr:cNvGrpSpPr/>
      </xdr:nvGrpSpPr>
      <xdr:grpSpPr>
        <a:xfrm>
          <a:off x="13220700" y="2085975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0D3362FE-C83B-4A60-ADC3-E49154B1AD78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 una columna D que asigne aumentos salariales utilizando los siguientes criterios: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5700FBC7-9A43-48A4-A8D4-D85E37ECF73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20</xdr:col>
      <xdr:colOff>352425</xdr:colOff>
      <xdr:row>14</xdr:row>
      <xdr:rowOff>66675</xdr:rowOff>
    </xdr:from>
    <xdr:to>
      <xdr:col>26</xdr:col>
      <xdr:colOff>142875</xdr:colOff>
      <xdr:row>17</xdr:row>
      <xdr:rowOff>92836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0116AC2E-2327-4953-9D9A-BDCD9B6A6E47}"/>
            </a:ext>
          </a:extLst>
        </xdr:cNvPr>
        <xdr:cNvGrpSpPr/>
      </xdr:nvGrpSpPr>
      <xdr:grpSpPr>
        <a:xfrm>
          <a:off x="13220700" y="2905125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98DB6C2-000B-48FE-B8CE-8EF2BC1EBF14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Empleados de RH o de RESO no reciben Aumento Salarial Alguno. 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CBAA8A58-8DE2-4BB6-B203-C7C3D0AD1B87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20</xdr:col>
      <xdr:colOff>352425</xdr:colOff>
      <xdr:row>17</xdr:row>
      <xdr:rowOff>95250</xdr:rowOff>
    </xdr:from>
    <xdr:to>
      <xdr:col>26</xdr:col>
      <xdr:colOff>142875</xdr:colOff>
      <xdr:row>20</xdr:row>
      <xdr:rowOff>121411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6E7D449E-BD88-48BD-B382-54446D5887BF}"/>
            </a:ext>
          </a:extLst>
        </xdr:cNvPr>
        <xdr:cNvGrpSpPr/>
      </xdr:nvGrpSpPr>
      <xdr:grpSpPr>
        <a:xfrm>
          <a:off x="13220700" y="3505200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5BB88F5-DCCC-42A3-A267-83BA40DC56AB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Los demás empleados reciben aumentos con base a la tabla N15:P19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3302236A-EB74-4EC0-A9FE-F9CAF4F7CBA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20</xdr:col>
      <xdr:colOff>352425</xdr:colOff>
      <xdr:row>20</xdr:row>
      <xdr:rowOff>85725</xdr:rowOff>
    </xdr:from>
    <xdr:to>
      <xdr:col>26</xdr:col>
      <xdr:colOff>142875</xdr:colOff>
      <xdr:row>23</xdr:row>
      <xdr:rowOff>111886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213D8C82-1C19-405C-8494-1AC65C8A3AC4}"/>
            </a:ext>
          </a:extLst>
        </xdr:cNvPr>
        <xdr:cNvGrpSpPr/>
      </xdr:nvGrpSpPr>
      <xdr:grpSpPr>
        <a:xfrm>
          <a:off x="13220700" y="4067175"/>
          <a:ext cx="3448050" cy="597661"/>
          <a:chOff x="231749" y="1003336"/>
          <a:chExt cx="3448050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57FA0D4C-9FA2-490E-BC72-85B4B59E949F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Puedes utilizar solo condicionales, o condicionales con BuscarV aproximado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A1BCA71E-016C-4368-A1BB-BAE752D4A31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20</xdr:col>
      <xdr:colOff>352425</xdr:colOff>
      <xdr:row>23</xdr:row>
      <xdr:rowOff>66675</xdr:rowOff>
    </xdr:from>
    <xdr:to>
      <xdr:col>26</xdr:col>
      <xdr:colOff>142875</xdr:colOff>
      <xdr:row>26</xdr:row>
      <xdr:rowOff>92836</xdr:rowOff>
    </xdr:to>
    <xdr:grpSp>
      <xdr:nvGrpSpPr>
        <xdr:cNvPr id="20" name="Step1">
          <a:extLst>
            <a:ext uri="{FF2B5EF4-FFF2-40B4-BE49-F238E27FC236}">
              <a16:creationId xmlns:a16="http://schemas.microsoft.com/office/drawing/2014/main" id="{D08FCAA5-528F-4C29-A8B7-77A6554CA7C7}"/>
            </a:ext>
          </a:extLst>
        </xdr:cNvPr>
        <xdr:cNvGrpSpPr/>
      </xdr:nvGrpSpPr>
      <xdr:grpSpPr>
        <a:xfrm>
          <a:off x="13220700" y="4619625"/>
          <a:ext cx="3448050" cy="597661"/>
          <a:chOff x="231749" y="1003336"/>
          <a:chExt cx="3448050" cy="603885"/>
        </a:xfrm>
      </xdr:grpSpPr>
      <xdr:sp macro="" textlink="">
        <xdr:nvSpPr>
          <xdr:cNvPr id="21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4EE2D0B2-740D-4E4B-94C3-227AFDE9D03C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 una columna E que calcule el salario final del trabajador ya con el aumento.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1" descr="1">
            <a:extLst>
              <a:ext uri="{FF2B5EF4-FFF2-40B4-BE49-F238E27FC236}">
                <a16:creationId xmlns:a16="http://schemas.microsoft.com/office/drawing/2014/main" id="{05B0BA49-C7BA-46B9-A367-DC196778F0F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266700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479D0-908C-41C2-8E71-E1556829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13</xdr:col>
      <xdr:colOff>333375</xdr:colOff>
      <xdr:row>9</xdr:row>
      <xdr:rowOff>76200</xdr:rowOff>
    </xdr:from>
    <xdr:to>
      <xdr:col>22</xdr:col>
      <xdr:colOff>347938</xdr:colOff>
      <xdr:row>36</xdr:row>
      <xdr:rowOff>9525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6A8A24A-AF83-4E1A-9AB9-5FF3FFC8263E}"/>
            </a:ext>
          </a:extLst>
        </xdr:cNvPr>
        <xdr:cNvGrpSpPr/>
      </xdr:nvGrpSpPr>
      <xdr:grpSpPr>
        <a:xfrm>
          <a:off x="11115675" y="1790700"/>
          <a:ext cx="5500963" cy="5076825"/>
          <a:chOff x="10563225" y="1209674"/>
          <a:chExt cx="5500963" cy="4905375"/>
        </a:xfrm>
      </xdr:grpSpPr>
      <xdr:sp macro="" textlink="">
        <xdr:nvSpPr>
          <xdr:cNvPr id="4" name="Fondo" descr="Fondo">
            <a:extLst>
              <a:ext uri="{FF2B5EF4-FFF2-40B4-BE49-F238E27FC236}">
                <a16:creationId xmlns:a16="http://schemas.microsoft.com/office/drawing/2014/main" id="{E146FBFF-3D5D-40E4-BB85-A446DCD913D1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5" name="Paso" descr="Agregar números como quiera">
            <a:extLst>
              <a:ext uri="{FF2B5EF4-FFF2-40B4-BE49-F238E27FC236}">
                <a16:creationId xmlns:a16="http://schemas.microsoft.com/office/drawing/2014/main" id="{106511B0-1068-496A-AE84-057E28A8163B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6" name="Línea superior" descr="Línea decorativa">
            <a:extLst>
              <a:ext uri="{FF2B5EF4-FFF2-40B4-BE49-F238E27FC236}">
                <a16:creationId xmlns:a16="http://schemas.microsoft.com/office/drawing/2014/main" id="{2FFACF50-17AA-49E2-8BBF-33BEE6AF2AF0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6CBD5AA3-EDFD-4F3C-BF3B-26A02196E994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13</xdr:col>
      <xdr:colOff>552450</xdr:colOff>
      <xdr:row>14</xdr:row>
      <xdr:rowOff>104775</xdr:rowOff>
    </xdr:from>
    <xdr:to>
      <xdr:col>19</xdr:col>
      <xdr:colOff>342900</xdr:colOff>
      <xdr:row>17</xdr:row>
      <xdr:rowOff>130936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32EA84A3-B54A-4401-842A-364FB084B659}"/>
            </a:ext>
          </a:extLst>
        </xdr:cNvPr>
        <xdr:cNvGrpSpPr/>
      </xdr:nvGrpSpPr>
      <xdr:grpSpPr>
        <a:xfrm>
          <a:off x="11334750" y="2771775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8C23E479-57AA-4620-A041-A4FEEAB41D44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Estarás utilizando BuscarV para obtener los siguientes datos. Recuerda las reglas del BuscarV.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 te entrega una tabla con histórico de ventas y otra con el catálgo de productos. 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C80D4A43-498E-4AA8-A165-C6E96AA5E2C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13</xdr:col>
      <xdr:colOff>552450</xdr:colOff>
      <xdr:row>21</xdr:row>
      <xdr:rowOff>161925</xdr:rowOff>
    </xdr:from>
    <xdr:to>
      <xdr:col>19</xdr:col>
      <xdr:colOff>342900</xdr:colOff>
      <xdr:row>24</xdr:row>
      <xdr:rowOff>188086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BCC35973-6C81-4A4F-8DCC-558B39BD91E1}"/>
            </a:ext>
          </a:extLst>
        </xdr:cNvPr>
        <xdr:cNvGrpSpPr/>
      </xdr:nvGrpSpPr>
      <xdr:grpSpPr>
        <a:xfrm>
          <a:off x="11334750" y="4162425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9E5A18B2-6593-4323-8CAC-8FF7C5C4DCE0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Obtén la cantidad de ventas totales en $$$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3BBA113C-F90D-465B-BEB9-B834A4688DD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13</xdr:col>
      <xdr:colOff>552450</xdr:colOff>
      <xdr:row>24</xdr:row>
      <xdr:rowOff>123825</xdr:rowOff>
    </xdr:from>
    <xdr:to>
      <xdr:col>19</xdr:col>
      <xdr:colOff>342900</xdr:colOff>
      <xdr:row>27</xdr:row>
      <xdr:rowOff>149986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48C2148D-F10B-42BA-9EC4-1796FC351AC5}"/>
            </a:ext>
          </a:extLst>
        </xdr:cNvPr>
        <xdr:cNvGrpSpPr/>
      </xdr:nvGrpSpPr>
      <xdr:grpSpPr>
        <a:xfrm>
          <a:off x="11334750" y="4695825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64B27C0E-9277-46A6-8160-87CFE201D62E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gráfica que muestre las ventas por categoría en pesos.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B9642BEF-5912-4152-82AF-ECDA5F6C508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13</xdr:col>
      <xdr:colOff>552450</xdr:colOff>
      <xdr:row>28</xdr:row>
      <xdr:rowOff>9525</xdr:rowOff>
    </xdr:from>
    <xdr:to>
      <xdr:col>19</xdr:col>
      <xdr:colOff>342900</xdr:colOff>
      <xdr:row>31</xdr:row>
      <xdr:rowOff>35686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F845D19F-8F58-426F-B487-6EBC5B0CE586}"/>
            </a:ext>
          </a:extLst>
        </xdr:cNvPr>
        <xdr:cNvGrpSpPr/>
      </xdr:nvGrpSpPr>
      <xdr:grpSpPr>
        <a:xfrm>
          <a:off x="11334750" y="5343525"/>
          <a:ext cx="3448050" cy="597661"/>
          <a:chOff x="231749" y="1003336"/>
          <a:chExt cx="3448050" cy="603885"/>
        </a:xfrm>
      </xdr:grpSpPr>
      <xdr:sp macro="" textlink="">
        <xdr:nvSpPr>
          <xdr:cNvPr id="18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E8D567E4-96EB-41D2-A473-B33A4F43F3F3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tabla dinámica que muestre los top 5 de zapatos más vendidos en pesos. 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9358B93B-C628-42D5-B18C-DA1C284695E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>
    <xdr:from>
      <xdr:col>5</xdr:col>
      <xdr:colOff>581025</xdr:colOff>
      <xdr:row>81</xdr:row>
      <xdr:rowOff>33337</xdr:rowOff>
    </xdr:from>
    <xdr:to>
      <xdr:col>10</xdr:col>
      <xdr:colOff>1200150</xdr:colOff>
      <xdr:row>95</xdr:row>
      <xdr:rowOff>109537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E51395A-7558-2DB4-4894-02B22E8F6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7DC5A-E890-4E14-8282-996E324D5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9</xdr:col>
      <xdr:colOff>14563</xdr:colOff>
      <xdr:row>35</xdr:row>
      <xdr:rowOff>123825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F85148E-6834-40B9-B0A8-747342256039}"/>
            </a:ext>
          </a:extLst>
        </xdr:cNvPr>
        <xdr:cNvGrpSpPr/>
      </xdr:nvGrpSpPr>
      <xdr:grpSpPr>
        <a:xfrm>
          <a:off x="0" y="1714500"/>
          <a:ext cx="5500963" cy="5076825"/>
          <a:chOff x="10563225" y="1209674"/>
          <a:chExt cx="5500963" cy="4905375"/>
        </a:xfrm>
      </xdr:grpSpPr>
      <xdr:sp macro="" textlink="">
        <xdr:nvSpPr>
          <xdr:cNvPr id="5" name="Fondo" descr="Fondo">
            <a:extLst>
              <a:ext uri="{FF2B5EF4-FFF2-40B4-BE49-F238E27FC236}">
                <a16:creationId xmlns:a16="http://schemas.microsoft.com/office/drawing/2014/main" id="{FDADE7E0-C9DE-4EBF-9933-8114C1071B74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6" name="Paso" descr="Agregar números como quiera">
            <a:extLst>
              <a:ext uri="{FF2B5EF4-FFF2-40B4-BE49-F238E27FC236}">
                <a16:creationId xmlns:a16="http://schemas.microsoft.com/office/drawing/2014/main" id="{709428C2-22C8-4D1A-A02F-A7372E246F1A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7" name="Línea superior" descr="Línea decorativa">
            <a:extLst>
              <a:ext uri="{FF2B5EF4-FFF2-40B4-BE49-F238E27FC236}">
                <a16:creationId xmlns:a16="http://schemas.microsoft.com/office/drawing/2014/main" id="{192A7298-A4B4-4D5A-BCC5-17AD2531E99A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47A7F80E-602B-4A0A-A3FC-B2A0192A4CB5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190500</xdr:colOff>
      <xdr:row>14</xdr:row>
      <xdr:rowOff>28575</xdr:rowOff>
    </xdr:from>
    <xdr:to>
      <xdr:col>5</xdr:col>
      <xdr:colOff>590550</xdr:colOff>
      <xdr:row>17</xdr:row>
      <xdr:rowOff>54736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F015439C-D0DC-421F-95DA-E68124706E7A}"/>
            </a:ext>
          </a:extLst>
        </xdr:cNvPr>
        <xdr:cNvGrpSpPr/>
      </xdr:nvGrpSpPr>
      <xdr:grpSpPr>
        <a:xfrm>
          <a:off x="190500" y="2695575"/>
          <a:ext cx="3448050" cy="597661"/>
          <a:chOff x="231749" y="1003336"/>
          <a:chExt cx="3448050" cy="603885"/>
        </a:xfrm>
      </xdr:grpSpPr>
      <xdr:sp macro="" textlink="">
        <xdr:nvSpPr>
          <xdr:cNvPr id="10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2E462350-C4C4-40A7-B223-055118AC7F98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Calcula, como Dios te de a enteder, las respuestas correctas para los siguientes ejercicios.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La idea es probar tu habilidad de manipular porcentajes, reglas de tres, promedios ponderados y proporciones. </a:t>
            </a:r>
          </a:p>
        </xdr:txBody>
      </xdr:sp>
      <xdr:sp macro="" textlink="">
        <xdr:nvSpPr>
          <xdr:cNvPr id="11" name="1" descr="1">
            <a:extLst>
              <a:ext uri="{FF2B5EF4-FFF2-40B4-BE49-F238E27FC236}">
                <a16:creationId xmlns:a16="http://schemas.microsoft.com/office/drawing/2014/main" id="{52D4A3FD-8D9D-4F8A-A091-360D2C9D97C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>
    <xdr:from>
      <xdr:col>7</xdr:col>
      <xdr:colOff>590550</xdr:colOff>
      <xdr:row>9</xdr:row>
      <xdr:rowOff>104776</xdr:rowOff>
    </xdr:from>
    <xdr:to>
      <xdr:col>16</xdr:col>
      <xdr:colOff>209550</xdr:colOff>
      <xdr:row>16</xdr:row>
      <xdr:rowOff>66676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69BB957-BF12-4244-BE26-155A3C854428}"/>
            </a:ext>
          </a:extLst>
        </xdr:cNvPr>
        <xdr:cNvSpPr txBox="1"/>
      </xdr:nvSpPr>
      <xdr:spPr>
        <a:xfrm>
          <a:off x="4857750" y="1819276"/>
          <a:ext cx="5105400" cy="12954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>
              <a:latin typeface="Franklin Gothic Demi Cond" panose="020B0706030402020204" pitchFamily="34" charset="0"/>
            </a:rPr>
            <a:t>Problema 1</a:t>
          </a:r>
        </a:p>
        <a:p>
          <a:endParaRPr lang="es-MX" sz="1100"/>
        </a:p>
        <a:p>
          <a:r>
            <a:rPr lang="es-MX" sz="1100">
              <a:latin typeface="Segoe UI Light" panose="020B0502040204020203" pitchFamily="34" charset="0"/>
            </a:rPr>
            <a:t>Karen vendió su casa</a:t>
          </a:r>
          <a:r>
            <a:rPr lang="es-MX" sz="1100" baseline="0">
              <a:latin typeface="Segoe UI Light" panose="020B0502040204020203" pitchFamily="34" charset="0"/>
            </a:rPr>
            <a:t> y perdió 25% sobre lo que originalmente había pagado por ella. Posteriormente, se compró una segunda casa 30% más barata del percio inicial de la primera casa. Si vendió su primera casa en $225,000 USD, ¿cual fue su ganancia neta en doláres por las 2 transacciones?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  <xdr:twoCellAnchor>
    <xdr:from>
      <xdr:col>8</xdr:col>
      <xdr:colOff>9525</xdr:colOff>
      <xdr:row>17</xdr:row>
      <xdr:rowOff>9526</xdr:rowOff>
    </xdr:from>
    <xdr:to>
      <xdr:col>16</xdr:col>
      <xdr:colOff>238125</xdr:colOff>
      <xdr:row>23</xdr:row>
      <xdr:rowOff>161926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23C68D0-B4D8-4EF8-8382-14B84D14A4F6}"/>
            </a:ext>
          </a:extLst>
        </xdr:cNvPr>
        <xdr:cNvSpPr txBox="1"/>
      </xdr:nvSpPr>
      <xdr:spPr>
        <a:xfrm>
          <a:off x="4886325" y="3248026"/>
          <a:ext cx="5105400" cy="12954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>
              <a:latin typeface="Franklin Gothic Demi Cond" panose="020B0706030402020204" pitchFamily="34" charset="0"/>
            </a:rPr>
            <a:t>Problema 2</a:t>
          </a:r>
        </a:p>
        <a:p>
          <a:endParaRPr lang="es-MX" sz="1100"/>
        </a:p>
        <a:p>
          <a:r>
            <a:rPr lang="es-MX" sz="1100">
              <a:latin typeface="Segoe UI Light" panose="020B0502040204020203" pitchFamily="34" charset="0"/>
            </a:rPr>
            <a:t>Hay 17 alumnos en una clase. El día del examen, José se asuentó. Los otros 16 alumnos tomaron el examen y el promedio grupal</a:t>
          </a:r>
          <a:r>
            <a:rPr lang="es-MX" sz="1100" baseline="0">
              <a:latin typeface="Segoe UI Light" panose="020B0502040204020203" pitchFamily="34" charset="0"/>
            </a:rPr>
            <a:t> fue 77. Al dia siguiente, José tomó el examen y con su calificación, el promedio subió a 78. ¿Cual fue la calificación de José en el examen?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  <xdr:twoCellAnchor>
    <xdr:from>
      <xdr:col>8</xdr:col>
      <xdr:colOff>9525</xdr:colOff>
      <xdr:row>24</xdr:row>
      <xdr:rowOff>85726</xdr:rowOff>
    </xdr:from>
    <xdr:to>
      <xdr:col>16</xdr:col>
      <xdr:colOff>238125</xdr:colOff>
      <xdr:row>31</xdr:row>
      <xdr:rowOff>47626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47DD65-33A5-4D6A-90B9-DD8C85639762}"/>
            </a:ext>
          </a:extLst>
        </xdr:cNvPr>
        <xdr:cNvSpPr txBox="1"/>
      </xdr:nvSpPr>
      <xdr:spPr>
        <a:xfrm>
          <a:off x="4886325" y="4657726"/>
          <a:ext cx="5105400" cy="12954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>
              <a:latin typeface="Franklin Gothic Demi Cond" panose="020B0706030402020204" pitchFamily="34" charset="0"/>
            </a:rPr>
            <a:t>Problema 3</a:t>
          </a:r>
        </a:p>
        <a:p>
          <a:endParaRPr lang="es-MX" sz="1100"/>
        </a:p>
        <a:p>
          <a:r>
            <a:rPr lang="es-MX" sz="1100">
              <a:latin typeface="Segoe UI Light" panose="020B0502040204020203" pitchFamily="34" charset="0"/>
            </a:rPr>
            <a:t>Para llenar una galería de arte, alumnos en un curso son asignados a crear una pieza de arte en las siguientes proporciones. 1/3</a:t>
          </a:r>
          <a:r>
            <a:rPr lang="es-MX" sz="1100" baseline="0">
              <a:latin typeface="Segoe UI Light" panose="020B0502040204020203" pitchFamily="34" charset="0"/>
            </a:rPr>
            <a:t> arman esculturas, 1/8 arman pinturas, 1/2 hacen dibujos con acuarela y los otros 10 son mosaicos. ¿Cuantos alumnos hay en el curso de arte?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  <xdr:twoCellAnchor>
    <xdr:from>
      <xdr:col>8</xdr:col>
      <xdr:colOff>9525</xdr:colOff>
      <xdr:row>31</xdr:row>
      <xdr:rowOff>171451</xdr:rowOff>
    </xdr:from>
    <xdr:to>
      <xdr:col>16</xdr:col>
      <xdr:colOff>238125</xdr:colOff>
      <xdr:row>38</xdr:row>
      <xdr:rowOff>133351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95128DD-1A0E-42A7-8D73-51FA39910AB1}"/>
            </a:ext>
          </a:extLst>
        </xdr:cNvPr>
        <xdr:cNvSpPr txBox="1"/>
      </xdr:nvSpPr>
      <xdr:spPr>
        <a:xfrm>
          <a:off x="4886325" y="6076951"/>
          <a:ext cx="5105400" cy="12954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>
              <a:latin typeface="Franklin Gothic Demi Cond" panose="020B0706030402020204" pitchFamily="34" charset="0"/>
            </a:rPr>
            <a:t>Problema 4</a:t>
          </a:r>
        </a:p>
        <a:p>
          <a:endParaRPr lang="es-MX" sz="1100"/>
        </a:p>
        <a:p>
          <a:r>
            <a:rPr lang="es-MX" sz="1100">
              <a:latin typeface="Segoe UI Light" panose="020B0502040204020203" pitchFamily="34" charset="0"/>
            </a:rPr>
            <a:t>Una compañía tiene 15 gerentes y 75 analistas. Los 15 gerentes ganan en promedio 120,000</a:t>
          </a:r>
          <a:r>
            <a:rPr lang="es-MX" sz="1100" baseline="0">
              <a:latin typeface="Segoe UI Light" panose="020B0502040204020203" pitchFamily="34" charset="0"/>
            </a:rPr>
            <a:t> doláres anuales. Los 75 analistas tienen un salario promedio de 30,000 doláres anuales. ¿Cual es el salario promedio para la compañía?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  <xdr:twoCellAnchor>
    <xdr:from>
      <xdr:col>8</xdr:col>
      <xdr:colOff>47625</xdr:colOff>
      <xdr:row>39</xdr:row>
      <xdr:rowOff>66675</xdr:rowOff>
    </xdr:from>
    <xdr:to>
      <xdr:col>16</xdr:col>
      <xdr:colOff>276225</xdr:colOff>
      <xdr:row>46</xdr:row>
      <xdr:rowOff>28575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7A47C1C-B4B7-4F22-88BA-4E3A8565573A}"/>
            </a:ext>
          </a:extLst>
        </xdr:cNvPr>
        <xdr:cNvSpPr txBox="1"/>
      </xdr:nvSpPr>
      <xdr:spPr>
        <a:xfrm>
          <a:off x="4924425" y="7496175"/>
          <a:ext cx="5105400" cy="12954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>
              <a:latin typeface="Franklin Gothic Demi Cond" panose="020B0706030402020204" pitchFamily="34" charset="0"/>
            </a:rPr>
            <a:t>Problema 5</a:t>
          </a:r>
        </a:p>
        <a:p>
          <a:endParaRPr lang="es-MX" sz="1100"/>
        </a:p>
        <a:p>
          <a:r>
            <a:rPr lang="es-MX" sz="1100">
              <a:latin typeface="Segoe UI Light" panose="020B0502040204020203" pitchFamily="34" charset="0"/>
            </a:rPr>
            <a:t>ACME Manufactura</a:t>
          </a:r>
          <a:r>
            <a:rPr lang="es-MX" sz="1100" baseline="0">
              <a:latin typeface="Segoe UI Light" panose="020B0502040204020203" pitchFamily="34" charset="0"/>
            </a:rPr>
            <a:t> herraduras. Sus costos son de 11,450 por gastos iniciales, y 19.75 por herradura. Pueden vender la herradura a 52.50. Si la ganancia es el total de la venta menos los costos de manufactura, y se vendieron 985 herraduras ¿Cual es la ganancia?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AFD95-C51A-4985-B34C-DC401A408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7</xdr:row>
      <xdr:rowOff>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33D7F-FDFB-42FA-8180-8FEF9DC0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5450" cy="14001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95250</xdr:rowOff>
    </xdr:from>
    <xdr:to>
      <xdr:col>9</xdr:col>
      <xdr:colOff>14563</xdr:colOff>
      <xdr:row>36</xdr:row>
      <xdr:rowOff>28575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78F0C3B-6436-449A-9FD1-C262785FC804}"/>
            </a:ext>
          </a:extLst>
        </xdr:cNvPr>
        <xdr:cNvGrpSpPr/>
      </xdr:nvGrpSpPr>
      <xdr:grpSpPr>
        <a:xfrm>
          <a:off x="0" y="1809750"/>
          <a:ext cx="5500963" cy="5076825"/>
          <a:chOff x="10563225" y="1209674"/>
          <a:chExt cx="5500963" cy="4905375"/>
        </a:xfrm>
      </xdr:grpSpPr>
      <xdr:sp macro="" textlink="">
        <xdr:nvSpPr>
          <xdr:cNvPr id="4" name="Fondo" descr="Fondo">
            <a:extLst>
              <a:ext uri="{FF2B5EF4-FFF2-40B4-BE49-F238E27FC236}">
                <a16:creationId xmlns:a16="http://schemas.microsoft.com/office/drawing/2014/main" id="{9292C020-976B-4F59-813F-5D938EAB81EE}"/>
              </a:ext>
            </a:extLst>
          </xdr:cNvPr>
          <xdr:cNvSpPr/>
        </xdr:nvSpPr>
        <xdr:spPr>
          <a:xfrm>
            <a:off x="10563225" y="1209674"/>
            <a:ext cx="4295775" cy="49053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endParaRPr lang="en-US" sz="1100"/>
          </a:p>
        </xdr:txBody>
      </xdr:sp>
      <xdr:sp macro="" textlink="">
        <xdr:nvSpPr>
          <xdr:cNvPr id="5" name="Paso" descr="Agregar números como quiera">
            <a:extLst>
              <a:ext uri="{FF2B5EF4-FFF2-40B4-BE49-F238E27FC236}">
                <a16:creationId xmlns:a16="http://schemas.microsoft.com/office/drawing/2014/main" id="{18EC9BDD-14EA-4748-BAA7-11F3B15FB978}"/>
              </a:ext>
            </a:extLst>
          </xdr:cNvPr>
          <xdr:cNvSpPr txBox="1"/>
        </xdr:nvSpPr>
        <xdr:spPr>
          <a:xfrm>
            <a:off x="10772775" y="1266825"/>
            <a:ext cx="5216551" cy="485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2200" b="0" i="0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Instrucciones</a:t>
            </a:r>
            <a:endParaRPr lang="e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6" name="Línea superior" descr="Línea decorativa">
            <a:extLst>
              <a:ext uri="{FF2B5EF4-FFF2-40B4-BE49-F238E27FC236}">
                <a16:creationId xmlns:a16="http://schemas.microsoft.com/office/drawing/2014/main" id="{19E6ECFA-0371-4392-9434-A4FB030AF7BE}"/>
              </a:ext>
            </a:extLst>
          </xdr:cNvPr>
          <xdr:cNvCxnSpPr>
            <a:cxnSpLocks/>
          </xdr:cNvCxnSpPr>
        </xdr:nvCxnSpPr>
        <xdr:spPr>
          <a:xfrm flipV="1">
            <a:off x="10753725" y="1714500"/>
            <a:ext cx="3822726" cy="534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Introducción para agregar números" descr="Estas son algunas maneras para sumar números en Excel:">
            <a:extLst>
              <a:ext uri="{FF2B5EF4-FFF2-40B4-BE49-F238E27FC236}">
                <a16:creationId xmlns:a16="http://schemas.microsoft.com/office/drawing/2014/main" id="{329B808F-4F43-428A-8891-2D1639D21974}"/>
              </a:ext>
            </a:extLst>
          </xdr:cNvPr>
          <xdr:cNvSpPr txBox="1"/>
        </xdr:nvSpPr>
        <xdr:spPr>
          <a:xfrm>
            <a:off x="10763250" y="1781175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esta Tarea:</a:t>
            </a:r>
          </a:p>
        </xdr:txBody>
      </xdr:sp>
    </xdr:grpSp>
    <xdr:clientData/>
  </xdr:twoCellAnchor>
  <xdr:twoCellAnchor editAs="oneCell">
    <xdr:from>
      <xdr:col>0</xdr:col>
      <xdr:colOff>152400</xdr:colOff>
      <xdr:row>14</xdr:row>
      <xdr:rowOff>76200</xdr:rowOff>
    </xdr:from>
    <xdr:to>
      <xdr:col>5</xdr:col>
      <xdr:colOff>552450</xdr:colOff>
      <xdr:row>17</xdr:row>
      <xdr:rowOff>102361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C955C053-E0C1-43E3-8E76-AF385AF93D71}"/>
            </a:ext>
          </a:extLst>
        </xdr:cNvPr>
        <xdr:cNvGrpSpPr/>
      </xdr:nvGrpSpPr>
      <xdr:grpSpPr>
        <a:xfrm>
          <a:off x="152400" y="2743200"/>
          <a:ext cx="3448050" cy="597661"/>
          <a:chOff x="231749" y="1003336"/>
          <a:chExt cx="3448050" cy="603885"/>
        </a:xfrm>
      </xdr:grpSpPr>
      <xdr:sp macro="" textlink="">
        <xdr:nvSpPr>
          <xdr:cNvPr id="9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20473D9F-0D91-4B09-8720-B4E05A3E245B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una tabla dinámica que muestre las ventas en $$$ por producto a partir de la tabla de "Datos".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Utiliza formato condicional para resaltar en verde los 5 mejores productos.</a:t>
            </a: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AB1F5F6D-0F70-4660-94B8-F60EC2B09BB4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104775</xdr:colOff>
      <xdr:row>21</xdr:row>
      <xdr:rowOff>57150</xdr:rowOff>
    </xdr:from>
    <xdr:to>
      <xdr:col>5</xdr:col>
      <xdr:colOff>504825</xdr:colOff>
      <xdr:row>24</xdr:row>
      <xdr:rowOff>83311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CA0E7537-BDEE-4CB9-A5D7-BA741384CC37}"/>
            </a:ext>
          </a:extLst>
        </xdr:cNvPr>
        <xdr:cNvGrpSpPr/>
      </xdr:nvGrpSpPr>
      <xdr:grpSpPr>
        <a:xfrm>
          <a:off x="104775" y="4057650"/>
          <a:ext cx="3448050" cy="597661"/>
          <a:chOff x="231749" y="1003336"/>
          <a:chExt cx="3448050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1FA35271-2AED-4EE7-A7B8-1322137A4B10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otra tabla dinámica que muestre por año y mes, las ventas de productos en unidades a partir de la tabla de "Datos".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Aplica una escala de color a tu tabla para armar un Heatmap correctamente. 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74AC6228-8E28-489F-99F1-D97F17626F2C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133350</xdr:colOff>
      <xdr:row>28</xdr:row>
      <xdr:rowOff>76200</xdr:rowOff>
    </xdr:from>
    <xdr:to>
      <xdr:col>5</xdr:col>
      <xdr:colOff>533400</xdr:colOff>
      <xdr:row>31</xdr:row>
      <xdr:rowOff>102361</xdr:rowOff>
    </xdr:to>
    <xdr:grpSp>
      <xdr:nvGrpSpPr>
        <xdr:cNvPr id="14" name="Step1">
          <a:extLst>
            <a:ext uri="{FF2B5EF4-FFF2-40B4-BE49-F238E27FC236}">
              <a16:creationId xmlns:a16="http://schemas.microsoft.com/office/drawing/2014/main" id="{9A812B7A-EB47-4C18-8987-2BEB83D2F9B9}"/>
            </a:ext>
          </a:extLst>
        </xdr:cNvPr>
        <xdr:cNvGrpSpPr/>
      </xdr:nvGrpSpPr>
      <xdr:grpSpPr>
        <a:xfrm>
          <a:off x="133350" y="5410200"/>
          <a:ext cx="3448050" cy="597661"/>
          <a:chOff x="231749" y="1003336"/>
          <a:chExt cx="3448050" cy="603885"/>
        </a:xfrm>
      </xdr:grpSpPr>
      <xdr:sp macro="" textlink="">
        <xdr:nvSpPr>
          <xdr:cNvPr id="15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07BE70BC-DE5A-47EF-9DB7-147E8A6FA260}"/>
              </a:ext>
            </a:extLst>
          </xdr:cNvPr>
          <xdr:cNvSpPr txBox="1"/>
        </xdr:nvSpPr>
        <xdr:spPr>
          <a:xfrm>
            <a:off x="638783" y="1045834"/>
            <a:ext cx="30410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Arma otra tabla dinámica que muestre las ventas promedio en pesos por categoría.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Aplica un formato condicional para resaltar todas aquellas con ventas promedio mayores a 1,000 pesos. </a:t>
            </a:r>
          </a:p>
        </xdr:txBody>
      </xdr:sp>
      <xdr:sp macro="" textlink="">
        <xdr:nvSpPr>
          <xdr:cNvPr id="16" name="1" descr="1">
            <a:extLst>
              <a:ext uri="{FF2B5EF4-FFF2-40B4-BE49-F238E27FC236}">
                <a16:creationId xmlns:a16="http://schemas.microsoft.com/office/drawing/2014/main" id="{1C2E6FA1-5FC9-4CF9-B410-73F4AFE29497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39.424800115739" createdVersion="8" refreshedVersion="8" minRefreshableVersion="3" recordCount="500" xr:uid="{6B7E9F05-8221-4BC2-B755-5AD905F132B6}">
  <cacheSource type="worksheet">
    <worksheetSource name="dATOS"/>
  </cacheSource>
  <cacheFields count="15">
    <cacheField name="Clave de Venta" numFmtId="0">
      <sharedItems containsSemiMixedTypes="0" containsString="0" containsNumber="1" containsInteger="1" minValue="1" maxValue="500"/>
    </cacheField>
    <cacheField name="Fecha" numFmtId="15">
      <sharedItems containsSemiMixedTypes="0" containsNonDate="0" containsDate="1" containsString="0" minDate="2016-01-02T00:00:00" maxDate="2017-04-01T00:00:00" count="172">
        <d v="2016-06-25T00:00:00"/>
        <d v="2016-11-01T00:00:00"/>
        <d v="2016-08-19T00:00:00"/>
        <d v="2016-01-19T00:00:00"/>
        <d v="2016-05-16T00:00:00"/>
        <d v="2016-02-04T00:00:00"/>
        <d v="2017-03-31T00:00:00"/>
        <d v="2016-02-24T00:00:00"/>
        <d v="2016-05-22T00:00:00"/>
        <d v="2016-07-22T00:00:00"/>
        <d v="2016-09-30T00:00:00"/>
        <d v="2016-10-18T00:00:00"/>
        <d v="2016-03-05T00:00:00"/>
        <d v="2016-07-09T00:00:00"/>
        <d v="2016-09-18T00:00:00"/>
        <d v="2016-03-09T00:00:00"/>
        <d v="2016-05-30T00:00:00"/>
        <d v="2017-03-04T00:00:00"/>
        <d v="2016-06-06T00:00:00"/>
        <d v="2017-01-27T00:00:00"/>
        <d v="2016-04-19T00:00:00"/>
        <d v="2016-10-29T00:00:00"/>
        <d v="2016-05-05T00:00:00"/>
        <d v="2017-03-24T00:00:00"/>
        <d v="2016-09-13T00:00:00"/>
        <d v="2016-06-18T00:00:00"/>
        <d v="2016-03-25T00:00:00"/>
        <d v="2017-02-07T00:00:00"/>
        <d v="2016-06-20T00:00:00"/>
        <d v="2016-02-28T00:00:00"/>
        <d v="2017-01-21T00:00:00"/>
        <d v="2017-01-01T00:00:00"/>
        <d v="2016-02-02T00:00:00"/>
        <d v="2016-06-15T00:00:00"/>
        <d v="2016-06-24T00:00:00"/>
        <d v="2016-03-26T00:00:00"/>
        <d v="2016-05-29T00:00:00"/>
        <d v="2016-01-31T00:00:00"/>
        <d v="2016-01-10T00:00:00"/>
        <d v="2016-07-24T00:00:00"/>
        <d v="2016-10-14T00:00:00"/>
        <d v="2016-02-25T00:00:00"/>
        <d v="2016-04-10T00:00:00"/>
        <d v="2016-08-23T00:00:00"/>
        <d v="2016-06-10T00:00:00"/>
        <d v="2016-04-29T00:00:00"/>
        <d v="2016-02-17T00:00:00"/>
        <d v="2016-03-30T00:00:00"/>
        <d v="2016-12-24T00:00:00"/>
        <d v="2016-01-22T00:00:00"/>
        <d v="2016-06-03T00:00:00"/>
        <d v="2016-03-10T00:00:00"/>
        <d v="2017-03-26T00:00:00"/>
        <d v="2016-11-22T00:00:00"/>
        <d v="2016-04-02T00:00:00"/>
        <d v="2016-12-14T00:00:00"/>
        <d v="2017-01-20T00:00:00"/>
        <d v="2016-06-26T00:00:00"/>
        <d v="2016-11-10T00:00:00"/>
        <d v="2016-08-01T00:00:00"/>
        <d v="2017-01-18T00:00:00"/>
        <d v="2016-12-27T00:00:00"/>
        <d v="2016-08-22T00:00:00"/>
        <d v="2016-04-17T00:00:00"/>
        <d v="2016-08-09T00:00:00"/>
        <d v="2017-02-26T00:00:00"/>
        <d v="2016-03-20T00:00:00"/>
        <d v="2016-12-17T00:00:00"/>
        <d v="2017-01-07T00:00:00"/>
        <d v="2016-12-06T00:00:00"/>
        <d v="2016-11-25T00:00:00"/>
        <d v="2017-02-21T00:00:00"/>
        <d v="2016-08-26T00:00:00"/>
        <d v="2017-01-02T00:00:00"/>
        <d v="2017-03-06T00:00:00"/>
        <d v="2016-12-15T00:00:00"/>
        <d v="2016-04-11T00:00:00"/>
        <d v="2016-10-21T00:00:00"/>
        <d v="2017-01-29T00:00:00"/>
        <d v="2016-10-02T00:00:00"/>
        <d v="2016-01-07T00:00:00"/>
        <d v="2016-06-09T00:00:00"/>
        <d v="2016-10-13T00:00:00"/>
        <d v="2016-05-15T00:00:00"/>
        <d v="2016-02-07T00:00:00"/>
        <d v="2017-02-16T00:00:00"/>
        <d v="2016-05-07T00:00:00"/>
        <d v="2016-05-28T00:00:00"/>
        <d v="2017-01-06T00:00:00"/>
        <d v="2016-06-04T00:00:00"/>
        <d v="2016-03-28T00:00:00"/>
        <d v="2016-09-19T00:00:00"/>
        <d v="2016-02-18T00:00:00"/>
        <d v="2016-05-18T00:00:00"/>
        <d v="2016-02-05T00:00:00"/>
        <d v="2016-12-16T00:00:00"/>
        <d v="2016-11-29T00:00:00"/>
        <d v="2017-01-30T00:00:00"/>
        <d v="2016-06-01T00:00:00"/>
        <d v="2016-12-01T00:00:00"/>
        <d v="2016-02-22T00:00:00"/>
        <d v="2017-01-14T00:00:00"/>
        <d v="2016-05-21T00:00:00"/>
        <d v="2016-01-23T00:00:00"/>
        <d v="2016-12-18T00:00:00"/>
        <d v="2016-08-16T00:00:00"/>
        <d v="2016-08-15T00:00:00"/>
        <d v="2016-09-29T00:00:00"/>
        <d v="2017-01-09T00:00:00"/>
        <d v="2016-11-17T00:00:00"/>
        <d v="2017-02-28T00:00:00"/>
        <d v="2016-10-31T00:00:00"/>
        <d v="2016-01-06T00:00:00"/>
        <d v="2016-08-08T00:00:00"/>
        <d v="2016-11-15T00:00:00"/>
        <d v="2017-02-15T00:00:00"/>
        <d v="2016-02-16T00:00:00"/>
        <d v="2016-11-23T00:00:00"/>
        <d v="2016-04-27T00:00:00"/>
        <d v="2016-09-27T00:00:00"/>
        <d v="2016-10-30T00:00:00"/>
        <d v="2016-11-11T00:00:00"/>
        <d v="2016-12-02T00:00:00"/>
        <d v="2016-08-02T00:00:00"/>
        <d v="2017-03-08T00:00:00"/>
        <d v="2016-01-14T00:00:00"/>
        <d v="2016-02-08T00:00:00"/>
        <d v="2017-02-12T00:00:00"/>
        <d v="2016-01-02T00:00:00"/>
        <d v="2016-01-26T00:00:00"/>
        <d v="2016-12-12T00:00:00"/>
        <d v="2016-11-04T00:00:00"/>
        <d v="2016-01-21T00:00:00"/>
        <d v="2016-07-31T00:00:00"/>
        <d v="2016-01-13T00:00:00"/>
        <d v="2016-07-15T00:00:00"/>
        <d v="2016-06-29T00:00:00"/>
        <d v="2016-05-13T00:00:00"/>
        <d v="2016-12-13T00:00:00"/>
        <d v="2016-12-31T00:00:00"/>
        <d v="2016-06-08T00:00:00"/>
        <d v="2016-01-27T00:00:00"/>
        <d v="2016-12-04T00:00:00"/>
        <d v="2016-09-17T00:00:00"/>
        <d v="2016-10-04T00:00:00"/>
        <d v="2016-10-20T00:00:00"/>
        <d v="2017-01-17T00:00:00"/>
        <d v="2016-09-05T00:00:00"/>
        <d v="2016-01-28T00:00:00"/>
        <d v="2016-02-19T00:00:00"/>
        <d v="2016-09-07T00:00:00"/>
        <d v="2016-09-10T00:00:00"/>
        <d v="2017-03-02T00:00:00"/>
        <d v="2016-07-28T00:00:00"/>
        <d v="2016-11-19T00:00:00"/>
        <d v="2017-02-03T00:00:00"/>
        <d v="2016-05-03T00:00:00"/>
        <d v="2016-10-22T00:00:00"/>
        <d v="2017-03-20T00:00:00"/>
        <d v="2016-04-25T00:00:00"/>
        <d v="2016-09-25T00:00:00"/>
        <d v="2017-03-28T00:00:00"/>
        <d v="2017-02-01T00:00:00"/>
        <d v="2016-06-13T00:00:00"/>
        <d v="2016-07-16T00:00:00"/>
        <d v="2016-07-20T00:00:00"/>
        <d v="2016-12-25T00:00:00"/>
        <d v="2016-03-29T00:00:00"/>
        <d v="2016-06-05T00:00:00"/>
        <d v="2016-12-28T00:00:00"/>
        <d v="2016-02-10T00:00:00"/>
        <d v="2016-09-21T00:00:00"/>
      </sharedItems>
      <fieldGroup par="13"/>
    </cacheField>
    <cacheField name="Clave Producto" numFmtId="0">
      <sharedItems/>
    </cacheField>
    <cacheField name="Tipo" numFmtId="0">
      <sharedItems count="3">
        <s v="Iluminación"/>
        <s v="Decoración"/>
        <s v="Velas y Esencias"/>
      </sharedItems>
    </cacheField>
    <cacheField name="Categoría" numFmtId="0">
      <sharedItems count="7">
        <s v="Pantallas"/>
        <s v="Cojines Decorativos"/>
        <s v="Floreros y Flores"/>
        <s v="Velas"/>
        <s v="Lámparas"/>
        <s v="Portavelas"/>
        <s v="Espejos"/>
      </sharedItems>
    </cacheField>
    <cacheField name="Producto" numFmtId="0">
      <sharedItems count="75">
        <s v="Pantalla para Lámpara Burlap"/>
        <s v="Funda para Cojín Culiver Reversible Gris"/>
        <s v="Florero Cut Glass"/>
        <s v="Vela sin Flama Premium Flicker Taper"/>
        <s v="Set de Velas Tealights"/>
        <s v="Funda para Cojín Chenille"/>
        <s v="Lámpara de Piso con Polea Glendale"/>
        <s v="Set de Velas sin Flama Chunky"/>
        <s v="Florero Aegean"/>
        <s v="Funda para Cojín Kenobi"/>
        <s v="Portavela Arlington"/>
        <s v="Vela sin Flama Parpadeante Azul"/>
        <s v="Set de Velas Largas Taper"/>
        <s v="Florero Tuscan"/>
        <s v="Funda para Cojín French Knot"/>
        <s v="Portavela Kistler"/>
        <s v="Funda para Cojín Monte Block Azul"/>
        <s v="Lámpara de Piso Marston"/>
        <s v="Árbol Decorativo Mercury"/>
        <s v="Lámpara Seccional Chelsea"/>
        <s v="Pantalla para Lámpara Sectional"/>
        <s v="Funda para Cojín Washed Velvet"/>
        <s v="Portavela Brooks Cross"/>
        <s v="Funda para Cojín Reversible Marquette"/>
        <s v="Pantalla para Lámpara Sectional Burlap"/>
        <s v="Funda para Cojín Florentine Paisley"/>
        <s v="Vela Crystal Lidded"/>
        <s v="Funda para Cojín Kelcie Embroidered Natural"/>
        <s v="Portavela White Wash"/>
        <s v="Espejo Bevel"/>
        <s v="Espejo Benchwright"/>
        <s v="Lámpara de Piso Barnaby"/>
        <s v="Espejo Silver Beaded"/>
        <s v="Portavela Carson"/>
        <s v="Lámpara de Piso Chelsea"/>
        <s v="Espejo Multipanel Extra Chico Eagan"/>
        <s v="Lámpara de Piso Atticus"/>
        <s v="Funda para Cojín Shadow Trellis"/>
        <s v="Ramo de oliva"/>
        <s v="Tallo Decorativo de Rosa"/>
        <s v="Florero Sonoma"/>
        <s v="Lámpara para Consola Sophia Crackled"/>
        <s v="Mini Cactus en maceta"/>
        <s v="Espejo Silver Beades"/>
        <s v="Espejo Multipanel Eagan Bronce"/>
        <s v="Funda para Cojín Honeycomb"/>
        <s v="Set de Ramas Tillandsia"/>
        <s v="Florero Cilíndrico Bosphorus"/>
        <s v="Espejo Redondo Eagan"/>
        <s v="Set de Velas Core"/>
        <s v="Pilar Portavela"/>
        <s v="Pantalla para Lámpara Tapered"/>
        <s v="Portavela Eclectic Mercury"/>
        <s v="Funda para Cojín Libeco"/>
        <s v="Lampara de Piso Carter"/>
        <s v="Espejo Multipanel Eagan"/>
        <s v="Funda para Cojín Bordado Kenmare Ikat"/>
        <s v="Lámpara de Mesa Jamie Young Ribbon"/>
        <s v="Lámpara de Piso Finn"/>
        <s v="Lámpara Redonda Jaimie Young Emma"/>
        <s v="Funda para Almohada Dara Azul"/>
        <s v="Vela sin Flama Grand Plastic"/>
        <s v="Florero Eclectic"/>
        <s v="Vela Clásica sin Aroma Marfil"/>
        <s v="Ramo de Rosas Decorativas"/>
        <s v="Espejo Kensington"/>
        <s v="Portavela Taper"/>
        <s v="Florero Marlowe Blanco"/>
        <s v="Funda para Cojín Jaya Floral Azul"/>
        <s v="Funda para Cojín Maddie"/>
        <s v="Vela Clásica sin Aroma Blanca"/>
        <s v="Portavela Glass Tree"/>
        <s v="Funda para Cojín Washed Diamond"/>
        <s v="Vela sin Flama Parpadeante Gris"/>
        <s v="Pantalla para Lámpara Straight Sided"/>
      </sharedItems>
    </cacheField>
    <cacheField name="Color" numFmtId="0">
      <sharedItems count="7">
        <s v="No Aplica"/>
        <s v="Gris"/>
        <s v="Azul"/>
        <s v="Blanco"/>
        <s v="Rojo"/>
        <s v="Verde"/>
        <s v="Naranja"/>
      </sharedItems>
    </cacheField>
    <cacheField name="Precio" numFmtId="8">
      <sharedItems containsSemiMixedTypes="0" containsString="0" containsNumber="1" containsInteger="1" minValue="169" maxValue="14399"/>
    </cacheField>
    <cacheField name="Costo" numFmtId="8">
      <sharedItems containsSemiMixedTypes="0" containsString="0" containsNumber="1" minValue="81.589999999999989" maxValue="11375.210000000001"/>
    </cacheField>
    <cacheField name="Descuento" numFmtId="9">
      <sharedItems containsSemiMixedTypes="0" containsString="0" containsNumber="1" minValue="0" maxValue="0.3"/>
    </cacheField>
    <cacheField name="Ganancia" numFmtId="8">
      <sharedItems containsSemiMixedTypes="0" containsString="0" containsNumber="1" minValue="-1295.9100000000017" maxValue="5999.5"/>
    </cacheField>
    <cacheField name="Meses (Fecha)" numFmtId="0" databaseField="0">
      <fieldGroup base="1">
        <rangePr groupBy="months" startDate="2016-01-02T00:00:00" endDate="2017-04-01T00:00:00"/>
        <groupItems count="14">
          <s v="&lt;02/01/201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4/2017"/>
        </groupItems>
      </fieldGroup>
    </cacheField>
    <cacheField name="Trimestres (Fecha)" numFmtId="0" databaseField="0">
      <fieldGroup base="1">
        <rangePr groupBy="quarters" startDate="2016-01-02T00:00:00" endDate="2017-04-01T00:00:00"/>
        <groupItems count="6">
          <s v="&lt;02/01/2016"/>
          <s v="Trim.1"/>
          <s v="Trim.2"/>
          <s v="Trim.3"/>
          <s v="Trim.4"/>
          <s v="&gt;01/04/2017"/>
        </groupItems>
      </fieldGroup>
    </cacheField>
    <cacheField name="Años (Fecha)" numFmtId="0" databaseField="0">
      <fieldGroup base="1">
        <rangePr groupBy="years" startDate="2016-01-02T00:00:00" endDate="2017-04-01T00:00:00"/>
        <groupItems count="4">
          <s v="&lt;02/01/2016"/>
          <s v="2016"/>
          <s v="2017"/>
          <s v="&gt;01/04/2017"/>
        </groupItems>
      </fieldGroup>
    </cacheField>
    <cacheField name="Ganancia_pct" numFmtId="0" formula="Ganancia /Precio" databaseField="0"/>
  </cacheFields>
  <extLst>
    <ext xmlns:x14="http://schemas.microsoft.com/office/spreadsheetml/2009/9/main" uri="{725AE2AE-9491-48be-B2B4-4EB974FC3084}">
      <x14:pivotCacheDefinition pivotCacheId="121160601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39.469073495369" createdVersion="8" refreshedVersion="8" minRefreshableVersion="3" recordCount="1125" xr:uid="{5C5C9108-AED4-4053-858B-FD74EC0CF693}">
  <cacheSource type="worksheet">
    <worksheetSource name="Ventanas"/>
  </cacheSource>
  <cacheFields count="4">
    <cacheField name="Fecha" numFmtId="15">
      <sharedItems containsSemiMixedTypes="0" containsNonDate="0" containsDate="1" containsString="0" minDate="2017-01-01T00:00:00" maxDate="2018-01-02T00:00:00"/>
    </cacheField>
    <cacheField name="SKU" numFmtId="0">
      <sharedItems/>
    </cacheField>
    <cacheField name="Venta" numFmtId="8">
      <sharedItems containsSemiMixedTypes="0" containsString="0" containsNumber="1" minValue="300" maxValue="2480"/>
    </cacheField>
    <cacheField name="Categoria" numFmtId="0">
      <sharedItems count="5">
        <s v="Deportivos"/>
        <s v="Casuales"/>
        <s v="Botas"/>
        <s v="Formales"/>
        <s v="Sandali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s v="IPP756"/>
    <x v="0"/>
    <x v="0"/>
    <x v="0"/>
    <x v="0"/>
    <n v="1299"/>
    <n v="727.44"/>
    <n v="0.2"/>
    <n v="311.76"/>
  </r>
  <r>
    <n v="2"/>
    <x v="1"/>
    <s v="DCF341"/>
    <x v="1"/>
    <x v="1"/>
    <x v="1"/>
    <x v="1"/>
    <n v="1149"/>
    <n v="792.81"/>
    <n v="0"/>
    <n v="356.19000000000005"/>
  </r>
  <r>
    <n v="3"/>
    <x v="2"/>
    <s v="DFF542"/>
    <x v="1"/>
    <x v="2"/>
    <x v="2"/>
    <x v="0"/>
    <n v="359"/>
    <n v="244.12"/>
    <n v="0.15"/>
    <n v="61.029999999999973"/>
  </r>
  <r>
    <n v="4"/>
    <x v="3"/>
    <s v="VVV282"/>
    <x v="2"/>
    <x v="3"/>
    <x v="3"/>
    <x v="0"/>
    <n v="1499"/>
    <n v="794.47"/>
    <n v="0.15"/>
    <n v="479.67999999999984"/>
  </r>
  <r>
    <n v="5"/>
    <x v="4"/>
    <s v="DCF341"/>
    <x v="1"/>
    <x v="1"/>
    <x v="1"/>
    <x v="1"/>
    <n v="1149"/>
    <n v="792.81"/>
    <n v="0.3"/>
    <n v="11.490000000000009"/>
  </r>
  <r>
    <n v="6"/>
    <x v="5"/>
    <s v="VVS410"/>
    <x v="2"/>
    <x v="3"/>
    <x v="4"/>
    <x v="0"/>
    <n v="259"/>
    <n v="220.15"/>
    <n v="0.15"/>
    <n v="0"/>
  </r>
  <r>
    <n v="7"/>
    <x v="6"/>
    <s v="DCF374"/>
    <x v="1"/>
    <x v="1"/>
    <x v="5"/>
    <x v="2"/>
    <n v="1199"/>
    <n v="887.26"/>
    <n v="0"/>
    <n v="71.940000000000055"/>
  </r>
  <r>
    <n v="8"/>
    <x v="7"/>
    <s v="DCF341"/>
    <x v="1"/>
    <x v="1"/>
    <x v="1"/>
    <x v="1"/>
    <n v="1149"/>
    <n v="792.81"/>
    <n v="0.15"/>
    <n v="183.84000000000003"/>
  </r>
  <r>
    <n v="9"/>
    <x v="8"/>
    <s v="ILL761"/>
    <x v="0"/>
    <x v="4"/>
    <x v="6"/>
    <x v="0"/>
    <n v="7999"/>
    <n v="3199.6000000000004"/>
    <n v="0.15"/>
    <n v="3599.5499999999993"/>
  </r>
  <r>
    <n v="10"/>
    <x v="9"/>
    <s v="VVS735"/>
    <x v="2"/>
    <x v="3"/>
    <x v="7"/>
    <x v="0"/>
    <n v="229"/>
    <n v="153.43"/>
    <n v="0.15"/>
    <n v="41.22"/>
  </r>
  <r>
    <n v="11"/>
    <x v="8"/>
    <s v="DFF236"/>
    <x v="1"/>
    <x v="2"/>
    <x v="8"/>
    <x v="0"/>
    <n v="2499"/>
    <n v="1349.46"/>
    <n v="0.15"/>
    <n v="774.69"/>
  </r>
  <r>
    <n v="12"/>
    <x v="10"/>
    <s v="DCF212"/>
    <x v="1"/>
    <x v="1"/>
    <x v="9"/>
    <x v="3"/>
    <n v="1149"/>
    <n v="896.22"/>
    <n v="0.2"/>
    <n v="22.980000000000018"/>
  </r>
  <r>
    <n v="13"/>
    <x v="11"/>
    <s v="VVV282"/>
    <x v="2"/>
    <x v="3"/>
    <x v="3"/>
    <x v="0"/>
    <n v="1499"/>
    <n v="794.47"/>
    <n v="0"/>
    <n v="704.53"/>
  </r>
  <r>
    <n v="14"/>
    <x v="9"/>
    <s v="DCF374"/>
    <x v="1"/>
    <x v="1"/>
    <x v="5"/>
    <x v="2"/>
    <n v="1199"/>
    <n v="887.26"/>
    <n v="0.15"/>
    <n v="131.88999999999999"/>
  </r>
  <r>
    <n v="15"/>
    <x v="3"/>
    <s v="DCF341"/>
    <x v="1"/>
    <x v="1"/>
    <x v="1"/>
    <x v="1"/>
    <n v="1149"/>
    <n v="792.81"/>
    <n v="0.15"/>
    <n v="183.84000000000003"/>
  </r>
  <r>
    <n v="16"/>
    <x v="12"/>
    <s v="DCF374"/>
    <x v="1"/>
    <x v="1"/>
    <x v="5"/>
    <x v="2"/>
    <n v="1199"/>
    <n v="887.26"/>
    <n v="0"/>
    <n v="311.74"/>
  </r>
  <r>
    <n v="17"/>
    <x v="13"/>
    <s v="ILL761"/>
    <x v="0"/>
    <x v="4"/>
    <x v="6"/>
    <x v="0"/>
    <n v="7999"/>
    <n v="3199.6000000000004"/>
    <n v="0"/>
    <n v="4799.3999999999996"/>
  </r>
  <r>
    <n v="18"/>
    <x v="14"/>
    <s v="VVS410"/>
    <x v="2"/>
    <x v="3"/>
    <x v="4"/>
    <x v="0"/>
    <n v="259"/>
    <n v="220.15"/>
    <n v="0.1"/>
    <n v="12.949999999999989"/>
  </r>
  <r>
    <n v="19"/>
    <x v="15"/>
    <s v="VPP362"/>
    <x v="2"/>
    <x v="5"/>
    <x v="10"/>
    <x v="0"/>
    <n v="699"/>
    <n v="531.24"/>
    <n v="0.15"/>
    <n v="62.909999999999968"/>
  </r>
  <r>
    <n v="20"/>
    <x v="16"/>
    <s v="VVV520"/>
    <x v="2"/>
    <x v="3"/>
    <x v="11"/>
    <x v="0"/>
    <n v="699"/>
    <n v="482.30999999999995"/>
    <n v="0.2"/>
    <n v="76.8900000000001"/>
  </r>
  <r>
    <n v="21"/>
    <x v="4"/>
    <s v="DCF341"/>
    <x v="1"/>
    <x v="1"/>
    <x v="1"/>
    <x v="1"/>
    <n v="1149"/>
    <n v="792.81"/>
    <n v="0.3"/>
    <n v="11.490000000000009"/>
  </r>
  <r>
    <n v="22"/>
    <x v="4"/>
    <s v="VVS174"/>
    <x v="2"/>
    <x v="3"/>
    <x v="12"/>
    <x v="0"/>
    <n v="259"/>
    <n v="106.19"/>
    <n v="0.3"/>
    <n v="75.109999999999985"/>
  </r>
  <r>
    <n v="23"/>
    <x v="16"/>
    <s v="DCF212"/>
    <x v="1"/>
    <x v="1"/>
    <x v="9"/>
    <x v="3"/>
    <n v="1149"/>
    <n v="896.22"/>
    <n v="0.2"/>
    <n v="22.980000000000018"/>
  </r>
  <r>
    <n v="24"/>
    <x v="4"/>
    <s v="DCF374"/>
    <x v="1"/>
    <x v="1"/>
    <x v="5"/>
    <x v="2"/>
    <n v="1199"/>
    <n v="887.26"/>
    <n v="0.3"/>
    <n v="-47.960000000000036"/>
  </r>
  <r>
    <n v="25"/>
    <x v="8"/>
    <s v="VVV282"/>
    <x v="2"/>
    <x v="3"/>
    <x v="3"/>
    <x v="0"/>
    <n v="1499"/>
    <n v="794.47"/>
    <n v="0.15"/>
    <n v="479.67999999999984"/>
  </r>
  <r>
    <n v="26"/>
    <x v="17"/>
    <s v="DFF871"/>
    <x v="1"/>
    <x v="2"/>
    <x v="13"/>
    <x v="0"/>
    <n v="599"/>
    <n v="455.24"/>
    <n v="0"/>
    <n v="143.76"/>
  </r>
  <r>
    <n v="27"/>
    <x v="18"/>
    <s v="DCF571"/>
    <x v="1"/>
    <x v="1"/>
    <x v="14"/>
    <x v="2"/>
    <n v="1299"/>
    <n v="766.41"/>
    <n v="0"/>
    <n v="532.59"/>
  </r>
  <r>
    <n v="28"/>
    <x v="19"/>
    <s v="DCF212"/>
    <x v="1"/>
    <x v="1"/>
    <x v="9"/>
    <x v="3"/>
    <n v="1149"/>
    <n v="896.22"/>
    <n v="0.15"/>
    <n v="80.42999999999995"/>
  </r>
  <r>
    <n v="29"/>
    <x v="20"/>
    <s v="DFF542"/>
    <x v="1"/>
    <x v="2"/>
    <x v="2"/>
    <x v="0"/>
    <n v="359"/>
    <n v="244.12"/>
    <n v="0.15"/>
    <n v="61.029999999999973"/>
  </r>
  <r>
    <n v="30"/>
    <x v="21"/>
    <s v="VPP741"/>
    <x v="2"/>
    <x v="5"/>
    <x v="15"/>
    <x v="0"/>
    <n v="499"/>
    <n v="279.44000000000005"/>
    <n v="0.15"/>
    <n v="144.70999999999992"/>
  </r>
  <r>
    <n v="31"/>
    <x v="9"/>
    <s v="DCF759"/>
    <x v="1"/>
    <x v="1"/>
    <x v="16"/>
    <x v="2"/>
    <n v="799"/>
    <n v="631.21"/>
    <n v="0.15"/>
    <n v="47.939999999999941"/>
  </r>
  <r>
    <n v="32"/>
    <x v="4"/>
    <s v="ILL169"/>
    <x v="0"/>
    <x v="4"/>
    <x v="17"/>
    <x v="0"/>
    <n v="8999"/>
    <n v="4499.5"/>
    <n v="0.3"/>
    <n v="1799.7999999999993"/>
  </r>
  <r>
    <n v="33"/>
    <x v="4"/>
    <s v="VPÁ655"/>
    <x v="2"/>
    <x v="5"/>
    <x v="18"/>
    <x v="0"/>
    <n v="799"/>
    <n v="679.15"/>
    <n v="0.3"/>
    <n v="-119.85000000000002"/>
  </r>
  <r>
    <n v="34"/>
    <x v="22"/>
    <s v="VVV282"/>
    <x v="2"/>
    <x v="3"/>
    <x v="3"/>
    <x v="0"/>
    <n v="1499"/>
    <n v="794.47"/>
    <n v="0"/>
    <n v="704.53"/>
  </r>
  <r>
    <n v="35"/>
    <x v="23"/>
    <s v="ILL126"/>
    <x v="0"/>
    <x v="4"/>
    <x v="19"/>
    <x v="0"/>
    <n v="13999"/>
    <n v="9659.31"/>
    <n v="0"/>
    <n v="4339.6900000000005"/>
  </r>
  <r>
    <n v="36"/>
    <x v="16"/>
    <s v="DCF212"/>
    <x v="1"/>
    <x v="1"/>
    <x v="9"/>
    <x v="3"/>
    <n v="1149"/>
    <n v="896.22"/>
    <n v="0.2"/>
    <n v="22.980000000000018"/>
  </r>
  <r>
    <n v="37"/>
    <x v="4"/>
    <s v="IPP340"/>
    <x v="0"/>
    <x v="0"/>
    <x v="20"/>
    <x v="0"/>
    <n v="1499"/>
    <n v="584.61"/>
    <n v="0.3"/>
    <n v="464.68999999999994"/>
  </r>
  <r>
    <n v="38"/>
    <x v="24"/>
    <s v="DCF341"/>
    <x v="1"/>
    <x v="1"/>
    <x v="1"/>
    <x v="1"/>
    <n v="1149"/>
    <n v="792.81"/>
    <n v="0"/>
    <n v="356.19000000000005"/>
  </r>
  <r>
    <n v="39"/>
    <x v="25"/>
    <s v="IPP756"/>
    <x v="0"/>
    <x v="0"/>
    <x v="0"/>
    <x v="0"/>
    <n v="1299"/>
    <n v="727.44"/>
    <n v="0"/>
    <n v="571.55999999999995"/>
  </r>
  <r>
    <n v="40"/>
    <x v="4"/>
    <s v="DCF141"/>
    <x v="1"/>
    <x v="1"/>
    <x v="21"/>
    <x v="4"/>
    <n v="199"/>
    <n v="81.589999999999989"/>
    <n v="0.3"/>
    <n v="57.709999999999994"/>
  </r>
  <r>
    <n v="41"/>
    <x v="26"/>
    <s v="DCF212"/>
    <x v="1"/>
    <x v="1"/>
    <x v="9"/>
    <x v="3"/>
    <n v="1149"/>
    <n v="896.22"/>
    <n v="0.15"/>
    <n v="80.42999999999995"/>
  </r>
  <r>
    <n v="42"/>
    <x v="15"/>
    <s v="VVS410"/>
    <x v="2"/>
    <x v="3"/>
    <x v="4"/>
    <x v="0"/>
    <n v="259"/>
    <n v="220.15"/>
    <n v="0.15"/>
    <n v="0"/>
  </r>
  <r>
    <n v="43"/>
    <x v="27"/>
    <s v="VPP185"/>
    <x v="2"/>
    <x v="5"/>
    <x v="22"/>
    <x v="0"/>
    <n v="449"/>
    <n v="161.63999999999999"/>
    <n v="0"/>
    <n v="287.36"/>
  </r>
  <r>
    <n v="44"/>
    <x v="28"/>
    <s v="VVV282"/>
    <x v="2"/>
    <x v="3"/>
    <x v="3"/>
    <x v="0"/>
    <n v="1499"/>
    <n v="794.47"/>
    <n v="0"/>
    <n v="704.53"/>
  </r>
  <r>
    <n v="45"/>
    <x v="3"/>
    <s v="VVV282"/>
    <x v="2"/>
    <x v="3"/>
    <x v="3"/>
    <x v="0"/>
    <n v="1499"/>
    <n v="794.47"/>
    <n v="0.15"/>
    <n v="479.67999999999984"/>
  </r>
  <r>
    <n v="46"/>
    <x v="2"/>
    <s v="DCF555"/>
    <x v="1"/>
    <x v="1"/>
    <x v="23"/>
    <x v="4"/>
    <n v="799"/>
    <n v="535.33000000000004"/>
    <n v="0.15"/>
    <n v="143.81999999999994"/>
  </r>
  <r>
    <n v="47"/>
    <x v="4"/>
    <s v="DFF542"/>
    <x v="1"/>
    <x v="2"/>
    <x v="2"/>
    <x v="0"/>
    <n v="359"/>
    <n v="244.12"/>
    <n v="0.3"/>
    <n v="7.1799999999999784"/>
  </r>
  <r>
    <n v="48"/>
    <x v="15"/>
    <s v="DCF555"/>
    <x v="1"/>
    <x v="1"/>
    <x v="23"/>
    <x v="4"/>
    <n v="799"/>
    <n v="535.33000000000004"/>
    <n v="0.15"/>
    <n v="143.81999999999994"/>
  </r>
  <r>
    <n v="49"/>
    <x v="13"/>
    <s v="DCF212"/>
    <x v="1"/>
    <x v="1"/>
    <x v="9"/>
    <x v="3"/>
    <n v="1149"/>
    <n v="896.22"/>
    <n v="0"/>
    <n v="252.77999999999997"/>
  </r>
  <r>
    <n v="50"/>
    <x v="16"/>
    <s v="IPP653"/>
    <x v="0"/>
    <x v="0"/>
    <x v="24"/>
    <x v="0"/>
    <n v="2599"/>
    <n v="1819.3"/>
    <n v="0.2"/>
    <n v="259.90000000000032"/>
  </r>
  <r>
    <n v="51"/>
    <x v="29"/>
    <s v="DCF212"/>
    <x v="1"/>
    <x v="1"/>
    <x v="9"/>
    <x v="3"/>
    <n v="1149"/>
    <n v="896.22"/>
    <n v="0"/>
    <n v="252.77999999999997"/>
  </r>
  <r>
    <n v="52"/>
    <x v="30"/>
    <s v="IPP653"/>
    <x v="0"/>
    <x v="0"/>
    <x v="24"/>
    <x v="0"/>
    <n v="2599"/>
    <n v="1819.3"/>
    <n v="0"/>
    <n v="779.7"/>
  </r>
  <r>
    <n v="53"/>
    <x v="31"/>
    <s v="VVV282"/>
    <x v="2"/>
    <x v="3"/>
    <x v="3"/>
    <x v="0"/>
    <n v="1499"/>
    <n v="794.47"/>
    <n v="0.15"/>
    <n v="479.67999999999984"/>
  </r>
  <r>
    <n v="54"/>
    <x v="15"/>
    <s v="DCF415"/>
    <x v="1"/>
    <x v="1"/>
    <x v="25"/>
    <x v="5"/>
    <n v="799"/>
    <n v="631.21"/>
    <n v="0.15"/>
    <n v="47.939999999999941"/>
  </r>
  <r>
    <n v="55"/>
    <x v="32"/>
    <s v="VVV347"/>
    <x v="2"/>
    <x v="3"/>
    <x v="26"/>
    <x v="0"/>
    <n v="499"/>
    <n v="174.64999999999998"/>
    <n v="0.2"/>
    <n v="224.55000000000007"/>
  </r>
  <r>
    <n v="56"/>
    <x v="20"/>
    <s v="DCF212"/>
    <x v="1"/>
    <x v="1"/>
    <x v="9"/>
    <x v="3"/>
    <n v="1149"/>
    <n v="896.22"/>
    <n v="0.15"/>
    <n v="80.42999999999995"/>
  </r>
  <r>
    <n v="57"/>
    <x v="33"/>
    <s v="VVS410"/>
    <x v="2"/>
    <x v="3"/>
    <x v="4"/>
    <x v="0"/>
    <n v="259"/>
    <n v="220.15"/>
    <n v="0"/>
    <n v="38.849999999999994"/>
  </r>
  <r>
    <n v="58"/>
    <x v="34"/>
    <s v="IPP756"/>
    <x v="0"/>
    <x v="0"/>
    <x v="0"/>
    <x v="0"/>
    <n v="1299"/>
    <n v="727.44"/>
    <n v="0"/>
    <n v="571.55999999999995"/>
  </r>
  <r>
    <n v="59"/>
    <x v="7"/>
    <s v="DCF544"/>
    <x v="1"/>
    <x v="1"/>
    <x v="27"/>
    <x v="5"/>
    <n v="1299"/>
    <n v="909.3"/>
    <n v="0.15"/>
    <n v="194.84999999999991"/>
  </r>
  <r>
    <n v="60"/>
    <x v="35"/>
    <s v="DCF212"/>
    <x v="1"/>
    <x v="1"/>
    <x v="9"/>
    <x v="3"/>
    <n v="1149"/>
    <n v="896.22"/>
    <n v="0.2"/>
    <n v="22.980000000000018"/>
  </r>
  <r>
    <n v="61"/>
    <x v="24"/>
    <s v="DCF374"/>
    <x v="1"/>
    <x v="1"/>
    <x v="5"/>
    <x v="2"/>
    <n v="1199"/>
    <n v="887.26"/>
    <n v="0"/>
    <n v="311.74"/>
  </r>
  <r>
    <n v="62"/>
    <x v="20"/>
    <s v="DCF374"/>
    <x v="1"/>
    <x v="1"/>
    <x v="5"/>
    <x v="2"/>
    <n v="1199"/>
    <n v="887.26"/>
    <n v="0.15"/>
    <n v="131.88999999999999"/>
  </r>
  <r>
    <n v="63"/>
    <x v="36"/>
    <s v="DCF212"/>
    <x v="1"/>
    <x v="1"/>
    <x v="9"/>
    <x v="3"/>
    <n v="1149"/>
    <n v="896.22"/>
    <n v="0"/>
    <n v="252.77999999999997"/>
  </r>
  <r>
    <n v="64"/>
    <x v="21"/>
    <s v="DCF212"/>
    <x v="1"/>
    <x v="1"/>
    <x v="9"/>
    <x v="3"/>
    <n v="1149"/>
    <n v="896.22"/>
    <n v="0.15"/>
    <n v="80.42999999999995"/>
  </r>
  <r>
    <n v="65"/>
    <x v="10"/>
    <s v="VPÁ655"/>
    <x v="2"/>
    <x v="5"/>
    <x v="18"/>
    <x v="0"/>
    <n v="799"/>
    <n v="679.15"/>
    <n v="0.2"/>
    <n v="-39.949999999999932"/>
  </r>
  <r>
    <n v="66"/>
    <x v="0"/>
    <s v="VPP897"/>
    <x v="2"/>
    <x v="5"/>
    <x v="28"/>
    <x v="0"/>
    <n v="999"/>
    <n v="509.49"/>
    <n v="0.2"/>
    <n v="289.71000000000004"/>
  </r>
  <r>
    <n v="67"/>
    <x v="37"/>
    <s v="ILL126"/>
    <x v="0"/>
    <x v="4"/>
    <x v="19"/>
    <x v="0"/>
    <n v="13999"/>
    <n v="9659.31"/>
    <n v="0"/>
    <n v="4339.6900000000005"/>
  </r>
  <r>
    <n v="68"/>
    <x v="14"/>
    <s v="DEE703"/>
    <x v="1"/>
    <x v="6"/>
    <x v="29"/>
    <x v="0"/>
    <n v="3999"/>
    <n v="1399.6499999999999"/>
    <n v="0.1"/>
    <n v="2199.4499999999998"/>
  </r>
  <r>
    <n v="69"/>
    <x v="4"/>
    <s v="VPP362"/>
    <x v="2"/>
    <x v="5"/>
    <x v="10"/>
    <x v="0"/>
    <n v="699"/>
    <n v="531.24"/>
    <n v="0.3"/>
    <n v="-41.940000000000055"/>
  </r>
  <r>
    <n v="70"/>
    <x v="16"/>
    <s v="DCF212"/>
    <x v="1"/>
    <x v="1"/>
    <x v="9"/>
    <x v="3"/>
    <n v="1149"/>
    <n v="896.22"/>
    <n v="0.2"/>
    <n v="22.980000000000018"/>
  </r>
  <r>
    <n v="71"/>
    <x v="32"/>
    <s v="DEE342"/>
    <x v="1"/>
    <x v="6"/>
    <x v="30"/>
    <x v="0"/>
    <n v="7999"/>
    <n v="2399.6999999999998"/>
    <n v="0.2"/>
    <n v="3999.5000000000009"/>
  </r>
  <r>
    <n v="72"/>
    <x v="8"/>
    <s v="DEE703"/>
    <x v="1"/>
    <x v="6"/>
    <x v="29"/>
    <x v="0"/>
    <n v="3999"/>
    <n v="1399.6499999999999"/>
    <n v="0.15"/>
    <n v="1999.5000000000002"/>
  </r>
  <r>
    <n v="73"/>
    <x v="38"/>
    <s v="DFF871"/>
    <x v="1"/>
    <x v="2"/>
    <x v="13"/>
    <x v="0"/>
    <n v="599"/>
    <n v="455.24"/>
    <n v="0"/>
    <n v="143.76"/>
  </r>
  <r>
    <n v="74"/>
    <x v="32"/>
    <s v="IPP756"/>
    <x v="0"/>
    <x v="0"/>
    <x v="0"/>
    <x v="0"/>
    <n v="1299"/>
    <n v="727.44"/>
    <n v="0.2"/>
    <n v="311.76"/>
  </r>
  <r>
    <n v="75"/>
    <x v="39"/>
    <s v="ILL743"/>
    <x v="0"/>
    <x v="4"/>
    <x v="31"/>
    <x v="0"/>
    <n v="6999"/>
    <n v="4829.3099999999995"/>
    <n v="0.2"/>
    <n v="769.89000000000124"/>
  </r>
  <r>
    <n v="76"/>
    <x v="40"/>
    <s v="DEE446"/>
    <x v="1"/>
    <x v="6"/>
    <x v="32"/>
    <x v="0"/>
    <n v="11999"/>
    <n v="4199.6499999999996"/>
    <n v="0.15"/>
    <n v="5999.5"/>
  </r>
  <r>
    <n v="77"/>
    <x v="41"/>
    <s v="VPP767"/>
    <x v="2"/>
    <x v="5"/>
    <x v="33"/>
    <x v="0"/>
    <n v="819"/>
    <n v="319.41000000000003"/>
    <n v="0"/>
    <n v="499.59"/>
  </r>
  <r>
    <n v="78"/>
    <x v="4"/>
    <s v="DCF212"/>
    <x v="1"/>
    <x v="1"/>
    <x v="9"/>
    <x v="3"/>
    <n v="1149"/>
    <n v="896.22"/>
    <n v="0.3"/>
    <n v="-91.920000000000073"/>
  </r>
  <r>
    <n v="79"/>
    <x v="32"/>
    <s v="DFF542"/>
    <x v="1"/>
    <x v="2"/>
    <x v="2"/>
    <x v="0"/>
    <n v="359"/>
    <n v="244.12"/>
    <n v="0.2"/>
    <n v="43.079999999999984"/>
  </r>
  <r>
    <n v="80"/>
    <x v="42"/>
    <s v="DEE703"/>
    <x v="1"/>
    <x v="6"/>
    <x v="29"/>
    <x v="0"/>
    <n v="3999"/>
    <n v="1399.6499999999999"/>
    <n v="0"/>
    <n v="2599.3500000000004"/>
  </r>
  <r>
    <n v="81"/>
    <x v="40"/>
    <s v="ILL419"/>
    <x v="0"/>
    <x v="4"/>
    <x v="34"/>
    <x v="0"/>
    <n v="11999"/>
    <n v="7799.35"/>
    <n v="0.15"/>
    <n v="2399.7999999999993"/>
  </r>
  <r>
    <n v="82"/>
    <x v="43"/>
    <s v="DCF212"/>
    <x v="1"/>
    <x v="1"/>
    <x v="9"/>
    <x v="3"/>
    <n v="1149"/>
    <n v="896.22"/>
    <n v="0"/>
    <n v="252.77999999999997"/>
  </r>
  <r>
    <n v="83"/>
    <x v="3"/>
    <s v="VPÁ655"/>
    <x v="2"/>
    <x v="5"/>
    <x v="18"/>
    <x v="0"/>
    <n v="799"/>
    <n v="679.15"/>
    <n v="0.15"/>
    <n v="0"/>
  </r>
  <r>
    <n v="84"/>
    <x v="31"/>
    <s v="DCF212"/>
    <x v="1"/>
    <x v="1"/>
    <x v="9"/>
    <x v="3"/>
    <n v="1149"/>
    <n v="896.22"/>
    <n v="0.15"/>
    <n v="80.42999999999995"/>
  </r>
  <r>
    <n v="85"/>
    <x v="44"/>
    <s v="DCF212"/>
    <x v="1"/>
    <x v="1"/>
    <x v="9"/>
    <x v="3"/>
    <n v="1149"/>
    <n v="896.22"/>
    <n v="0"/>
    <n v="252.77999999999997"/>
  </r>
  <r>
    <n v="86"/>
    <x v="45"/>
    <s v="VVS174"/>
    <x v="2"/>
    <x v="3"/>
    <x v="12"/>
    <x v="0"/>
    <n v="259"/>
    <n v="106.19"/>
    <n v="0"/>
    <n v="152.81"/>
  </r>
  <r>
    <n v="87"/>
    <x v="46"/>
    <s v="IPP756"/>
    <x v="0"/>
    <x v="0"/>
    <x v="0"/>
    <x v="0"/>
    <n v="1299"/>
    <n v="727.44"/>
    <n v="0"/>
    <n v="571.55999999999995"/>
  </r>
  <r>
    <n v="88"/>
    <x v="47"/>
    <s v="VPP185"/>
    <x v="2"/>
    <x v="5"/>
    <x v="22"/>
    <x v="0"/>
    <n v="449"/>
    <n v="161.63999999999999"/>
    <n v="0"/>
    <n v="287.36"/>
  </r>
  <r>
    <n v="89"/>
    <x v="48"/>
    <s v="DEE374"/>
    <x v="1"/>
    <x v="6"/>
    <x v="35"/>
    <x v="0"/>
    <n v="5999"/>
    <n v="3419.43"/>
    <n v="0"/>
    <n v="2579.5700000000002"/>
  </r>
  <r>
    <n v="90"/>
    <x v="8"/>
    <s v="DCF212"/>
    <x v="1"/>
    <x v="1"/>
    <x v="9"/>
    <x v="3"/>
    <n v="1149"/>
    <n v="896.22"/>
    <n v="0.15"/>
    <n v="80.42999999999995"/>
  </r>
  <r>
    <n v="91"/>
    <x v="40"/>
    <s v="IPP756"/>
    <x v="0"/>
    <x v="0"/>
    <x v="0"/>
    <x v="0"/>
    <n v="1299"/>
    <n v="727.44"/>
    <n v="0.15"/>
    <n v="376.70999999999981"/>
  </r>
  <r>
    <n v="92"/>
    <x v="39"/>
    <s v="DCF212"/>
    <x v="1"/>
    <x v="1"/>
    <x v="9"/>
    <x v="3"/>
    <n v="1149"/>
    <n v="896.22"/>
    <n v="0.2"/>
    <n v="22.980000000000018"/>
  </r>
  <r>
    <n v="93"/>
    <x v="49"/>
    <s v="VPÁ655"/>
    <x v="2"/>
    <x v="5"/>
    <x v="18"/>
    <x v="0"/>
    <n v="799"/>
    <n v="679.15"/>
    <n v="0"/>
    <n v="119.85000000000002"/>
  </r>
  <r>
    <n v="94"/>
    <x v="50"/>
    <s v="VVV282"/>
    <x v="2"/>
    <x v="3"/>
    <x v="3"/>
    <x v="0"/>
    <n v="1499"/>
    <n v="794.47"/>
    <n v="0"/>
    <n v="704.53"/>
  </r>
  <r>
    <n v="95"/>
    <x v="5"/>
    <s v="ILL603"/>
    <x v="0"/>
    <x v="4"/>
    <x v="36"/>
    <x v="0"/>
    <n v="7599"/>
    <n v="6307.17"/>
    <n v="0.15"/>
    <n v="151.97999999999956"/>
  </r>
  <r>
    <n v="96"/>
    <x v="51"/>
    <s v="DCF770"/>
    <x v="1"/>
    <x v="1"/>
    <x v="37"/>
    <x v="2"/>
    <n v="899"/>
    <n v="440.51"/>
    <n v="0"/>
    <n v="458.49"/>
  </r>
  <r>
    <n v="97"/>
    <x v="5"/>
    <s v="DCF212"/>
    <x v="1"/>
    <x v="1"/>
    <x v="9"/>
    <x v="3"/>
    <n v="1149"/>
    <n v="896.22"/>
    <n v="0.15"/>
    <n v="80.42999999999995"/>
  </r>
  <r>
    <n v="98"/>
    <x v="52"/>
    <s v="DCF341"/>
    <x v="1"/>
    <x v="1"/>
    <x v="1"/>
    <x v="1"/>
    <n v="1149"/>
    <n v="792.81"/>
    <n v="0"/>
    <n v="356.19000000000005"/>
  </r>
  <r>
    <n v="99"/>
    <x v="8"/>
    <s v="IPP756"/>
    <x v="0"/>
    <x v="0"/>
    <x v="0"/>
    <x v="0"/>
    <n v="1299"/>
    <n v="727.44"/>
    <n v="0.15"/>
    <n v="376.70999999999981"/>
  </r>
  <r>
    <n v="100"/>
    <x v="53"/>
    <s v="DFR890"/>
    <x v="1"/>
    <x v="2"/>
    <x v="38"/>
    <x v="0"/>
    <n v="359"/>
    <n v="294.38"/>
    <n v="0"/>
    <n v="64.62"/>
  </r>
  <r>
    <n v="101"/>
    <x v="54"/>
    <s v="ILL743"/>
    <x v="0"/>
    <x v="4"/>
    <x v="31"/>
    <x v="0"/>
    <n v="6999"/>
    <n v="4829.3099999999995"/>
    <n v="0"/>
    <n v="2169.6900000000005"/>
  </r>
  <r>
    <n v="102"/>
    <x v="55"/>
    <s v="DEE342"/>
    <x v="1"/>
    <x v="6"/>
    <x v="30"/>
    <x v="0"/>
    <n v="7999"/>
    <n v="2399.6999999999998"/>
    <n v="0"/>
    <n v="5599.3"/>
  </r>
  <r>
    <n v="103"/>
    <x v="56"/>
    <s v="VVS410"/>
    <x v="2"/>
    <x v="3"/>
    <x v="4"/>
    <x v="0"/>
    <n v="259"/>
    <n v="220.15"/>
    <n v="0"/>
    <n v="38.849999999999994"/>
  </r>
  <r>
    <n v="104"/>
    <x v="4"/>
    <s v="DFF871"/>
    <x v="1"/>
    <x v="2"/>
    <x v="13"/>
    <x v="0"/>
    <n v="599"/>
    <n v="455.24"/>
    <n v="0.3"/>
    <n v="-35.940000000000055"/>
  </r>
  <r>
    <n v="105"/>
    <x v="40"/>
    <s v="VVV347"/>
    <x v="2"/>
    <x v="3"/>
    <x v="26"/>
    <x v="0"/>
    <n v="499"/>
    <n v="174.64999999999998"/>
    <n v="0.15"/>
    <n v="249.5"/>
  </r>
  <r>
    <n v="106"/>
    <x v="57"/>
    <s v="DCF374"/>
    <x v="1"/>
    <x v="1"/>
    <x v="5"/>
    <x v="2"/>
    <n v="1199"/>
    <n v="887.26"/>
    <n v="0"/>
    <n v="311.74"/>
  </r>
  <r>
    <n v="107"/>
    <x v="15"/>
    <s v="IPP756"/>
    <x v="0"/>
    <x v="0"/>
    <x v="0"/>
    <x v="0"/>
    <n v="1299"/>
    <n v="727.44"/>
    <n v="0.15"/>
    <n v="376.70999999999981"/>
  </r>
  <r>
    <n v="108"/>
    <x v="58"/>
    <s v="VPÁ655"/>
    <x v="2"/>
    <x v="5"/>
    <x v="18"/>
    <x v="0"/>
    <n v="799"/>
    <n v="679.15"/>
    <n v="0.2"/>
    <n v="-39.949999999999932"/>
  </r>
  <r>
    <n v="109"/>
    <x v="20"/>
    <s v="IPP756"/>
    <x v="0"/>
    <x v="0"/>
    <x v="0"/>
    <x v="0"/>
    <n v="1299"/>
    <n v="727.44"/>
    <n v="0.15"/>
    <n v="376.70999999999981"/>
  </r>
  <r>
    <n v="110"/>
    <x v="59"/>
    <s v="DCF212"/>
    <x v="1"/>
    <x v="1"/>
    <x v="9"/>
    <x v="3"/>
    <n v="1149"/>
    <n v="896.22"/>
    <n v="0"/>
    <n v="252.77999999999997"/>
  </r>
  <r>
    <n v="111"/>
    <x v="5"/>
    <s v="IPP653"/>
    <x v="0"/>
    <x v="0"/>
    <x v="24"/>
    <x v="0"/>
    <n v="2599"/>
    <n v="1819.3"/>
    <n v="0.15"/>
    <n v="389.85000000000014"/>
  </r>
  <r>
    <n v="112"/>
    <x v="60"/>
    <s v="DFT242"/>
    <x v="1"/>
    <x v="2"/>
    <x v="39"/>
    <x v="0"/>
    <n v="259"/>
    <n v="111.37"/>
    <n v="0"/>
    <n v="147.63"/>
  </r>
  <r>
    <n v="113"/>
    <x v="10"/>
    <s v="DCF571"/>
    <x v="1"/>
    <x v="1"/>
    <x v="14"/>
    <x v="2"/>
    <n v="1299"/>
    <n v="766.41"/>
    <n v="0.2"/>
    <n v="272.79000000000008"/>
  </r>
  <r>
    <n v="114"/>
    <x v="7"/>
    <s v="ILL743"/>
    <x v="0"/>
    <x v="4"/>
    <x v="31"/>
    <x v="0"/>
    <n v="6999"/>
    <n v="4829.3099999999995"/>
    <n v="0.15"/>
    <n v="1119.8400000000001"/>
  </r>
  <r>
    <n v="115"/>
    <x v="0"/>
    <s v="DCF341"/>
    <x v="1"/>
    <x v="1"/>
    <x v="1"/>
    <x v="1"/>
    <n v="1149"/>
    <n v="792.81"/>
    <n v="0.2"/>
    <n v="126.3900000000001"/>
  </r>
  <r>
    <n v="116"/>
    <x v="4"/>
    <s v="DEE446"/>
    <x v="1"/>
    <x v="6"/>
    <x v="32"/>
    <x v="0"/>
    <n v="11999"/>
    <n v="4199.6499999999996"/>
    <n v="0.3"/>
    <n v="4199.6499999999996"/>
  </r>
  <r>
    <n v="117"/>
    <x v="61"/>
    <s v="VVV282"/>
    <x v="2"/>
    <x v="3"/>
    <x v="3"/>
    <x v="0"/>
    <n v="1499"/>
    <n v="794.47"/>
    <n v="0"/>
    <n v="704.53"/>
  </r>
  <r>
    <n v="118"/>
    <x v="58"/>
    <s v="ILL126"/>
    <x v="0"/>
    <x v="4"/>
    <x v="19"/>
    <x v="0"/>
    <n v="13999"/>
    <n v="9659.31"/>
    <n v="0.2"/>
    <n v="1539.8900000000012"/>
  </r>
  <r>
    <n v="119"/>
    <x v="10"/>
    <s v="IPP340"/>
    <x v="0"/>
    <x v="0"/>
    <x v="20"/>
    <x v="0"/>
    <n v="1499"/>
    <n v="584.61"/>
    <n v="0.2"/>
    <n v="614.59"/>
  </r>
  <r>
    <n v="120"/>
    <x v="40"/>
    <s v="VVV282"/>
    <x v="2"/>
    <x v="3"/>
    <x v="3"/>
    <x v="0"/>
    <n v="1499"/>
    <n v="794.47"/>
    <n v="0.15"/>
    <n v="479.67999999999984"/>
  </r>
  <r>
    <n v="121"/>
    <x v="26"/>
    <s v="DFF781"/>
    <x v="1"/>
    <x v="2"/>
    <x v="40"/>
    <x v="0"/>
    <n v="1899"/>
    <n v="1177.3799999999999"/>
    <n v="0.15"/>
    <n v="436.77"/>
  </r>
  <r>
    <n v="122"/>
    <x v="62"/>
    <s v="DFF781"/>
    <x v="1"/>
    <x v="2"/>
    <x v="40"/>
    <x v="0"/>
    <n v="1899"/>
    <n v="1177.3799999999999"/>
    <n v="0"/>
    <n v="721.62000000000012"/>
  </r>
  <r>
    <n v="123"/>
    <x v="35"/>
    <s v="ILL579"/>
    <x v="0"/>
    <x v="4"/>
    <x v="41"/>
    <x v="0"/>
    <n v="4599"/>
    <n v="1747.6200000000001"/>
    <n v="0.2"/>
    <n v="1931.5800000000002"/>
  </r>
  <r>
    <n v="124"/>
    <x v="63"/>
    <s v="DCF212"/>
    <x v="1"/>
    <x v="1"/>
    <x v="9"/>
    <x v="3"/>
    <n v="1149"/>
    <n v="896.22"/>
    <n v="0"/>
    <n v="252.77999999999997"/>
  </r>
  <r>
    <n v="125"/>
    <x v="20"/>
    <s v="DFM730"/>
    <x v="1"/>
    <x v="2"/>
    <x v="42"/>
    <x v="0"/>
    <n v="459"/>
    <n v="325.89"/>
    <n v="0.15"/>
    <n v="64.259999999999991"/>
  </r>
  <r>
    <n v="126"/>
    <x v="16"/>
    <s v="DCF212"/>
    <x v="1"/>
    <x v="1"/>
    <x v="9"/>
    <x v="3"/>
    <n v="1149"/>
    <n v="896.22"/>
    <n v="0.2"/>
    <n v="22.980000000000018"/>
  </r>
  <r>
    <n v="127"/>
    <x v="7"/>
    <s v="IPP756"/>
    <x v="0"/>
    <x v="0"/>
    <x v="0"/>
    <x v="0"/>
    <n v="1299"/>
    <n v="727.44"/>
    <n v="0.15"/>
    <n v="376.70999999999981"/>
  </r>
  <r>
    <n v="128"/>
    <x v="35"/>
    <s v="DCF212"/>
    <x v="1"/>
    <x v="1"/>
    <x v="9"/>
    <x v="3"/>
    <n v="1149"/>
    <n v="896.22"/>
    <n v="0.2"/>
    <n v="22.980000000000018"/>
  </r>
  <r>
    <n v="129"/>
    <x v="34"/>
    <s v="VVV282"/>
    <x v="2"/>
    <x v="3"/>
    <x v="3"/>
    <x v="0"/>
    <n v="1499"/>
    <n v="794.47"/>
    <n v="0"/>
    <n v="704.53"/>
  </r>
  <r>
    <n v="130"/>
    <x v="64"/>
    <s v="VPP362"/>
    <x v="2"/>
    <x v="5"/>
    <x v="10"/>
    <x v="0"/>
    <n v="699"/>
    <n v="531.24"/>
    <n v="0"/>
    <n v="167.76"/>
  </r>
  <r>
    <n v="131"/>
    <x v="32"/>
    <s v="DEE703"/>
    <x v="1"/>
    <x v="6"/>
    <x v="29"/>
    <x v="0"/>
    <n v="3999"/>
    <n v="1399.6499999999999"/>
    <n v="0.2"/>
    <n v="1799.5500000000004"/>
  </r>
  <r>
    <n v="132"/>
    <x v="32"/>
    <s v="DEE446"/>
    <x v="1"/>
    <x v="6"/>
    <x v="32"/>
    <x v="0"/>
    <n v="11999"/>
    <n v="4199.6499999999996"/>
    <n v="0.2"/>
    <n v="5399.5500000000011"/>
  </r>
  <r>
    <n v="133"/>
    <x v="65"/>
    <s v="DCF571"/>
    <x v="1"/>
    <x v="1"/>
    <x v="14"/>
    <x v="2"/>
    <n v="1299"/>
    <n v="766.41"/>
    <n v="0.1"/>
    <n v="402.69000000000017"/>
  </r>
  <r>
    <n v="134"/>
    <x v="66"/>
    <s v="VPP362"/>
    <x v="2"/>
    <x v="5"/>
    <x v="10"/>
    <x v="0"/>
    <n v="699"/>
    <n v="531.24"/>
    <n v="0"/>
    <n v="167.76"/>
  </r>
  <r>
    <n v="135"/>
    <x v="16"/>
    <s v="DFF542"/>
    <x v="1"/>
    <x v="2"/>
    <x v="2"/>
    <x v="0"/>
    <n v="359"/>
    <n v="244.12"/>
    <n v="0.2"/>
    <n v="43.079999999999984"/>
  </r>
  <r>
    <n v="136"/>
    <x v="67"/>
    <s v="DCF212"/>
    <x v="1"/>
    <x v="1"/>
    <x v="9"/>
    <x v="3"/>
    <n v="1149"/>
    <n v="896.22"/>
    <n v="0"/>
    <n v="252.77999999999997"/>
  </r>
  <r>
    <n v="137"/>
    <x v="68"/>
    <s v="DFF542"/>
    <x v="1"/>
    <x v="2"/>
    <x v="2"/>
    <x v="0"/>
    <n v="359"/>
    <n v="244.12"/>
    <n v="0"/>
    <n v="114.88"/>
  </r>
  <r>
    <n v="138"/>
    <x v="16"/>
    <s v="DCF212"/>
    <x v="1"/>
    <x v="1"/>
    <x v="9"/>
    <x v="3"/>
    <n v="1149"/>
    <n v="896.22"/>
    <n v="0.2"/>
    <n v="22.980000000000018"/>
  </r>
  <r>
    <n v="139"/>
    <x v="5"/>
    <s v="DEE691"/>
    <x v="1"/>
    <x v="6"/>
    <x v="43"/>
    <x v="0"/>
    <n v="7999"/>
    <n v="5039.37"/>
    <n v="0.15"/>
    <n v="1759.7799999999997"/>
  </r>
  <r>
    <n v="140"/>
    <x v="69"/>
    <s v="IPP756"/>
    <x v="0"/>
    <x v="0"/>
    <x v="0"/>
    <x v="0"/>
    <n v="1299"/>
    <n v="727.44"/>
    <n v="0"/>
    <n v="571.55999999999995"/>
  </r>
  <r>
    <n v="141"/>
    <x v="70"/>
    <s v="DFF542"/>
    <x v="1"/>
    <x v="2"/>
    <x v="2"/>
    <x v="0"/>
    <n v="359"/>
    <n v="244.12"/>
    <n v="0.15"/>
    <n v="61.029999999999973"/>
  </r>
  <r>
    <n v="142"/>
    <x v="71"/>
    <s v="DEE226"/>
    <x v="1"/>
    <x v="6"/>
    <x v="44"/>
    <x v="0"/>
    <n v="5999"/>
    <n v="3659.39"/>
    <n v="0.1"/>
    <n v="1739.7100000000005"/>
  </r>
  <r>
    <n v="143"/>
    <x v="72"/>
    <s v="ILL126"/>
    <x v="0"/>
    <x v="4"/>
    <x v="19"/>
    <x v="0"/>
    <n v="13999"/>
    <n v="9659.31"/>
    <n v="0"/>
    <n v="4339.6900000000005"/>
  </r>
  <r>
    <n v="144"/>
    <x v="73"/>
    <s v="DCF374"/>
    <x v="1"/>
    <x v="1"/>
    <x v="5"/>
    <x v="2"/>
    <n v="1199"/>
    <n v="887.26"/>
    <n v="0"/>
    <n v="311.74"/>
  </r>
  <r>
    <n v="145"/>
    <x v="40"/>
    <s v="DCF650"/>
    <x v="1"/>
    <x v="1"/>
    <x v="45"/>
    <x v="3"/>
    <n v="1299"/>
    <n v="597.54000000000008"/>
    <n v="0.15"/>
    <n v="506.60999999999979"/>
  </r>
  <r>
    <n v="146"/>
    <x v="74"/>
    <s v="DCF571"/>
    <x v="1"/>
    <x v="1"/>
    <x v="14"/>
    <x v="2"/>
    <n v="1299"/>
    <n v="766.41"/>
    <n v="0"/>
    <n v="532.59"/>
  </r>
  <r>
    <n v="147"/>
    <x v="32"/>
    <s v="DCF770"/>
    <x v="1"/>
    <x v="1"/>
    <x v="37"/>
    <x v="2"/>
    <n v="899"/>
    <n v="440.51"/>
    <n v="0.2"/>
    <n v="278.69000000000005"/>
  </r>
  <r>
    <n v="148"/>
    <x v="75"/>
    <s v="DFS340"/>
    <x v="1"/>
    <x v="2"/>
    <x v="46"/>
    <x v="0"/>
    <n v="169"/>
    <n v="130.13"/>
    <n v="0"/>
    <n v="38.870000000000005"/>
  </r>
  <r>
    <n v="149"/>
    <x v="15"/>
    <s v="DCF341"/>
    <x v="1"/>
    <x v="1"/>
    <x v="1"/>
    <x v="1"/>
    <n v="1149"/>
    <n v="792.81"/>
    <n v="0.15"/>
    <n v="183.84000000000003"/>
  </r>
  <r>
    <n v="150"/>
    <x v="20"/>
    <s v="VPP362"/>
    <x v="2"/>
    <x v="5"/>
    <x v="10"/>
    <x v="0"/>
    <n v="699"/>
    <n v="531.24"/>
    <n v="0.15"/>
    <n v="62.909999999999968"/>
  </r>
  <r>
    <n v="151"/>
    <x v="19"/>
    <s v="DCF374"/>
    <x v="1"/>
    <x v="1"/>
    <x v="5"/>
    <x v="2"/>
    <n v="1199"/>
    <n v="887.26"/>
    <n v="0.15"/>
    <n v="131.88999999999999"/>
  </r>
  <r>
    <n v="152"/>
    <x v="10"/>
    <s v="VPÁ655"/>
    <x v="2"/>
    <x v="5"/>
    <x v="18"/>
    <x v="0"/>
    <n v="799"/>
    <n v="679.15"/>
    <n v="0.2"/>
    <n v="-39.949999999999932"/>
  </r>
  <r>
    <n v="153"/>
    <x v="15"/>
    <s v="VPP767"/>
    <x v="2"/>
    <x v="5"/>
    <x v="33"/>
    <x v="0"/>
    <n v="819"/>
    <n v="319.41000000000003"/>
    <n v="0.15"/>
    <n v="376.73999999999995"/>
  </r>
  <r>
    <n v="154"/>
    <x v="16"/>
    <s v="DEE374"/>
    <x v="1"/>
    <x v="6"/>
    <x v="35"/>
    <x v="0"/>
    <n v="5999"/>
    <n v="3419.43"/>
    <n v="0.2"/>
    <n v="1379.77"/>
  </r>
  <r>
    <n v="155"/>
    <x v="4"/>
    <s v="DCF415"/>
    <x v="1"/>
    <x v="1"/>
    <x v="25"/>
    <x v="5"/>
    <n v="799"/>
    <n v="631.21"/>
    <n v="0.3"/>
    <n v="-71.910000000000082"/>
  </r>
  <r>
    <n v="156"/>
    <x v="4"/>
    <s v="ILL419"/>
    <x v="0"/>
    <x v="4"/>
    <x v="34"/>
    <x v="0"/>
    <n v="11999"/>
    <n v="7799.35"/>
    <n v="0.3"/>
    <n v="599.94999999999891"/>
  </r>
  <r>
    <n v="157"/>
    <x v="76"/>
    <s v="VVV282"/>
    <x v="2"/>
    <x v="3"/>
    <x v="3"/>
    <x v="0"/>
    <n v="1499"/>
    <n v="794.47"/>
    <n v="0"/>
    <n v="704.53"/>
  </r>
  <r>
    <n v="158"/>
    <x v="77"/>
    <s v="DFF967"/>
    <x v="1"/>
    <x v="2"/>
    <x v="47"/>
    <x v="0"/>
    <n v="999"/>
    <n v="569.42999999999995"/>
    <n v="0"/>
    <n v="429.57000000000005"/>
  </r>
  <r>
    <n v="159"/>
    <x v="78"/>
    <s v="DEE691"/>
    <x v="1"/>
    <x v="6"/>
    <x v="43"/>
    <x v="0"/>
    <n v="7999"/>
    <n v="5039.37"/>
    <n v="0"/>
    <n v="2959.63"/>
  </r>
  <r>
    <n v="160"/>
    <x v="32"/>
    <s v="ILL743"/>
    <x v="0"/>
    <x v="4"/>
    <x v="31"/>
    <x v="0"/>
    <n v="6999"/>
    <n v="4829.3099999999995"/>
    <n v="0.2"/>
    <n v="769.89000000000124"/>
  </r>
  <r>
    <n v="161"/>
    <x v="79"/>
    <s v="DFF967"/>
    <x v="1"/>
    <x v="2"/>
    <x v="47"/>
    <x v="0"/>
    <n v="999"/>
    <n v="569.42999999999995"/>
    <n v="0"/>
    <n v="429.57000000000005"/>
  </r>
  <r>
    <n v="162"/>
    <x v="80"/>
    <s v="DFF542"/>
    <x v="1"/>
    <x v="2"/>
    <x v="2"/>
    <x v="0"/>
    <n v="359"/>
    <n v="244.12"/>
    <n v="0"/>
    <n v="114.88"/>
  </r>
  <r>
    <n v="163"/>
    <x v="26"/>
    <s v="DCF555"/>
    <x v="1"/>
    <x v="1"/>
    <x v="23"/>
    <x v="4"/>
    <n v="799"/>
    <n v="535.33000000000004"/>
    <n v="0.15"/>
    <n v="143.81999999999994"/>
  </r>
  <r>
    <n v="164"/>
    <x v="7"/>
    <s v="IPP756"/>
    <x v="0"/>
    <x v="0"/>
    <x v="0"/>
    <x v="0"/>
    <n v="1299"/>
    <n v="727.44"/>
    <n v="0.15"/>
    <n v="376.70999999999981"/>
  </r>
  <r>
    <n v="165"/>
    <x v="21"/>
    <s v="IPP653"/>
    <x v="0"/>
    <x v="0"/>
    <x v="24"/>
    <x v="0"/>
    <n v="2599"/>
    <n v="1819.3"/>
    <n v="0.15"/>
    <n v="389.85000000000014"/>
  </r>
  <r>
    <n v="166"/>
    <x v="39"/>
    <s v="ILL169"/>
    <x v="0"/>
    <x v="4"/>
    <x v="17"/>
    <x v="0"/>
    <n v="8999"/>
    <n v="4499.5"/>
    <n v="0.2"/>
    <n v="2699.7000000000007"/>
  </r>
  <r>
    <n v="167"/>
    <x v="39"/>
    <s v="DCF341"/>
    <x v="1"/>
    <x v="1"/>
    <x v="1"/>
    <x v="1"/>
    <n v="1149"/>
    <n v="792.81"/>
    <n v="0.2"/>
    <n v="126.3900000000001"/>
  </r>
  <r>
    <n v="168"/>
    <x v="4"/>
    <s v="VVV347"/>
    <x v="2"/>
    <x v="3"/>
    <x v="26"/>
    <x v="0"/>
    <n v="499"/>
    <n v="174.64999999999998"/>
    <n v="0.3"/>
    <n v="174.64999999999998"/>
  </r>
  <r>
    <n v="169"/>
    <x v="10"/>
    <s v="DEE691"/>
    <x v="1"/>
    <x v="6"/>
    <x v="43"/>
    <x v="0"/>
    <n v="7999"/>
    <n v="5039.37"/>
    <n v="0.2"/>
    <n v="1359.8300000000008"/>
  </r>
  <r>
    <n v="170"/>
    <x v="15"/>
    <s v="VVV520"/>
    <x v="2"/>
    <x v="3"/>
    <x v="11"/>
    <x v="0"/>
    <n v="699"/>
    <n v="482.30999999999995"/>
    <n v="0.15"/>
    <n v="111.84000000000003"/>
  </r>
  <r>
    <n v="171"/>
    <x v="81"/>
    <s v="VVV282"/>
    <x v="2"/>
    <x v="3"/>
    <x v="3"/>
    <x v="0"/>
    <n v="1499"/>
    <n v="794.47"/>
    <n v="0"/>
    <n v="704.53"/>
  </r>
  <r>
    <n v="172"/>
    <x v="19"/>
    <s v="VPÁ655"/>
    <x v="2"/>
    <x v="5"/>
    <x v="18"/>
    <x v="0"/>
    <n v="799"/>
    <n v="679.15"/>
    <n v="0.15"/>
    <n v="0"/>
  </r>
  <r>
    <n v="173"/>
    <x v="82"/>
    <s v="DEE811"/>
    <x v="1"/>
    <x v="6"/>
    <x v="48"/>
    <x v="0"/>
    <n v="11999"/>
    <n v="6119.49"/>
    <n v="0"/>
    <n v="5879.51"/>
  </r>
  <r>
    <n v="174"/>
    <x v="83"/>
    <s v="DFF542"/>
    <x v="1"/>
    <x v="2"/>
    <x v="2"/>
    <x v="0"/>
    <n v="359"/>
    <n v="244.12"/>
    <n v="0"/>
    <n v="114.88"/>
  </r>
  <r>
    <n v="175"/>
    <x v="50"/>
    <s v="IPP756"/>
    <x v="0"/>
    <x v="0"/>
    <x v="0"/>
    <x v="0"/>
    <n v="1299"/>
    <n v="727.44"/>
    <n v="0"/>
    <n v="571.55999999999995"/>
  </r>
  <r>
    <n v="176"/>
    <x v="84"/>
    <s v="DEE691"/>
    <x v="1"/>
    <x v="6"/>
    <x v="43"/>
    <x v="0"/>
    <n v="7999"/>
    <n v="5039.37"/>
    <n v="0"/>
    <n v="2959.63"/>
  </r>
  <r>
    <n v="177"/>
    <x v="79"/>
    <s v="DCF341"/>
    <x v="1"/>
    <x v="1"/>
    <x v="1"/>
    <x v="1"/>
    <n v="1149"/>
    <n v="792.81"/>
    <n v="0"/>
    <n v="356.19000000000005"/>
  </r>
  <r>
    <n v="178"/>
    <x v="15"/>
    <s v="DFF781"/>
    <x v="1"/>
    <x v="2"/>
    <x v="40"/>
    <x v="0"/>
    <n v="1899"/>
    <n v="1177.3799999999999"/>
    <n v="0.15"/>
    <n v="436.77"/>
  </r>
  <r>
    <n v="179"/>
    <x v="40"/>
    <s v="VVS510"/>
    <x v="2"/>
    <x v="3"/>
    <x v="49"/>
    <x v="0"/>
    <n v="299"/>
    <n v="179.4"/>
    <n v="0.15"/>
    <n v="74.75"/>
  </r>
  <r>
    <n v="180"/>
    <x v="85"/>
    <s v="DFF871"/>
    <x v="1"/>
    <x v="2"/>
    <x v="13"/>
    <x v="0"/>
    <n v="599"/>
    <n v="455.24"/>
    <n v="0"/>
    <n v="143.76"/>
  </r>
  <r>
    <n v="181"/>
    <x v="86"/>
    <s v="IPP756"/>
    <x v="0"/>
    <x v="0"/>
    <x v="0"/>
    <x v="0"/>
    <n v="1299"/>
    <n v="727.44"/>
    <n v="0"/>
    <n v="571.55999999999995"/>
  </r>
  <r>
    <n v="182"/>
    <x v="16"/>
    <s v="IPP756"/>
    <x v="0"/>
    <x v="0"/>
    <x v="0"/>
    <x v="0"/>
    <n v="1299"/>
    <n v="727.44"/>
    <n v="0.2"/>
    <n v="311.76"/>
  </r>
  <r>
    <n v="183"/>
    <x v="5"/>
    <s v="DFF542"/>
    <x v="1"/>
    <x v="2"/>
    <x v="2"/>
    <x v="0"/>
    <n v="359"/>
    <n v="244.12"/>
    <n v="0.15"/>
    <n v="61.029999999999973"/>
  </r>
  <r>
    <n v="184"/>
    <x v="87"/>
    <s v="IPP756"/>
    <x v="0"/>
    <x v="0"/>
    <x v="0"/>
    <x v="0"/>
    <n v="1299"/>
    <n v="727.44"/>
    <n v="0"/>
    <n v="571.55999999999995"/>
  </r>
  <r>
    <n v="185"/>
    <x v="49"/>
    <s v="DCF374"/>
    <x v="1"/>
    <x v="1"/>
    <x v="5"/>
    <x v="2"/>
    <n v="1199"/>
    <n v="887.26"/>
    <n v="0"/>
    <n v="311.74"/>
  </r>
  <r>
    <n v="186"/>
    <x v="7"/>
    <s v="ILL126"/>
    <x v="0"/>
    <x v="4"/>
    <x v="19"/>
    <x v="0"/>
    <n v="13999"/>
    <n v="9659.31"/>
    <n v="0.15"/>
    <n v="2239.84"/>
  </r>
  <r>
    <n v="187"/>
    <x v="4"/>
    <s v="DCF555"/>
    <x v="1"/>
    <x v="1"/>
    <x v="23"/>
    <x v="4"/>
    <n v="799"/>
    <n v="535.33000000000004"/>
    <n v="0.3"/>
    <n v="23.969999999999914"/>
  </r>
  <r>
    <n v="188"/>
    <x v="88"/>
    <s v="VPP239"/>
    <x v="2"/>
    <x v="5"/>
    <x v="50"/>
    <x v="0"/>
    <n v="399"/>
    <n v="323.19"/>
    <n v="0"/>
    <n v="75.81"/>
  </r>
  <r>
    <n v="189"/>
    <x v="35"/>
    <s v="ILL126"/>
    <x v="0"/>
    <x v="4"/>
    <x v="19"/>
    <x v="0"/>
    <n v="13999"/>
    <n v="9659.31"/>
    <n v="0.2"/>
    <n v="1539.8900000000012"/>
  </r>
  <r>
    <n v="190"/>
    <x v="10"/>
    <s v="IPP469"/>
    <x v="0"/>
    <x v="0"/>
    <x v="51"/>
    <x v="0"/>
    <n v="999"/>
    <n v="569.42999999999995"/>
    <n v="0.2"/>
    <n v="229.7700000000001"/>
  </r>
  <r>
    <n v="191"/>
    <x v="3"/>
    <s v="DCF770"/>
    <x v="1"/>
    <x v="1"/>
    <x v="37"/>
    <x v="2"/>
    <n v="899"/>
    <n v="440.51"/>
    <n v="0.15"/>
    <n v="323.64"/>
  </r>
  <r>
    <n v="192"/>
    <x v="10"/>
    <s v="VPP254"/>
    <x v="2"/>
    <x v="5"/>
    <x v="52"/>
    <x v="0"/>
    <n v="299"/>
    <n v="248.17"/>
    <n v="0.2"/>
    <n v="-8.9699999999999704"/>
  </r>
  <r>
    <n v="193"/>
    <x v="39"/>
    <s v="ILL126"/>
    <x v="0"/>
    <x v="4"/>
    <x v="19"/>
    <x v="0"/>
    <n v="13999"/>
    <n v="9659.31"/>
    <n v="0.2"/>
    <n v="1539.8900000000012"/>
  </r>
  <r>
    <n v="194"/>
    <x v="14"/>
    <s v="ILL126"/>
    <x v="0"/>
    <x v="4"/>
    <x v="19"/>
    <x v="0"/>
    <n v="13999"/>
    <n v="9659.31"/>
    <n v="0.1"/>
    <n v="2939.7900000000009"/>
  </r>
  <r>
    <n v="195"/>
    <x v="89"/>
    <s v="VVV282"/>
    <x v="2"/>
    <x v="3"/>
    <x v="3"/>
    <x v="0"/>
    <n v="1499"/>
    <n v="794.47"/>
    <n v="0"/>
    <n v="704.53"/>
  </r>
  <r>
    <n v="196"/>
    <x v="90"/>
    <s v="DEE691"/>
    <x v="1"/>
    <x v="6"/>
    <x v="43"/>
    <x v="0"/>
    <n v="7999"/>
    <n v="5039.37"/>
    <n v="0"/>
    <n v="2959.63"/>
  </r>
  <r>
    <n v="197"/>
    <x v="32"/>
    <s v="DCF970"/>
    <x v="1"/>
    <x v="1"/>
    <x v="53"/>
    <x v="2"/>
    <n v="409"/>
    <n v="237.21999999999997"/>
    <n v="0.2"/>
    <n v="89.980000000000075"/>
  </r>
  <r>
    <n v="198"/>
    <x v="35"/>
    <s v="ILL267"/>
    <x v="0"/>
    <x v="4"/>
    <x v="54"/>
    <x v="0"/>
    <n v="7599"/>
    <n v="2735.64"/>
    <n v="0.2"/>
    <n v="3343.5600000000009"/>
  </r>
  <r>
    <n v="199"/>
    <x v="4"/>
    <s v="DFF871"/>
    <x v="1"/>
    <x v="2"/>
    <x v="13"/>
    <x v="0"/>
    <n v="599"/>
    <n v="455.24"/>
    <n v="0.3"/>
    <n v="-35.940000000000055"/>
  </r>
  <r>
    <n v="200"/>
    <x v="20"/>
    <s v="ILL743"/>
    <x v="0"/>
    <x v="4"/>
    <x v="31"/>
    <x v="0"/>
    <n v="6999"/>
    <n v="4829.3099999999995"/>
    <n v="0.15"/>
    <n v="1119.8400000000001"/>
  </r>
  <r>
    <n v="201"/>
    <x v="91"/>
    <s v="VVV347"/>
    <x v="2"/>
    <x v="3"/>
    <x v="26"/>
    <x v="0"/>
    <n v="499"/>
    <n v="174.64999999999998"/>
    <n v="0"/>
    <n v="324.35000000000002"/>
  </r>
  <r>
    <n v="202"/>
    <x v="5"/>
    <s v="DEE790"/>
    <x v="1"/>
    <x v="6"/>
    <x v="55"/>
    <x v="0"/>
    <n v="14399"/>
    <n v="11375.210000000001"/>
    <n v="0.15"/>
    <n v="863.93999999999869"/>
  </r>
  <r>
    <n v="203"/>
    <x v="2"/>
    <s v="DFF542"/>
    <x v="1"/>
    <x v="2"/>
    <x v="2"/>
    <x v="0"/>
    <n v="359"/>
    <n v="244.12"/>
    <n v="0.15"/>
    <n v="61.029999999999973"/>
  </r>
  <r>
    <n v="204"/>
    <x v="4"/>
    <s v="DFF542"/>
    <x v="1"/>
    <x v="2"/>
    <x v="2"/>
    <x v="0"/>
    <n v="359"/>
    <n v="244.12"/>
    <n v="0.3"/>
    <n v="7.1799999999999784"/>
  </r>
  <r>
    <n v="205"/>
    <x v="16"/>
    <s v="DCF495"/>
    <x v="1"/>
    <x v="1"/>
    <x v="56"/>
    <x v="3"/>
    <n v="999"/>
    <n v="809.19"/>
    <n v="0.2"/>
    <n v="-9.9900000000000091"/>
  </r>
  <r>
    <n v="206"/>
    <x v="92"/>
    <s v="DCF212"/>
    <x v="1"/>
    <x v="1"/>
    <x v="9"/>
    <x v="3"/>
    <n v="1149"/>
    <n v="896.22"/>
    <n v="0"/>
    <n v="252.77999999999997"/>
  </r>
  <r>
    <n v="207"/>
    <x v="71"/>
    <s v="ILL723"/>
    <x v="0"/>
    <x v="4"/>
    <x v="57"/>
    <x v="0"/>
    <n v="2299"/>
    <n v="1218.47"/>
    <n v="0.1"/>
    <n v="850.62999999999988"/>
  </r>
  <r>
    <n v="208"/>
    <x v="93"/>
    <s v="DCF212"/>
    <x v="1"/>
    <x v="1"/>
    <x v="9"/>
    <x v="3"/>
    <n v="1149"/>
    <n v="896.22"/>
    <n v="0"/>
    <n v="252.77999999999997"/>
  </r>
  <r>
    <n v="209"/>
    <x v="15"/>
    <s v="ILL169"/>
    <x v="0"/>
    <x v="4"/>
    <x v="17"/>
    <x v="0"/>
    <n v="8999"/>
    <n v="4499.5"/>
    <n v="0.15"/>
    <n v="3149.6499999999996"/>
  </r>
  <r>
    <n v="210"/>
    <x v="0"/>
    <s v="DEE374"/>
    <x v="1"/>
    <x v="6"/>
    <x v="35"/>
    <x v="0"/>
    <n v="5999"/>
    <n v="3419.43"/>
    <n v="0.2"/>
    <n v="1379.77"/>
  </r>
  <r>
    <n v="211"/>
    <x v="21"/>
    <s v="DFF542"/>
    <x v="1"/>
    <x v="2"/>
    <x v="2"/>
    <x v="0"/>
    <n v="359"/>
    <n v="244.12"/>
    <n v="0.15"/>
    <n v="61.029999999999973"/>
  </r>
  <r>
    <n v="212"/>
    <x v="3"/>
    <s v="VVS735"/>
    <x v="2"/>
    <x v="3"/>
    <x v="7"/>
    <x v="0"/>
    <n v="229"/>
    <n v="153.43"/>
    <n v="0.15"/>
    <n v="41.22"/>
  </r>
  <r>
    <n v="213"/>
    <x v="94"/>
    <s v="DCF212"/>
    <x v="1"/>
    <x v="1"/>
    <x v="9"/>
    <x v="3"/>
    <n v="1149"/>
    <n v="896.22"/>
    <n v="0"/>
    <n v="252.77999999999997"/>
  </r>
  <r>
    <n v="214"/>
    <x v="4"/>
    <s v="DCF374"/>
    <x v="1"/>
    <x v="1"/>
    <x v="5"/>
    <x v="2"/>
    <n v="1199"/>
    <n v="887.26"/>
    <n v="0.3"/>
    <n v="-47.960000000000036"/>
  </r>
  <r>
    <n v="215"/>
    <x v="39"/>
    <s v="VPP362"/>
    <x v="2"/>
    <x v="5"/>
    <x v="10"/>
    <x v="0"/>
    <n v="699"/>
    <n v="531.24"/>
    <n v="0.2"/>
    <n v="27.960000000000036"/>
  </r>
  <r>
    <n v="216"/>
    <x v="95"/>
    <s v="VVV282"/>
    <x v="2"/>
    <x v="3"/>
    <x v="3"/>
    <x v="0"/>
    <n v="1499"/>
    <n v="794.47"/>
    <n v="0.2"/>
    <n v="404.73"/>
  </r>
  <r>
    <n v="217"/>
    <x v="96"/>
    <s v="DFS340"/>
    <x v="1"/>
    <x v="2"/>
    <x v="46"/>
    <x v="0"/>
    <n v="169"/>
    <n v="130.13"/>
    <n v="0"/>
    <n v="38.870000000000005"/>
  </r>
  <r>
    <n v="218"/>
    <x v="55"/>
    <s v="IPP756"/>
    <x v="0"/>
    <x v="0"/>
    <x v="0"/>
    <x v="0"/>
    <n v="1299"/>
    <n v="727.44"/>
    <n v="0"/>
    <n v="571.55999999999995"/>
  </r>
  <r>
    <n v="219"/>
    <x v="97"/>
    <s v="DCF212"/>
    <x v="1"/>
    <x v="1"/>
    <x v="9"/>
    <x v="3"/>
    <n v="1149"/>
    <n v="896.22"/>
    <n v="0"/>
    <n v="252.77999999999997"/>
  </r>
  <r>
    <n v="220"/>
    <x v="71"/>
    <s v="DCF555"/>
    <x v="1"/>
    <x v="1"/>
    <x v="23"/>
    <x v="4"/>
    <n v="799"/>
    <n v="535.33000000000004"/>
    <n v="0.1"/>
    <n v="183.76999999999998"/>
  </r>
  <r>
    <n v="221"/>
    <x v="98"/>
    <s v="DCF374"/>
    <x v="1"/>
    <x v="1"/>
    <x v="5"/>
    <x v="2"/>
    <n v="1199"/>
    <n v="887.26"/>
    <n v="0"/>
    <n v="311.74"/>
  </r>
  <r>
    <n v="222"/>
    <x v="4"/>
    <s v="ILL126"/>
    <x v="0"/>
    <x v="4"/>
    <x v="19"/>
    <x v="0"/>
    <n v="13999"/>
    <n v="9659.31"/>
    <n v="0.3"/>
    <n v="139.98999999999978"/>
  </r>
  <r>
    <n v="223"/>
    <x v="73"/>
    <s v="IPP756"/>
    <x v="0"/>
    <x v="0"/>
    <x v="0"/>
    <x v="0"/>
    <n v="1299"/>
    <n v="727.44"/>
    <n v="0"/>
    <n v="376.70999999999981"/>
  </r>
  <r>
    <n v="224"/>
    <x v="10"/>
    <s v="ILL482"/>
    <x v="0"/>
    <x v="4"/>
    <x v="58"/>
    <x v="0"/>
    <n v="8999"/>
    <n v="6839.24"/>
    <n v="0.2"/>
    <n v="359.96000000000095"/>
  </r>
  <r>
    <n v="225"/>
    <x v="39"/>
    <s v="ILL482"/>
    <x v="0"/>
    <x v="4"/>
    <x v="58"/>
    <x v="0"/>
    <n v="8999"/>
    <n v="6839.24"/>
    <n v="0.2"/>
    <n v="359.96000000000095"/>
  </r>
  <r>
    <n v="226"/>
    <x v="39"/>
    <s v="ILL969"/>
    <x v="0"/>
    <x v="4"/>
    <x v="59"/>
    <x v="0"/>
    <n v="3599"/>
    <n v="2663.2599999999998"/>
    <n v="0.2"/>
    <n v="215.94000000000051"/>
  </r>
  <r>
    <n v="227"/>
    <x v="99"/>
    <s v="VVV347"/>
    <x v="2"/>
    <x v="3"/>
    <x v="26"/>
    <x v="0"/>
    <n v="499"/>
    <n v="174.64999999999998"/>
    <n v="0"/>
    <n v="324.35000000000002"/>
  </r>
  <r>
    <n v="228"/>
    <x v="100"/>
    <s v="ILL126"/>
    <x v="0"/>
    <x v="4"/>
    <x v="19"/>
    <x v="0"/>
    <n v="13999"/>
    <n v="9659.31"/>
    <n v="0"/>
    <n v="4339.6900000000005"/>
  </r>
  <r>
    <n v="229"/>
    <x v="19"/>
    <s v="DFF542"/>
    <x v="1"/>
    <x v="2"/>
    <x v="2"/>
    <x v="0"/>
    <n v="359"/>
    <n v="244.12"/>
    <n v="0.15"/>
    <n v="61.029999999999973"/>
  </r>
  <r>
    <n v="230"/>
    <x v="10"/>
    <s v="DCF212"/>
    <x v="1"/>
    <x v="1"/>
    <x v="9"/>
    <x v="3"/>
    <n v="1149"/>
    <n v="896.22"/>
    <n v="0.2"/>
    <n v="22.980000000000018"/>
  </r>
  <r>
    <n v="231"/>
    <x v="4"/>
    <s v="DCF914"/>
    <x v="1"/>
    <x v="1"/>
    <x v="60"/>
    <x v="2"/>
    <n v="899"/>
    <n v="719.2"/>
    <n v="0.3"/>
    <n v="-89.900000000000091"/>
  </r>
  <r>
    <n v="232"/>
    <x v="32"/>
    <s v="VPP362"/>
    <x v="2"/>
    <x v="5"/>
    <x v="10"/>
    <x v="0"/>
    <n v="699"/>
    <n v="531.24"/>
    <n v="0.2"/>
    <n v="27.960000000000036"/>
  </r>
  <r>
    <n v="233"/>
    <x v="39"/>
    <s v="IPP756"/>
    <x v="0"/>
    <x v="0"/>
    <x v="0"/>
    <x v="0"/>
    <n v="1299"/>
    <n v="727.44"/>
    <n v="0.2"/>
    <n v="311.76"/>
  </r>
  <r>
    <n v="234"/>
    <x v="15"/>
    <s v="VPP741"/>
    <x v="2"/>
    <x v="5"/>
    <x v="15"/>
    <x v="0"/>
    <n v="499"/>
    <n v="279.44000000000005"/>
    <n v="0.15"/>
    <n v="144.70999999999992"/>
  </r>
  <r>
    <n v="235"/>
    <x v="101"/>
    <s v="ILL267"/>
    <x v="0"/>
    <x v="4"/>
    <x v="54"/>
    <x v="0"/>
    <n v="7599"/>
    <n v="2735.64"/>
    <n v="0"/>
    <n v="4863.3600000000006"/>
  </r>
  <r>
    <n v="236"/>
    <x v="47"/>
    <s v="DFF967"/>
    <x v="1"/>
    <x v="2"/>
    <x v="47"/>
    <x v="0"/>
    <n v="999"/>
    <n v="569.42999999999995"/>
    <n v="0"/>
    <n v="429.57000000000005"/>
  </r>
  <r>
    <n v="237"/>
    <x v="48"/>
    <s v="VVV105"/>
    <x v="2"/>
    <x v="3"/>
    <x v="61"/>
    <x v="0"/>
    <n v="299"/>
    <n v="152.49"/>
    <n v="0"/>
    <n v="146.51"/>
  </r>
  <r>
    <n v="238"/>
    <x v="14"/>
    <s v="VPP897"/>
    <x v="2"/>
    <x v="5"/>
    <x v="28"/>
    <x v="0"/>
    <n v="999"/>
    <n v="509.49"/>
    <n v="0.1"/>
    <n v="389.61"/>
  </r>
  <r>
    <n v="239"/>
    <x v="102"/>
    <s v="DCF341"/>
    <x v="1"/>
    <x v="1"/>
    <x v="1"/>
    <x v="1"/>
    <n v="1149"/>
    <n v="792.81"/>
    <n v="0"/>
    <n v="356.19000000000005"/>
  </r>
  <r>
    <n v="240"/>
    <x v="4"/>
    <s v="DCF555"/>
    <x v="1"/>
    <x v="1"/>
    <x v="23"/>
    <x v="4"/>
    <n v="799"/>
    <n v="535.33000000000004"/>
    <n v="0.3"/>
    <n v="23.969999999999914"/>
  </r>
  <r>
    <n v="241"/>
    <x v="3"/>
    <s v="DCF341"/>
    <x v="1"/>
    <x v="1"/>
    <x v="1"/>
    <x v="1"/>
    <n v="1149"/>
    <n v="792.81"/>
    <n v="0.15"/>
    <n v="183.84000000000003"/>
  </r>
  <r>
    <n v="242"/>
    <x v="5"/>
    <s v="DEE703"/>
    <x v="1"/>
    <x v="6"/>
    <x v="29"/>
    <x v="0"/>
    <n v="3999"/>
    <n v="1399.6499999999999"/>
    <n v="0.15"/>
    <n v="1999.5000000000002"/>
  </r>
  <r>
    <n v="243"/>
    <x v="5"/>
    <s v="DFF871"/>
    <x v="1"/>
    <x v="2"/>
    <x v="13"/>
    <x v="0"/>
    <n v="599"/>
    <n v="455.24"/>
    <n v="0.15"/>
    <n v="53.909999999999968"/>
  </r>
  <r>
    <n v="244"/>
    <x v="103"/>
    <s v="DEE703"/>
    <x v="1"/>
    <x v="6"/>
    <x v="29"/>
    <x v="0"/>
    <n v="3999"/>
    <n v="1399.6499999999999"/>
    <n v="0"/>
    <n v="2599.3500000000004"/>
  </r>
  <r>
    <n v="245"/>
    <x v="0"/>
    <s v="IPP469"/>
    <x v="0"/>
    <x v="0"/>
    <x v="51"/>
    <x v="0"/>
    <n v="999"/>
    <n v="569.42999999999995"/>
    <n v="0.2"/>
    <n v="229.7700000000001"/>
  </r>
  <r>
    <n v="246"/>
    <x v="49"/>
    <s v="VVV282"/>
    <x v="2"/>
    <x v="3"/>
    <x v="3"/>
    <x v="0"/>
    <n v="1499"/>
    <n v="794.47"/>
    <n v="0"/>
    <n v="704.53"/>
  </r>
  <r>
    <n v="247"/>
    <x v="104"/>
    <s v="IPP756"/>
    <x v="0"/>
    <x v="0"/>
    <x v="0"/>
    <x v="0"/>
    <n v="1299"/>
    <n v="727.44"/>
    <n v="0"/>
    <n v="571.55999999999995"/>
  </r>
  <r>
    <n v="248"/>
    <x v="96"/>
    <s v="DFF359"/>
    <x v="1"/>
    <x v="2"/>
    <x v="62"/>
    <x v="0"/>
    <n v="2199"/>
    <n v="1825.1699999999998"/>
    <n v="0"/>
    <n v="373.83000000000015"/>
  </r>
  <r>
    <n v="249"/>
    <x v="5"/>
    <s v="DCF212"/>
    <x v="1"/>
    <x v="1"/>
    <x v="9"/>
    <x v="3"/>
    <n v="1149"/>
    <n v="896.22"/>
    <n v="0.15"/>
    <n v="80.42999999999995"/>
  </r>
  <r>
    <n v="250"/>
    <x v="2"/>
    <s v="ILL743"/>
    <x v="0"/>
    <x v="4"/>
    <x v="31"/>
    <x v="0"/>
    <n v="6999"/>
    <n v="4829.3099999999995"/>
    <n v="0.15"/>
    <n v="1119.8400000000001"/>
  </r>
  <r>
    <n v="251"/>
    <x v="39"/>
    <s v="DCF374"/>
    <x v="1"/>
    <x v="1"/>
    <x v="5"/>
    <x v="2"/>
    <n v="1199"/>
    <n v="887.26"/>
    <n v="0.2"/>
    <n v="71.940000000000055"/>
  </r>
  <r>
    <n v="252"/>
    <x v="35"/>
    <s v="DFF871"/>
    <x v="1"/>
    <x v="2"/>
    <x v="13"/>
    <x v="0"/>
    <n v="599"/>
    <n v="455.24"/>
    <n v="0.2"/>
    <n v="23.960000000000036"/>
  </r>
  <r>
    <n v="253"/>
    <x v="105"/>
    <s v="DFF871"/>
    <x v="1"/>
    <x v="2"/>
    <x v="13"/>
    <x v="0"/>
    <n v="599"/>
    <n v="455.24"/>
    <n v="0"/>
    <n v="143.76"/>
  </r>
  <r>
    <n v="254"/>
    <x v="14"/>
    <s v="DFF871"/>
    <x v="1"/>
    <x v="2"/>
    <x v="13"/>
    <x v="0"/>
    <n v="599"/>
    <n v="455.24"/>
    <n v="0.1"/>
    <n v="83.860000000000014"/>
  </r>
  <r>
    <n v="255"/>
    <x v="35"/>
    <s v="IPP653"/>
    <x v="0"/>
    <x v="0"/>
    <x v="24"/>
    <x v="0"/>
    <n v="2599"/>
    <n v="1819.3"/>
    <n v="0.2"/>
    <n v="259.90000000000032"/>
  </r>
  <r>
    <n v="256"/>
    <x v="39"/>
    <s v="VPP185"/>
    <x v="2"/>
    <x v="5"/>
    <x v="22"/>
    <x v="0"/>
    <n v="449"/>
    <n v="161.63999999999999"/>
    <n v="0.2"/>
    <n v="197.56000000000006"/>
  </r>
  <r>
    <n v="257"/>
    <x v="106"/>
    <s v="VVV282"/>
    <x v="2"/>
    <x v="3"/>
    <x v="3"/>
    <x v="0"/>
    <n v="1499"/>
    <n v="794.47"/>
    <n v="0"/>
    <n v="704.53"/>
  </r>
  <r>
    <n v="258"/>
    <x v="26"/>
    <s v="DCF212"/>
    <x v="1"/>
    <x v="1"/>
    <x v="9"/>
    <x v="3"/>
    <n v="1149"/>
    <n v="896.22"/>
    <n v="0.15"/>
    <n v="80.42999999999995"/>
  </r>
  <r>
    <n v="259"/>
    <x v="4"/>
    <s v="DEE703"/>
    <x v="1"/>
    <x v="6"/>
    <x v="29"/>
    <x v="0"/>
    <n v="3999"/>
    <n v="1399.6499999999999"/>
    <n v="0.3"/>
    <n v="1399.6499999999999"/>
  </r>
  <r>
    <n v="260"/>
    <x v="7"/>
    <s v="VPÁ655"/>
    <x v="2"/>
    <x v="5"/>
    <x v="18"/>
    <x v="0"/>
    <n v="799"/>
    <n v="679.15"/>
    <n v="0.15"/>
    <n v="0"/>
  </r>
  <r>
    <n v="261"/>
    <x v="32"/>
    <s v="VVV208"/>
    <x v="2"/>
    <x v="3"/>
    <x v="63"/>
    <x v="0"/>
    <n v="219"/>
    <n v="170.82"/>
    <n v="0.2"/>
    <n v="4.3800000000000239"/>
  </r>
  <r>
    <n v="262"/>
    <x v="85"/>
    <s v="VPÁ655"/>
    <x v="2"/>
    <x v="5"/>
    <x v="18"/>
    <x v="0"/>
    <n v="799"/>
    <n v="679.15"/>
    <n v="0"/>
    <n v="119.85000000000002"/>
  </r>
  <r>
    <n v="263"/>
    <x v="26"/>
    <s v="DCF212"/>
    <x v="1"/>
    <x v="1"/>
    <x v="9"/>
    <x v="3"/>
    <n v="1149"/>
    <n v="896.22"/>
    <n v="0.15"/>
    <n v="80.42999999999995"/>
  </r>
  <r>
    <n v="264"/>
    <x v="29"/>
    <s v="DCF374"/>
    <x v="1"/>
    <x v="1"/>
    <x v="5"/>
    <x v="2"/>
    <n v="1199"/>
    <n v="887.26"/>
    <n v="0"/>
    <n v="311.74"/>
  </r>
  <r>
    <n v="265"/>
    <x v="20"/>
    <s v="VVV282"/>
    <x v="2"/>
    <x v="3"/>
    <x v="3"/>
    <x v="0"/>
    <n v="1499"/>
    <n v="794.47"/>
    <n v="0.15"/>
    <n v="479.67999999999984"/>
  </r>
  <r>
    <n v="266"/>
    <x v="35"/>
    <s v="DCF374"/>
    <x v="1"/>
    <x v="1"/>
    <x v="5"/>
    <x v="2"/>
    <n v="1199"/>
    <n v="887.26"/>
    <n v="0.2"/>
    <n v="71.940000000000055"/>
  </r>
  <r>
    <n v="267"/>
    <x v="107"/>
    <s v="VPÁ655"/>
    <x v="2"/>
    <x v="5"/>
    <x v="18"/>
    <x v="0"/>
    <n v="799"/>
    <n v="679.15"/>
    <n v="0"/>
    <n v="119.85000000000002"/>
  </r>
  <r>
    <n v="268"/>
    <x v="20"/>
    <s v="VVV282"/>
    <x v="2"/>
    <x v="3"/>
    <x v="3"/>
    <x v="0"/>
    <n v="1499"/>
    <n v="794.47"/>
    <n v="0.15"/>
    <n v="479.67999999999984"/>
  </r>
  <r>
    <n v="269"/>
    <x v="20"/>
    <s v="DCF212"/>
    <x v="1"/>
    <x v="1"/>
    <x v="9"/>
    <x v="3"/>
    <n v="1149"/>
    <n v="896.22"/>
    <n v="0.15"/>
    <n v="80.42999999999995"/>
  </r>
  <r>
    <n v="270"/>
    <x v="5"/>
    <s v="DCF212"/>
    <x v="1"/>
    <x v="1"/>
    <x v="9"/>
    <x v="3"/>
    <n v="1149"/>
    <n v="896.22"/>
    <n v="0.15"/>
    <n v="80.42999999999995"/>
  </r>
  <r>
    <n v="271"/>
    <x v="10"/>
    <s v="DCF212"/>
    <x v="1"/>
    <x v="1"/>
    <x v="9"/>
    <x v="3"/>
    <n v="1149"/>
    <n v="896.22"/>
    <n v="0.2"/>
    <n v="22.980000000000018"/>
  </r>
  <r>
    <n v="272"/>
    <x v="100"/>
    <s v="DCF212"/>
    <x v="1"/>
    <x v="1"/>
    <x v="9"/>
    <x v="3"/>
    <n v="1149"/>
    <n v="896.22"/>
    <n v="0"/>
    <n v="252.77999999999997"/>
  </r>
  <r>
    <n v="273"/>
    <x v="32"/>
    <s v="VVS174"/>
    <x v="2"/>
    <x v="3"/>
    <x v="12"/>
    <x v="0"/>
    <n v="259"/>
    <n v="106.19"/>
    <n v="0.2"/>
    <n v="101.01000000000002"/>
  </r>
  <r>
    <n v="274"/>
    <x v="40"/>
    <s v="DCF374"/>
    <x v="1"/>
    <x v="1"/>
    <x v="5"/>
    <x v="2"/>
    <n v="1199"/>
    <n v="887.26"/>
    <n v="0.15"/>
    <n v="131.88999999999999"/>
  </r>
  <r>
    <n v="275"/>
    <x v="2"/>
    <s v="VVS410"/>
    <x v="2"/>
    <x v="3"/>
    <x v="4"/>
    <x v="0"/>
    <n v="259"/>
    <n v="220.15"/>
    <n v="0.15"/>
    <n v="0"/>
  </r>
  <r>
    <n v="276"/>
    <x v="106"/>
    <s v="DCF212"/>
    <x v="1"/>
    <x v="1"/>
    <x v="9"/>
    <x v="3"/>
    <n v="1149"/>
    <n v="896.22"/>
    <n v="0"/>
    <n v="252.77999999999997"/>
  </r>
  <r>
    <n v="277"/>
    <x v="0"/>
    <s v="VPÁ655"/>
    <x v="2"/>
    <x v="5"/>
    <x v="18"/>
    <x v="0"/>
    <n v="799"/>
    <n v="679.15"/>
    <n v="0.2"/>
    <n v="-39.949999999999932"/>
  </r>
  <r>
    <n v="278"/>
    <x v="108"/>
    <s v="DCF212"/>
    <x v="1"/>
    <x v="1"/>
    <x v="9"/>
    <x v="3"/>
    <n v="1149"/>
    <n v="896.22"/>
    <n v="0"/>
    <n v="252.77999999999997"/>
  </r>
  <r>
    <n v="279"/>
    <x v="32"/>
    <s v="DEE703"/>
    <x v="1"/>
    <x v="6"/>
    <x v="29"/>
    <x v="0"/>
    <n v="3999"/>
    <n v="1399.6499999999999"/>
    <n v="0.2"/>
    <n v="1799.5500000000004"/>
  </r>
  <r>
    <n v="280"/>
    <x v="7"/>
    <s v="DFF236"/>
    <x v="1"/>
    <x v="2"/>
    <x v="8"/>
    <x v="0"/>
    <n v="2499"/>
    <n v="1349.46"/>
    <n v="0.15"/>
    <n v="774.69"/>
  </r>
  <r>
    <n v="281"/>
    <x v="32"/>
    <s v="IPP340"/>
    <x v="0"/>
    <x v="0"/>
    <x v="20"/>
    <x v="0"/>
    <n v="1499"/>
    <n v="584.61"/>
    <n v="0.2"/>
    <n v="614.59"/>
  </r>
  <r>
    <n v="282"/>
    <x v="4"/>
    <s v="ILL419"/>
    <x v="0"/>
    <x v="4"/>
    <x v="34"/>
    <x v="0"/>
    <n v="11999"/>
    <n v="7799.35"/>
    <n v="0.3"/>
    <n v="599.94999999999891"/>
  </r>
  <r>
    <n v="283"/>
    <x v="109"/>
    <s v="DCF212"/>
    <x v="1"/>
    <x v="1"/>
    <x v="9"/>
    <x v="3"/>
    <n v="1149"/>
    <n v="896.22"/>
    <n v="0"/>
    <n v="252.77999999999997"/>
  </r>
  <r>
    <n v="284"/>
    <x v="110"/>
    <s v="DFF871"/>
    <x v="1"/>
    <x v="2"/>
    <x v="13"/>
    <x v="0"/>
    <n v="599"/>
    <n v="455.24"/>
    <n v="0"/>
    <n v="143.76"/>
  </r>
  <r>
    <n v="285"/>
    <x v="21"/>
    <s v="IPP653"/>
    <x v="0"/>
    <x v="0"/>
    <x v="24"/>
    <x v="0"/>
    <n v="2599"/>
    <n v="1819.3"/>
    <n v="0.15"/>
    <n v="389.85000000000014"/>
  </r>
  <r>
    <n v="286"/>
    <x v="39"/>
    <s v="ILL419"/>
    <x v="0"/>
    <x v="4"/>
    <x v="34"/>
    <x v="0"/>
    <n v="11999"/>
    <n v="7799.35"/>
    <n v="0.2"/>
    <n v="1799.8500000000004"/>
  </r>
  <r>
    <n v="287"/>
    <x v="20"/>
    <s v="VVS410"/>
    <x v="2"/>
    <x v="3"/>
    <x v="4"/>
    <x v="0"/>
    <n v="259"/>
    <n v="220.15"/>
    <n v="0.15"/>
    <n v="0"/>
  </r>
  <r>
    <n v="288"/>
    <x v="20"/>
    <s v="VVV520"/>
    <x v="2"/>
    <x v="3"/>
    <x v="11"/>
    <x v="0"/>
    <n v="699"/>
    <n v="482.30999999999995"/>
    <n v="0.15"/>
    <n v="111.84000000000003"/>
  </r>
  <r>
    <n v="289"/>
    <x v="35"/>
    <s v="ILL761"/>
    <x v="0"/>
    <x v="4"/>
    <x v="6"/>
    <x v="0"/>
    <n v="7999"/>
    <n v="3199.6000000000004"/>
    <n v="0.2"/>
    <n v="3199.6000000000004"/>
  </r>
  <r>
    <n v="290"/>
    <x v="16"/>
    <s v="DFR332"/>
    <x v="1"/>
    <x v="2"/>
    <x v="64"/>
    <x v="0"/>
    <n v="399"/>
    <n v="239.39999999999998"/>
    <n v="0.2"/>
    <n v="79.800000000000068"/>
  </r>
  <r>
    <n v="291"/>
    <x v="3"/>
    <s v="DCF374"/>
    <x v="1"/>
    <x v="1"/>
    <x v="5"/>
    <x v="2"/>
    <n v="1199"/>
    <n v="887.26"/>
    <n v="0.15"/>
    <n v="131.88999999999999"/>
  </r>
  <r>
    <n v="292"/>
    <x v="87"/>
    <s v="DCF341"/>
    <x v="1"/>
    <x v="1"/>
    <x v="1"/>
    <x v="1"/>
    <n v="1149"/>
    <n v="792.81"/>
    <n v="0"/>
    <n v="356.19000000000005"/>
  </r>
  <r>
    <n v="293"/>
    <x v="5"/>
    <s v="DFT242"/>
    <x v="1"/>
    <x v="2"/>
    <x v="39"/>
    <x v="0"/>
    <n v="259"/>
    <n v="111.37"/>
    <n v="0.15"/>
    <n v="108.78"/>
  </r>
  <r>
    <n v="294"/>
    <x v="16"/>
    <s v="DFS340"/>
    <x v="1"/>
    <x v="2"/>
    <x v="46"/>
    <x v="0"/>
    <n v="169"/>
    <n v="130.13"/>
    <n v="0.2"/>
    <n v="5.0700000000000216"/>
  </r>
  <r>
    <n v="295"/>
    <x v="32"/>
    <s v="DFF542"/>
    <x v="1"/>
    <x v="2"/>
    <x v="2"/>
    <x v="0"/>
    <n v="359"/>
    <n v="244.12"/>
    <n v="0.2"/>
    <n v="43.079999999999984"/>
  </r>
  <r>
    <n v="296"/>
    <x v="4"/>
    <s v="DFF542"/>
    <x v="1"/>
    <x v="2"/>
    <x v="2"/>
    <x v="0"/>
    <n v="359"/>
    <n v="244.12"/>
    <n v="0.3"/>
    <n v="7.1799999999999784"/>
  </r>
  <r>
    <n v="297"/>
    <x v="15"/>
    <s v="VPP239"/>
    <x v="2"/>
    <x v="5"/>
    <x v="50"/>
    <x v="0"/>
    <n v="399"/>
    <n v="323.19"/>
    <n v="0.15"/>
    <n v="15.95999999999998"/>
  </r>
  <r>
    <n v="298"/>
    <x v="20"/>
    <s v="DCF212"/>
    <x v="1"/>
    <x v="1"/>
    <x v="9"/>
    <x v="3"/>
    <n v="1149"/>
    <n v="896.22"/>
    <n v="0.15"/>
    <n v="80.42999999999995"/>
  </r>
  <r>
    <n v="299"/>
    <x v="10"/>
    <s v="IPP756"/>
    <x v="0"/>
    <x v="0"/>
    <x v="0"/>
    <x v="0"/>
    <n v="1299"/>
    <n v="727.44"/>
    <n v="0.2"/>
    <n v="311.76"/>
  </r>
  <r>
    <n v="300"/>
    <x v="32"/>
    <s v="ILL126"/>
    <x v="0"/>
    <x v="4"/>
    <x v="19"/>
    <x v="0"/>
    <n v="13999"/>
    <n v="9659.31"/>
    <n v="0.2"/>
    <n v="1539.8900000000012"/>
  </r>
  <r>
    <n v="301"/>
    <x v="2"/>
    <s v="DFF871"/>
    <x v="1"/>
    <x v="2"/>
    <x v="13"/>
    <x v="0"/>
    <n v="599"/>
    <n v="455.24"/>
    <n v="0.15"/>
    <n v="53.909999999999968"/>
  </r>
  <r>
    <n v="302"/>
    <x v="111"/>
    <s v="DCF970"/>
    <x v="1"/>
    <x v="1"/>
    <x v="53"/>
    <x v="2"/>
    <n v="409"/>
    <n v="237.21999999999997"/>
    <n v="0"/>
    <n v="171.78000000000003"/>
  </r>
  <r>
    <n v="303"/>
    <x v="112"/>
    <s v="VVS410"/>
    <x v="2"/>
    <x v="3"/>
    <x v="4"/>
    <x v="0"/>
    <n v="259"/>
    <n v="220.15"/>
    <n v="0"/>
    <n v="38.849999999999994"/>
  </r>
  <r>
    <n v="304"/>
    <x v="15"/>
    <s v="ILL743"/>
    <x v="0"/>
    <x v="4"/>
    <x v="31"/>
    <x v="0"/>
    <n v="6999"/>
    <n v="4829.3099999999995"/>
    <n v="0.15"/>
    <n v="1119.8400000000001"/>
  </r>
  <r>
    <n v="305"/>
    <x v="14"/>
    <s v="VVS410"/>
    <x v="2"/>
    <x v="3"/>
    <x v="4"/>
    <x v="0"/>
    <n v="259"/>
    <n v="220.15"/>
    <n v="0.1"/>
    <n v="12.949999999999989"/>
  </r>
  <r>
    <n v="306"/>
    <x v="3"/>
    <s v="DEE236"/>
    <x v="1"/>
    <x v="6"/>
    <x v="65"/>
    <x v="0"/>
    <n v="4599"/>
    <n v="3817.1699999999996"/>
    <n v="0.15"/>
    <n v="91.980000000000473"/>
  </r>
  <r>
    <n v="307"/>
    <x v="9"/>
    <s v="DFF967"/>
    <x v="1"/>
    <x v="2"/>
    <x v="47"/>
    <x v="0"/>
    <n v="999"/>
    <n v="569.42999999999995"/>
    <n v="0.15"/>
    <n v="279.72000000000003"/>
  </r>
  <r>
    <n v="308"/>
    <x v="113"/>
    <s v="IPP756"/>
    <x v="0"/>
    <x v="0"/>
    <x v="0"/>
    <x v="0"/>
    <n v="1299"/>
    <n v="727.44"/>
    <n v="0"/>
    <n v="571.55999999999995"/>
  </r>
  <r>
    <n v="309"/>
    <x v="72"/>
    <s v="DEE703"/>
    <x v="1"/>
    <x v="6"/>
    <x v="29"/>
    <x v="0"/>
    <n v="3999"/>
    <n v="1399.6499999999999"/>
    <n v="0"/>
    <n v="2599.3500000000004"/>
  </r>
  <r>
    <n v="310"/>
    <x v="21"/>
    <s v="DCF374"/>
    <x v="1"/>
    <x v="1"/>
    <x v="5"/>
    <x v="2"/>
    <n v="1199"/>
    <n v="887.26"/>
    <n v="0.15"/>
    <n v="131.88999999999999"/>
  </r>
  <r>
    <n v="311"/>
    <x v="31"/>
    <s v="DEE691"/>
    <x v="1"/>
    <x v="6"/>
    <x v="43"/>
    <x v="0"/>
    <n v="7999"/>
    <n v="5039.37"/>
    <n v="0.15"/>
    <n v="1759.7799999999997"/>
  </r>
  <r>
    <n v="312"/>
    <x v="40"/>
    <s v="VVV347"/>
    <x v="2"/>
    <x v="3"/>
    <x v="26"/>
    <x v="0"/>
    <n v="499"/>
    <n v="174.64999999999998"/>
    <n v="0.15"/>
    <n v="249.5"/>
  </r>
  <r>
    <n v="313"/>
    <x v="13"/>
    <s v="DFF871"/>
    <x v="1"/>
    <x v="2"/>
    <x v="13"/>
    <x v="0"/>
    <n v="599"/>
    <n v="455.24"/>
    <n v="0"/>
    <n v="143.76"/>
  </r>
  <r>
    <n v="314"/>
    <x v="114"/>
    <s v="DCF374"/>
    <x v="1"/>
    <x v="1"/>
    <x v="5"/>
    <x v="2"/>
    <n v="1199"/>
    <n v="887.26"/>
    <n v="0"/>
    <n v="311.74"/>
  </r>
  <r>
    <n v="315"/>
    <x v="115"/>
    <s v="ILL126"/>
    <x v="0"/>
    <x v="4"/>
    <x v="19"/>
    <x v="0"/>
    <n v="13999"/>
    <n v="9659.31"/>
    <n v="0"/>
    <n v="4339.6900000000005"/>
  </r>
  <r>
    <n v="316"/>
    <x v="7"/>
    <s v="ILL482"/>
    <x v="0"/>
    <x v="4"/>
    <x v="58"/>
    <x v="0"/>
    <n v="8999"/>
    <n v="6839.24"/>
    <n v="0.15"/>
    <n v="809.90999999999985"/>
  </r>
  <r>
    <n v="317"/>
    <x v="4"/>
    <s v="DEE226"/>
    <x v="1"/>
    <x v="6"/>
    <x v="44"/>
    <x v="0"/>
    <n v="5999"/>
    <n v="3659.39"/>
    <n v="0.3"/>
    <n v="539.91000000000031"/>
  </r>
  <r>
    <n v="318"/>
    <x v="116"/>
    <s v="ILL723"/>
    <x v="0"/>
    <x v="4"/>
    <x v="57"/>
    <x v="0"/>
    <n v="2299"/>
    <n v="1218.47"/>
    <n v="0"/>
    <n v="1080.53"/>
  </r>
  <r>
    <n v="319"/>
    <x v="31"/>
    <s v="DCF374"/>
    <x v="1"/>
    <x v="1"/>
    <x v="5"/>
    <x v="2"/>
    <n v="1199"/>
    <n v="887.26"/>
    <n v="0.15"/>
    <n v="131.88999999999999"/>
  </r>
  <r>
    <n v="320"/>
    <x v="4"/>
    <s v="ILL267"/>
    <x v="0"/>
    <x v="4"/>
    <x v="54"/>
    <x v="0"/>
    <n v="7599"/>
    <n v="2735.64"/>
    <n v="0.3"/>
    <n v="2583.6599999999994"/>
  </r>
  <r>
    <n v="321"/>
    <x v="35"/>
    <s v="VVV282"/>
    <x v="2"/>
    <x v="3"/>
    <x v="3"/>
    <x v="0"/>
    <n v="1499"/>
    <n v="794.47"/>
    <n v="0.2"/>
    <n v="404.73"/>
  </r>
  <r>
    <n v="322"/>
    <x v="21"/>
    <s v="DCF212"/>
    <x v="1"/>
    <x v="1"/>
    <x v="9"/>
    <x v="3"/>
    <n v="1149"/>
    <n v="896.22"/>
    <n v="0.15"/>
    <n v="80.42999999999995"/>
  </r>
  <r>
    <n v="323"/>
    <x v="117"/>
    <s v="DFF542"/>
    <x v="1"/>
    <x v="2"/>
    <x v="2"/>
    <x v="0"/>
    <n v="359"/>
    <n v="244.12"/>
    <n v="0"/>
    <n v="114.88"/>
  </r>
  <r>
    <n v="324"/>
    <x v="118"/>
    <s v="DCF212"/>
    <x v="1"/>
    <x v="1"/>
    <x v="9"/>
    <x v="3"/>
    <n v="1149"/>
    <n v="896.22"/>
    <n v="0"/>
    <n v="252.77999999999997"/>
  </r>
  <r>
    <n v="325"/>
    <x v="35"/>
    <s v="DCF212"/>
    <x v="1"/>
    <x v="1"/>
    <x v="9"/>
    <x v="3"/>
    <n v="1149"/>
    <n v="896.22"/>
    <n v="0.2"/>
    <n v="22.980000000000018"/>
  </r>
  <r>
    <n v="326"/>
    <x v="37"/>
    <s v="IPP756"/>
    <x v="0"/>
    <x v="0"/>
    <x v="0"/>
    <x v="0"/>
    <n v="1299"/>
    <n v="727.44"/>
    <n v="0"/>
    <n v="571.55999999999995"/>
  </r>
  <r>
    <n v="327"/>
    <x v="0"/>
    <s v="IPP756"/>
    <x v="0"/>
    <x v="0"/>
    <x v="0"/>
    <x v="0"/>
    <n v="1299"/>
    <n v="727.44"/>
    <n v="0.2"/>
    <n v="311.76"/>
  </r>
  <r>
    <n v="328"/>
    <x v="119"/>
    <s v="IPP756"/>
    <x v="0"/>
    <x v="0"/>
    <x v="0"/>
    <x v="0"/>
    <n v="1299"/>
    <n v="727.44"/>
    <n v="0"/>
    <n v="571.55999999999995"/>
  </r>
  <r>
    <n v="329"/>
    <x v="5"/>
    <s v="DCF555"/>
    <x v="1"/>
    <x v="1"/>
    <x v="23"/>
    <x v="4"/>
    <n v="799"/>
    <n v="535.33000000000004"/>
    <n v="0.15"/>
    <n v="143.81999999999994"/>
  </r>
  <r>
    <n v="330"/>
    <x v="120"/>
    <s v="DEE703"/>
    <x v="1"/>
    <x v="6"/>
    <x v="29"/>
    <x v="0"/>
    <n v="3999"/>
    <n v="1399.6499999999999"/>
    <n v="0"/>
    <n v="2599.3500000000004"/>
  </r>
  <r>
    <n v="331"/>
    <x v="121"/>
    <s v="DFT242"/>
    <x v="1"/>
    <x v="2"/>
    <x v="39"/>
    <x v="0"/>
    <n v="259"/>
    <n v="111.37"/>
    <n v="0"/>
    <n v="147.63"/>
  </r>
  <r>
    <n v="332"/>
    <x v="2"/>
    <s v="ILL743"/>
    <x v="0"/>
    <x v="4"/>
    <x v="31"/>
    <x v="0"/>
    <n v="6999"/>
    <n v="4829.3099999999995"/>
    <n v="0.15"/>
    <n v="1119.8400000000001"/>
  </r>
  <r>
    <n v="333"/>
    <x v="5"/>
    <s v="DEE691"/>
    <x v="1"/>
    <x v="6"/>
    <x v="43"/>
    <x v="0"/>
    <n v="7999"/>
    <n v="5039.37"/>
    <n v="0.15"/>
    <n v="1759.7799999999997"/>
  </r>
  <r>
    <n v="334"/>
    <x v="95"/>
    <s v="VVS410"/>
    <x v="2"/>
    <x v="3"/>
    <x v="4"/>
    <x v="0"/>
    <n v="259"/>
    <n v="220.15"/>
    <n v="0.2"/>
    <n v="-12.949999999999989"/>
  </r>
  <r>
    <n v="335"/>
    <x v="26"/>
    <s v="DFF542"/>
    <x v="1"/>
    <x v="2"/>
    <x v="2"/>
    <x v="0"/>
    <n v="359"/>
    <n v="244.12"/>
    <n v="0.15"/>
    <n v="61.029999999999973"/>
  </r>
  <r>
    <n v="336"/>
    <x v="32"/>
    <s v="DCF374"/>
    <x v="1"/>
    <x v="1"/>
    <x v="5"/>
    <x v="2"/>
    <n v="1199"/>
    <n v="887.26"/>
    <n v="0.2"/>
    <n v="71.940000000000055"/>
  </r>
  <r>
    <n v="337"/>
    <x v="16"/>
    <s v="DCF212"/>
    <x v="1"/>
    <x v="1"/>
    <x v="9"/>
    <x v="3"/>
    <n v="1149"/>
    <n v="896.22"/>
    <n v="0.2"/>
    <n v="22.980000000000018"/>
  </r>
  <r>
    <n v="338"/>
    <x v="1"/>
    <s v="VPÁ655"/>
    <x v="2"/>
    <x v="5"/>
    <x v="18"/>
    <x v="0"/>
    <n v="799"/>
    <n v="679.15"/>
    <n v="0"/>
    <n v="119.85000000000002"/>
  </r>
  <r>
    <n v="339"/>
    <x v="122"/>
    <s v="DEE703"/>
    <x v="1"/>
    <x v="6"/>
    <x v="29"/>
    <x v="0"/>
    <n v="3999"/>
    <n v="1399.6499999999999"/>
    <n v="0"/>
    <n v="2599.3500000000004"/>
  </r>
  <r>
    <n v="340"/>
    <x v="5"/>
    <s v="DCF374"/>
    <x v="1"/>
    <x v="1"/>
    <x v="5"/>
    <x v="2"/>
    <n v="1199"/>
    <n v="887.26"/>
    <n v="0.15"/>
    <n v="131.88999999999999"/>
  </r>
  <r>
    <n v="341"/>
    <x v="123"/>
    <s v="IPP653"/>
    <x v="0"/>
    <x v="0"/>
    <x v="24"/>
    <x v="0"/>
    <n v="2599"/>
    <n v="1819.3"/>
    <n v="0"/>
    <n v="779.7"/>
  </r>
  <r>
    <n v="342"/>
    <x v="124"/>
    <s v="DEE226"/>
    <x v="1"/>
    <x v="6"/>
    <x v="44"/>
    <x v="0"/>
    <n v="5999"/>
    <n v="3659.39"/>
    <n v="0"/>
    <n v="2339.61"/>
  </r>
  <r>
    <n v="343"/>
    <x v="16"/>
    <s v="IPP756"/>
    <x v="0"/>
    <x v="0"/>
    <x v="0"/>
    <x v="0"/>
    <n v="1299"/>
    <n v="727.44"/>
    <n v="0.2"/>
    <n v="311.76"/>
  </r>
  <r>
    <n v="344"/>
    <x v="14"/>
    <s v="DCF212"/>
    <x v="1"/>
    <x v="1"/>
    <x v="9"/>
    <x v="3"/>
    <n v="1149"/>
    <n v="896.22"/>
    <n v="0.1"/>
    <n v="137.88000000000011"/>
  </r>
  <r>
    <n v="345"/>
    <x v="10"/>
    <s v="DCF212"/>
    <x v="1"/>
    <x v="1"/>
    <x v="9"/>
    <x v="3"/>
    <n v="1149"/>
    <n v="896.22"/>
    <n v="0.2"/>
    <n v="22.980000000000018"/>
  </r>
  <r>
    <n v="346"/>
    <x v="58"/>
    <s v="DCF374"/>
    <x v="1"/>
    <x v="1"/>
    <x v="5"/>
    <x v="2"/>
    <n v="1199"/>
    <n v="887.26"/>
    <n v="0.2"/>
    <n v="71.940000000000055"/>
  </r>
  <r>
    <n v="347"/>
    <x v="15"/>
    <s v="DEE703"/>
    <x v="1"/>
    <x v="6"/>
    <x v="29"/>
    <x v="0"/>
    <n v="3999"/>
    <n v="1399.6499999999999"/>
    <n v="0.15"/>
    <n v="1999.5000000000002"/>
  </r>
  <r>
    <n v="348"/>
    <x v="125"/>
    <s v="DCF212"/>
    <x v="1"/>
    <x v="1"/>
    <x v="9"/>
    <x v="3"/>
    <n v="1149"/>
    <n v="896.22"/>
    <n v="0"/>
    <n v="252.77999999999997"/>
  </r>
  <r>
    <n v="349"/>
    <x v="126"/>
    <s v="VPP362"/>
    <x v="2"/>
    <x v="5"/>
    <x v="10"/>
    <x v="0"/>
    <n v="699"/>
    <n v="531.24"/>
    <n v="0"/>
    <n v="167.76"/>
  </r>
  <r>
    <n v="350"/>
    <x v="39"/>
    <s v="VVV282"/>
    <x v="2"/>
    <x v="3"/>
    <x v="3"/>
    <x v="0"/>
    <n v="1499"/>
    <n v="794.47"/>
    <n v="0.2"/>
    <n v="404.73"/>
  </r>
  <r>
    <n v="351"/>
    <x v="16"/>
    <s v="IPP653"/>
    <x v="0"/>
    <x v="0"/>
    <x v="24"/>
    <x v="0"/>
    <n v="2599"/>
    <n v="1819.3"/>
    <n v="0.2"/>
    <n v="259.90000000000032"/>
  </r>
  <r>
    <n v="352"/>
    <x v="121"/>
    <s v="DCF212"/>
    <x v="1"/>
    <x v="1"/>
    <x v="9"/>
    <x v="3"/>
    <n v="1149"/>
    <n v="896.22"/>
    <n v="0"/>
    <n v="252.77999999999997"/>
  </r>
  <r>
    <n v="353"/>
    <x v="127"/>
    <s v="IPP756"/>
    <x v="0"/>
    <x v="0"/>
    <x v="0"/>
    <x v="0"/>
    <n v="1299"/>
    <n v="727.44"/>
    <n v="0"/>
    <n v="571.55999999999995"/>
  </r>
  <r>
    <n v="354"/>
    <x v="43"/>
    <s v="DCF544"/>
    <x v="1"/>
    <x v="1"/>
    <x v="27"/>
    <x v="5"/>
    <n v="1299"/>
    <n v="909.3"/>
    <n v="0"/>
    <n v="389.70000000000005"/>
  </r>
  <r>
    <n v="355"/>
    <x v="128"/>
    <s v="DCF212"/>
    <x v="1"/>
    <x v="1"/>
    <x v="9"/>
    <x v="3"/>
    <n v="1149"/>
    <n v="896.22"/>
    <n v="0"/>
    <n v="252.77999999999997"/>
  </r>
  <r>
    <n v="356"/>
    <x v="58"/>
    <s v="DCF555"/>
    <x v="1"/>
    <x v="1"/>
    <x v="23"/>
    <x v="4"/>
    <n v="799"/>
    <n v="535.33000000000004"/>
    <n v="0.2"/>
    <n v="103.87"/>
  </r>
  <r>
    <n v="357"/>
    <x v="20"/>
    <s v="VVV282"/>
    <x v="2"/>
    <x v="3"/>
    <x v="3"/>
    <x v="0"/>
    <n v="1499"/>
    <n v="794.47"/>
    <n v="0.15"/>
    <n v="479.67999999999984"/>
  </r>
  <r>
    <n v="358"/>
    <x v="3"/>
    <s v="VPP279"/>
    <x v="2"/>
    <x v="5"/>
    <x v="66"/>
    <x v="0"/>
    <n v="399"/>
    <n v="147.63"/>
    <n v="0.15"/>
    <n v="191.51999999999998"/>
  </r>
  <r>
    <n v="359"/>
    <x v="129"/>
    <s v="IPP756"/>
    <x v="0"/>
    <x v="0"/>
    <x v="0"/>
    <x v="0"/>
    <n v="1299"/>
    <n v="727.44"/>
    <n v="0"/>
    <n v="571.55999999999995"/>
  </r>
  <r>
    <n v="360"/>
    <x v="40"/>
    <s v="DEE703"/>
    <x v="1"/>
    <x v="6"/>
    <x v="29"/>
    <x v="0"/>
    <n v="3999"/>
    <n v="1399.6499999999999"/>
    <n v="0.15"/>
    <n v="1999.5000000000002"/>
  </r>
  <r>
    <n v="361"/>
    <x v="130"/>
    <s v="DCF212"/>
    <x v="1"/>
    <x v="1"/>
    <x v="9"/>
    <x v="3"/>
    <n v="1149"/>
    <n v="896.22"/>
    <n v="0"/>
    <n v="252.77999999999997"/>
  </r>
  <r>
    <n v="362"/>
    <x v="35"/>
    <s v="DEE790"/>
    <x v="1"/>
    <x v="6"/>
    <x v="55"/>
    <x v="0"/>
    <n v="14399"/>
    <n v="11375.210000000001"/>
    <n v="0.2"/>
    <n v="143.98999999999978"/>
  </r>
  <r>
    <n v="363"/>
    <x v="21"/>
    <s v="DCF374"/>
    <x v="1"/>
    <x v="1"/>
    <x v="5"/>
    <x v="2"/>
    <n v="1199"/>
    <n v="887.26"/>
    <n v="0.15"/>
    <n v="131.88999999999999"/>
  </r>
  <r>
    <n v="364"/>
    <x v="23"/>
    <s v="DCF374"/>
    <x v="1"/>
    <x v="1"/>
    <x v="5"/>
    <x v="2"/>
    <n v="1199"/>
    <n v="887.26"/>
    <n v="0"/>
    <n v="311.74"/>
  </r>
  <r>
    <n v="365"/>
    <x v="129"/>
    <s v="VVV282"/>
    <x v="2"/>
    <x v="3"/>
    <x v="3"/>
    <x v="0"/>
    <n v="1499"/>
    <n v="794.47"/>
    <n v="0"/>
    <n v="704.53"/>
  </r>
  <r>
    <n v="366"/>
    <x v="131"/>
    <s v="VPP279"/>
    <x v="2"/>
    <x v="5"/>
    <x v="66"/>
    <x v="0"/>
    <n v="399"/>
    <n v="147.63"/>
    <n v="0"/>
    <n v="251.37"/>
  </r>
  <r>
    <n v="367"/>
    <x v="5"/>
    <s v="DEE691"/>
    <x v="1"/>
    <x v="6"/>
    <x v="43"/>
    <x v="0"/>
    <n v="7999"/>
    <n v="5039.37"/>
    <n v="0.15"/>
    <n v="1759.7799999999997"/>
  </r>
  <r>
    <n v="368"/>
    <x v="39"/>
    <s v="DFF871"/>
    <x v="1"/>
    <x v="2"/>
    <x v="13"/>
    <x v="0"/>
    <n v="599"/>
    <n v="455.24"/>
    <n v="0.2"/>
    <n v="23.960000000000036"/>
  </r>
  <r>
    <n v="369"/>
    <x v="32"/>
    <s v="DCF495"/>
    <x v="1"/>
    <x v="1"/>
    <x v="56"/>
    <x v="3"/>
    <n v="999"/>
    <n v="809.19"/>
    <n v="0.2"/>
    <n v="-9.9900000000000091"/>
  </r>
  <r>
    <n v="370"/>
    <x v="4"/>
    <s v="DCF212"/>
    <x v="1"/>
    <x v="1"/>
    <x v="9"/>
    <x v="3"/>
    <n v="1149"/>
    <n v="896.22"/>
    <n v="0.3"/>
    <n v="-91.920000000000073"/>
  </r>
  <r>
    <n v="371"/>
    <x v="4"/>
    <s v="DFF862"/>
    <x v="1"/>
    <x v="2"/>
    <x v="67"/>
    <x v="0"/>
    <n v="1299"/>
    <n v="1065.1799999999998"/>
    <n v="0.3"/>
    <n v="-155.87999999999988"/>
  </r>
  <r>
    <n v="372"/>
    <x v="4"/>
    <s v="DCF374"/>
    <x v="1"/>
    <x v="1"/>
    <x v="5"/>
    <x v="2"/>
    <n v="1199"/>
    <n v="887.26"/>
    <n v="0.3"/>
    <n v="-47.960000000000036"/>
  </r>
  <r>
    <n v="373"/>
    <x v="35"/>
    <s v="VVV282"/>
    <x v="2"/>
    <x v="3"/>
    <x v="3"/>
    <x v="0"/>
    <n v="1499"/>
    <n v="794.47"/>
    <n v="0.2"/>
    <n v="404.73"/>
  </r>
  <r>
    <n v="374"/>
    <x v="103"/>
    <s v="DCF859"/>
    <x v="1"/>
    <x v="1"/>
    <x v="68"/>
    <x v="2"/>
    <n v="899"/>
    <n v="368.59"/>
    <n v="0"/>
    <n v="530.41000000000008"/>
  </r>
  <r>
    <n v="375"/>
    <x v="132"/>
    <s v="VVS510"/>
    <x v="2"/>
    <x v="3"/>
    <x v="49"/>
    <x v="0"/>
    <n v="299"/>
    <n v="179.4"/>
    <n v="0"/>
    <n v="119.6"/>
  </r>
  <r>
    <n v="376"/>
    <x v="133"/>
    <s v="DCF212"/>
    <x v="1"/>
    <x v="1"/>
    <x v="9"/>
    <x v="3"/>
    <n v="1149"/>
    <n v="896.22"/>
    <n v="0"/>
    <n v="252.77999999999997"/>
  </r>
  <r>
    <n v="377"/>
    <x v="117"/>
    <s v="DFF871"/>
    <x v="1"/>
    <x v="2"/>
    <x v="13"/>
    <x v="0"/>
    <n v="599"/>
    <n v="455.24"/>
    <n v="0"/>
    <n v="143.76"/>
  </r>
  <r>
    <n v="378"/>
    <x v="39"/>
    <s v="DCF374"/>
    <x v="1"/>
    <x v="1"/>
    <x v="5"/>
    <x v="2"/>
    <n v="1199"/>
    <n v="887.26"/>
    <n v="0.2"/>
    <n v="71.940000000000055"/>
  </r>
  <r>
    <n v="379"/>
    <x v="39"/>
    <s v="DCF374"/>
    <x v="1"/>
    <x v="1"/>
    <x v="5"/>
    <x v="2"/>
    <n v="1199"/>
    <n v="887.26"/>
    <n v="0.2"/>
    <n v="71.940000000000055"/>
  </r>
  <r>
    <n v="380"/>
    <x v="2"/>
    <s v="DFF871"/>
    <x v="1"/>
    <x v="2"/>
    <x v="13"/>
    <x v="0"/>
    <n v="599"/>
    <n v="455.24"/>
    <n v="0.15"/>
    <n v="53.909999999999968"/>
  </r>
  <r>
    <n v="381"/>
    <x v="71"/>
    <s v="DFF542"/>
    <x v="1"/>
    <x v="2"/>
    <x v="2"/>
    <x v="0"/>
    <n v="359"/>
    <n v="244.12"/>
    <n v="0.1"/>
    <n v="78.980000000000018"/>
  </r>
  <r>
    <n v="382"/>
    <x v="2"/>
    <s v="VVV282"/>
    <x v="2"/>
    <x v="3"/>
    <x v="3"/>
    <x v="0"/>
    <n v="1499"/>
    <n v="794.47"/>
    <n v="0.15"/>
    <n v="479.67999999999984"/>
  </r>
  <r>
    <n v="383"/>
    <x v="35"/>
    <s v="DCF370"/>
    <x v="1"/>
    <x v="1"/>
    <x v="69"/>
    <x v="6"/>
    <n v="1149"/>
    <n v="459.6"/>
    <n v="0.2"/>
    <n v="459.6"/>
  </r>
  <r>
    <n v="384"/>
    <x v="134"/>
    <s v="VVV202"/>
    <x v="2"/>
    <x v="3"/>
    <x v="70"/>
    <x v="0"/>
    <n v="339"/>
    <n v="274.59000000000003"/>
    <n v="0"/>
    <n v="64.409999999999968"/>
  </r>
  <r>
    <n v="385"/>
    <x v="135"/>
    <s v="VVV347"/>
    <x v="2"/>
    <x v="3"/>
    <x v="26"/>
    <x v="0"/>
    <n v="499"/>
    <n v="174.64999999999998"/>
    <n v="0"/>
    <n v="324.35000000000002"/>
  </r>
  <r>
    <n v="386"/>
    <x v="5"/>
    <s v="DCF212"/>
    <x v="1"/>
    <x v="1"/>
    <x v="9"/>
    <x v="3"/>
    <n v="1149"/>
    <n v="896.22"/>
    <n v="0.15"/>
    <n v="80.42999999999995"/>
  </r>
  <r>
    <n v="387"/>
    <x v="119"/>
    <s v="ILL126"/>
    <x v="0"/>
    <x v="4"/>
    <x v="19"/>
    <x v="0"/>
    <n v="13999"/>
    <n v="9659.31"/>
    <n v="0"/>
    <n v="4339.6900000000005"/>
  </r>
  <r>
    <n v="388"/>
    <x v="15"/>
    <s v="DCF544"/>
    <x v="1"/>
    <x v="1"/>
    <x v="27"/>
    <x v="5"/>
    <n v="1299"/>
    <n v="909.3"/>
    <n v="0.15"/>
    <n v="194.84999999999991"/>
  </r>
  <r>
    <n v="389"/>
    <x v="136"/>
    <s v="DEE691"/>
    <x v="1"/>
    <x v="6"/>
    <x v="43"/>
    <x v="0"/>
    <n v="7999"/>
    <n v="5039.37"/>
    <n v="0"/>
    <n v="2959.63"/>
  </r>
  <r>
    <n v="390"/>
    <x v="16"/>
    <s v="DEE811"/>
    <x v="1"/>
    <x v="6"/>
    <x v="48"/>
    <x v="0"/>
    <n v="11999"/>
    <n v="6119.49"/>
    <n v="0.2"/>
    <n v="3479.7100000000009"/>
  </r>
  <r>
    <n v="391"/>
    <x v="15"/>
    <s v="VVV347"/>
    <x v="2"/>
    <x v="3"/>
    <x v="26"/>
    <x v="0"/>
    <n v="499"/>
    <n v="174.64999999999998"/>
    <n v="0.15"/>
    <n v="249.5"/>
  </r>
  <r>
    <n v="392"/>
    <x v="137"/>
    <s v="DCF341"/>
    <x v="1"/>
    <x v="1"/>
    <x v="1"/>
    <x v="1"/>
    <n v="1149"/>
    <n v="792.81"/>
    <n v="0"/>
    <n v="356.19000000000005"/>
  </r>
  <r>
    <n v="393"/>
    <x v="138"/>
    <s v="DFF542"/>
    <x v="1"/>
    <x v="2"/>
    <x v="2"/>
    <x v="0"/>
    <n v="359"/>
    <n v="244.12"/>
    <n v="0"/>
    <n v="114.88"/>
  </r>
  <r>
    <n v="394"/>
    <x v="21"/>
    <s v="DCF212"/>
    <x v="1"/>
    <x v="1"/>
    <x v="9"/>
    <x v="3"/>
    <n v="1149"/>
    <n v="896.22"/>
    <n v="0.15"/>
    <n v="80.42999999999995"/>
  </r>
  <r>
    <n v="395"/>
    <x v="71"/>
    <s v="DCF212"/>
    <x v="1"/>
    <x v="1"/>
    <x v="9"/>
    <x v="3"/>
    <n v="1149"/>
    <n v="896.22"/>
    <n v="0.1"/>
    <n v="137.88000000000011"/>
  </r>
  <r>
    <n v="396"/>
    <x v="139"/>
    <s v="DFF967"/>
    <x v="1"/>
    <x v="2"/>
    <x v="47"/>
    <x v="0"/>
    <n v="999"/>
    <n v="569.42999999999995"/>
    <n v="0"/>
    <n v="429.57000000000005"/>
  </r>
  <r>
    <n v="397"/>
    <x v="81"/>
    <s v="DCF212"/>
    <x v="1"/>
    <x v="1"/>
    <x v="9"/>
    <x v="3"/>
    <n v="1149"/>
    <n v="896.22"/>
    <n v="0"/>
    <n v="252.77999999999997"/>
  </r>
  <r>
    <n v="398"/>
    <x v="4"/>
    <s v="DEE703"/>
    <x v="1"/>
    <x v="6"/>
    <x v="29"/>
    <x v="0"/>
    <n v="3999"/>
    <n v="1399.6499999999999"/>
    <n v="0.3"/>
    <n v="1399.6499999999999"/>
  </r>
  <r>
    <n v="399"/>
    <x v="40"/>
    <s v="VPP185"/>
    <x v="2"/>
    <x v="5"/>
    <x v="22"/>
    <x v="0"/>
    <n v="449"/>
    <n v="161.63999999999999"/>
    <n v="0.15"/>
    <n v="220.01"/>
  </r>
  <r>
    <n v="400"/>
    <x v="16"/>
    <s v="DCF374"/>
    <x v="1"/>
    <x v="1"/>
    <x v="5"/>
    <x v="2"/>
    <n v="1199"/>
    <n v="887.26"/>
    <n v="0.2"/>
    <n v="71.940000000000055"/>
  </r>
  <r>
    <n v="401"/>
    <x v="67"/>
    <s v="DFR332"/>
    <x v="1"/>
    <x v="2"/>
    <x v="64"/>
    <x v="0"/>
    <n v="399"/>
    <n v="239.39999999999998"/>
    <n v="0"/>
    <n v="159.60000000000002"/>
  </r>
  <r>
    <n v="402"/>
    <x v="140"/>
    <s v="VPP894"/>
    <x v="2"/>
    <x v="5"/>
    <x v="71"/>
    <x v="0"/>
    <n v="799"/>
    <n v="679.15"/>
    <n v="0"/>
    <n v="119.85000000000002"/>
  </r>
  <r>
    <n v="403"/>
    <x v="20"/>
    <s v="ILL267"/>
    <x v="0"/>
    <x v="4"/>
    <x v="54"/>
    <x v="0"/>
    <n v="7599"/>
    <n v="2735.64"/>
    <n v="0.15"/>
    <n v="3723.5099999999998"/>
  </r>
  <r>
    <n v="404"/>
    <x v="39"/>
    <s v="DCF374"/>
    <x v="1"/>
    <x v="1"/>
    <x v="5"/>
    <x v="2"/>
    <n v="1199"/>
    <n v="887.26"/>
    <n v="0.2"/>
    <n v="71.940000000000055"/>
  </r>
  <r>
    <n v="405"/>
    <x v="141"/>
    <s v="DFM730"/>
    <x v="1"/>
    <x v="2"/>
    <x v="42"/>
    <x v="0"/>
    <n v="459"/>
    <n v="325.89"/>
    <n v="0"/>
    <n v="133.11000000000001"/>
  </r>
  <r>
    <n v="406"/>
    <x v="142"/>
    <s v="VPÁ655"/>
    <x v="2"/>
    <x v="5"/>
    <x v="18"/>
    <x v="0"/>
    <n v="799"/>
    <n v="679.15"/>
    <n v="0"/>
    <n v="119.85000000000002"/>
  </r>
  <r>
    <n v="407"/>
    <x v="143"/>
    <s v="DCF212"/>
    <x v="1"/>
    <x v="1"/>
    <x v="9"/>
    <x v="3"/>
    <n v="1149"/>
    <n v="896.22"/>
    <n v="0"/>
    <n v="252.77999999999997"/>
  </r>
  <r>
    <n v="408"/>
    <x v="40"/>
    <s v="IPP653"/>
    <x v="0"/>
    <x v="0"/>
    <x v="24"/>
    <x v="0"/>
    <n v="2599"/>
    <n v="1819.3"/>
    <n v="0.15"/>
    <n v="389.85000000000014"/>
  </r>
  <r>
    <n v="409"/>
    <x v="3"/>
    <s v="DCF555"/>
    <x v="1"/>
    <x v="1"/>
    <x v="23"/>
    <x v="4"/>
    <n v="799"/>
    <n v="535.33000000000004"/>
    <n v="0.15"/>
    <n v="143.81999999999994"/>
  </r>
  <r>
    <n v="410"/>
    <x v="144"/>
    <s v="VVV282"/>
    <x v="2"/>
    <x v="3"/>
    <x v="3"/>
    <x v="0"/>
    <n v="1499"/>
    <n v="794.47"/>
    <n v="0"/>
    <n v="704.53"/>
  </r>
  <r>
    <n v="411"/>
    <x v="21"/>
    <s v="VVV520"/>
    <x v="2"/>
    <x v="3"/>
    <x v="11"/>
    <x v="0"/>
    <n v="699"/>
    <n v="482.30999999999995"/>
    <n v="0.15"/>
    <n v="111.84000000000003"/>
  </r>
  <r>
    <n v="412"/>
    <x v="8"/>
    <s v="DFF862"/>
    <x v="1"/>
    <x v="2"/>
    <x v="67"/>
    <x v="0"/>
    <n v="1299"/>
    <n v="1065.1799999999998"/>
    <n v="0.15"/>
    <n v="38.970000000000027"/>
  </r>
  <r>
    <n v="413"/>
    <x v="4"/>
    <s v="DFF871"/>
    <x v="1"/>
    <x v="2"/>
    <x v="13"/>
    <x v="0"/>
    <n v="599"/>
    <n v="455.24"/>
    <n v="0.3"/>
    <n v="-35.940000000000055"/>
  </r>
  <r>
    <n v="414"/>
    <x v="119"/>
    <s v="DFS340"/>
    <x v="1"/>
    <x v="2"/>
    <x v="46"/>
    <x v="0"/>
    <n v="169"/>
    <n v="130.13"/>
    <n v="0"/>
    <n v="38.870000000000005"/>
  </r>
  <r>
    <n v="415"/>
    <x v="0"/>
    <s v="ILL743"/>
    <x v="0"/>
    <x v="4"/>
    <x v="31"/>
    <x v="0"/>
    <n v="6999"/>
    <n v="4829.3099999999995"/>
    <n v="0.2"/>
    <n v="769.89000000000124"/>
  </r>
  <r>
    <n v="416"/>
    <x v="14"/>
    <s v="DCF970"/>
    <x v="1"/>
    <x v="1"/>
    <x v="53"/>
    <x v="2"/>
    <n v="409"/>
    <n v="237.21999999999997"/>
    <n v="0.1"/>
    <n v="130.88000000000005"/>
  </r>
  <r>
    <n v="417"/>
    <x v="7"/>
    <s v="DEE703"/>
    <x v="1"/>
    <x v="6"/>
    <x v="29"/>
    <x v="0"/>
    <n v="3999"/>
    <n v="1399.6499999999999"/>
    <n v="0.15"/>
    <n v="1999.5000000000002"/>
  </r>
  <r>
    <n v="418"/>
    <x v="145"/>
    <s v="DFF542"/>
    <x v="1"/>
    <x v="2"/>
    <x v="2"/>
    <x v="0"/>
    <n v="359"/>
    <n v="244.12"/>
    <n v="0"/>
    <n v="114.88"/>
  </r>
  <r>
    <n v="419"/>
    <x v="3"/>
    <s v="DCF141"/>
    <x v="1"/>
    <x v="1"/>
    <x v="21"/>
    <x v="4"/>
    <n v="199"/>
    <n v="81.589999999999989"/>
    <n v="0.15"/>
    <n v="87.560000000000016"/>
  </r>
  <r>
    <n v="420"/>
    <x v="116"/>
    <s v="DCF970"/>
    <x v="1"/>
    <x v="1"/>
    <x v="53"/>
    <x v="2"/>
    <n v="409"/>
    <n v="237.21999999999997"/>
    <n v="0"/>
    <n v="171.78000000000003"/>
  </r>
  <r>
    <n v="421"/>
    <x v="146"/>
    <s v="DFF542"/>
    <x v="1"/>
    <x v="2"/>
    <x v="2"/>
    <x v="0"/>
    <n v="359"/>
    <n v="244.12"/>
    <n v="0"/>
    <n v="114.88"/>
  </r>
  <r>
    <n v="422"/>
    <x v="36"/>
    <s v="DCF770"/>
    <x v="1"/>
    <x v="1"/>
    <x v="37"/>
    <x v="2"/>
    <n v="899"/>
    <n v="440.51"/>
    <n v="0"/>
    <n v="458.49"/>
  </r>
  <r>
    <n v="423"/>
    <x v="147"/>
    <s v="DFF542"/>
    <x v="1"/>
    <x v="2"/>
    <x v="2"/>
    <x v="0"/>
    <n v="359"/>
    <n v="244.12"/>
    <n v="0"/>
    <n v="114.88"/>
  </r>
  <r>
    <n v="424"/>
    <x v="148"/>
    <s v="DEE703"/>
    <x v="1"/>
    <x v="6"/>
    <x v="29"/>
    <x v="0"/>
    <n v="3999"/>
    <n v="1399.6499999999999"/>
    <n v="0"/>
    <n v="2599.3500000000004"/>
  </r>
  <r>
    <n v="425"/>
    <x v="149"/>
    <s v="ILL126"/>
    <x v="0"/>
    <x v="4"/>
    <x v="19"/>
    <x v="0"/>
    <n v="13999"/>
    <n v="9659.31"/>
    <n v="0"/>
    <n v="4339.6900000000005"/>
  </r>
  <r>
    <n v="426"/>
    <x v="35"/>
    <s v="DFF542"/>
    <x v="1"/>
    <x v="2"/>
    <x v="2"/>
    <x v="0"/>
    <n v="359"/>
    <n v="244.12"/>
    <n v="0.2"/>
    <n v="43.079999999999984"/>
  </r>
  <r>
    <n v="427"/>
    <x v="150"/>
    <s v="DFF871"/>
    <x v="1"/>
    <x v="2"/>
    <x v="13"/>
    <x v="0"/>
    <n v="599"/>
    <n v="455.24"/>
    <n v="0"/>
    <n v="143.76"/>
  </r>
  <r>
    <n v="428"/>
    <x v="8"/>
    <s v="DCF341"/>
    <x v="1"/>
    <x v="1"/>
    <x v="1"/>
    <x v="1"/>
    <n v="1149"/>
    <n v="792.81"/>
    <n v="0.15"/>
    <n v="183.84000000000003"/>
  </r>
  <r>
    <n v="429"/>
    <x v="16"/>
    <s v="DCF212"/>
    <x v="1"/>
    <x v="1"/>
    <x v="9"/>
    <x v="3"/>
    <n v="1149"/>
    <n v="896.22"/>
    <n v="0.2"/>
    <n v="22.980000000000018"/>
  </r>
  <r>
    <n v="430"/>
    <x v="35"/>
    <s v="DEE703"/>
    <x v="1"/>
    <x v="6"/>
    <x v="29"/>
    <x v="0"/>
    <n v="3999"/>
    <n v="1399.6499999999999"/>
    <n v="0.2"/>
    <n v="1799.5500000000004"/>
  </r>
  <r>
    <n v="431"/>
    <x v="151"/>
    <s v="ILL126"/>
    <x v="0"/>
    <x v="4"/>
    <x v="19"/>
    <x v="0"/>
    <n v="13999"/>
    <n v="9659.31"/>
    <n v="0"/>
    <n v="4339.6900000000005"/>
  </r>
  <r>
    <n v="432"/>
    <x v="152"/>
    <s v="VPÁ655"/>
    <x v="2"/>
    <x v="5"/>
    <x v="18"/>
    <x v="0"/>
    <n v="799"/>
    <n v="679.15"/>
    <n v="0"/>
    <n v="119.85000000000002"/>
  </r>
  <r>
    <n v="433"/>
    <x v="33"/>
    <s v="DCF374"/>
    <x v="1"/>
    <x v="1"/>
    <x v="5"/>
    <x v="2"/>
    <n v="1199"/>
    <n v="887.26"/>
    <n v="0"/>
    <n v="311.74"/>
  </r>
  <r>
    <n v="434"/>
    <x v="40"/>
    <s v="DCF341"/>
    <x v="1"/>
    <x v="1"/>
    <x v="1"/>
    <x v="1"/>
    <n v="1149"/>
    <n v="792.81"/>
    <n v="0.15"/>
    <n v="183.84000000000003"/>
  </r>
  <r>
    <n v="435"/>
    <x v="4"/>
    <s v="DCF212"/>
    <x v="1"/>
    <x v="1"/>
    <x v="9"/>
    <x v="3"/>
    <n v="1149"/>
    <n v="896.22"/>
    <n v="0.3"/>
    <n v="-91.920000000000073"/>
  </r>
  <r>
    <n v="436"/>
    <x v="153"/>
    <s v="DCF374"/>
    <x v="1"/>
    <x v="1"/>
    <x v="5"/>
    <x v="2"/>
    <n v="1199"/>
    <n v="887.26"/>
    <n v="0"/>
    <n v="311.74"/>
  </r>
  <r>
    <n v="437"/>
    <x v="8"/>
    <s v="DEE703"/>
    <x v="1"/>
    <x v="6"/>
    <x v="29"/>
    <x v="0"/>
    <n v="3999"/>
    <n v="1399.6499999999999"/>
    <n v="0.15"/>
    <n v="1999.5000000000002"/>
  </r>
  <r>
    <n v="438"/>
    <x v="15"/>
    <s v="DCF571"/>
    <x v="1"/>
    <x v="1"/>
    <x v="14"/>
    <x v="2"/>
    <n v="1299"/>
    <n v="766.41"/>
    <n v="0.15"/>
    <n v="337.7399999999999"/>
  </r>
  <r>
    <n v="439"/>
    <x v="14"/>
    <s v="DCF571"/>
    <x v="1"/>
    <x v="1"/>
    <x v="14"/>
    <x v="2"/>
    <n v="1299"/>
    <n v="766.41"/>
    <n v="0.1"/>
    <n v="402.69000000000017"/>
  </r>
  <r>
    <n v="440"/>
    <x v="4"/>
    <s v="VVV282"/>
    <x v="2"/>
    <x v="3"/>
    <x v="3"/>
    <x v="0"/>
    <n v="1499"/>
    <n v="794.47"/>
    <n v="0.3"/>
    <n v="254.82999999999993"/>
  </r>
  <r>
    <n v="441"/>
    <x v="3"/>
    <s v="VVS410"/>
    <x v="2"/>
    <x v="3"/>
    <x v="4"/>
    <x v="0"/>
    <n v="259"/>
    <n v="220.15"/>
    <n v="0.15"/>
    <n v="0"/>
  </r>
  <r>
    <n v="442"/>
    <x v="36"/>
    <s v="DFF862"/>
    <x v="1"/>
    <x v="2"/>
    <x v="67"/>
    <x v="0"/>
    <n v="1299"/>
    <n v="1065.1799999999998"/>
    <n v="0"/>
    <n v="233.82000000000016"/>
  </r>
  <r>
    <n v="443"/>
    <x v="10"/>
    <s v="DFF871"/>
    <x v="1"/>
    <x v="2"/>
    <x v="13"/>
    <x v="0"/>
    <n v="599"/>
    <n v="455.24"/>
    <n v="0.2"/>
    <n v="23.960000000000036"/>
  </r>
  <r>
    <n v="444"/>
    <x v="26"/>
    <s v="VPP767"/>
    <x v="2"/>
    <x v="5"/>
    <x v="33"/>
    <x v="0"/>
    <n v="819"/>
    <n v="319.41000000000003"/>
    <n v="0.15"/>
    <n v="376.73999999999995"/>
  </r>
  <r>
    <n v="445"/>
    <x v="101"/>
    <s v="VVV520"/>
    <x v="2"/>
    <x v="3"/>
    <x v="11"/>
    <x v="0"/>
    <n v="699"/>
    <n v="482.30999999999995"/>
    <n v="0"/>
    <n v="216.69000000000005"/>
  </r>
  <r>
    <n v="446"/>
    <x v="154"/>
    <s v="DFF542"/>
    <x v="1"/>
    <x v="2"/>
    <x v="2"/>
    <x v="0"/>
    <n v="359"/>
    <n v="244.12"/>
    <n v="0"/>
    <n v="114.88"/>
  </r>
  <r>
    <n v="447"/>
    <x v="7"/>
    <s v="DEE703"/>
    <x v="1"/>
    <x v="6"/>
    <x v="29"/>
    <x v="0"/>
    <n v="3999"/>
    <n v="1399.6499999999999"/>
    <n v="0.15"/>
    <n v="1999.5000000000002"/>
  </r>
  <r>
    <n v="448"/>
    <x v="155"/>
    <s v="DCF212"/>
    <x v="1"/>
    <x v="1"/>
    <x v="9"/>
    <x v="3"/>
    <n v="1149"/>
    <n v="896.22"/>
    <n v="0"/>
    <n v="252.77999999999997"/>
  </r>
  <r>
    <n v="449"/>
    <x v="14"/>
    <s v="DFF871"/>
    <x v="1"/>
    <x v="2"/>
    <x v="13"/>
    <x v="0"/>
    <n v="599"/>
    <n v="455.24"/>
    <n v="0.1"/>
    <n v="83.860000000000014"/>
  </r>
  <r>
    <n v="450"/>
    <x v="10"/>
    <s v="DCF970"/>
    <x v="1"/>
    <x v="1"/>
    <x v="53"/>
    <x v="2"/>
    <n v="409"/>
    <n v="237.21999999999997"/>
    <n v="0.2"/>
    <n v="89.980000000000075"/>
  </r>
  <r>
    <n v="451"/>
    <x v="5"/>
    <s v="IPP756"/>
    <x v="0"/>
    <x v="0"/>
    <x v="0"/>
    <x v="0"/>
    <n v="1299"/>
    <n v="727.44"/>
    <n v="0.15"/>
    <n v="376.70999999999981"/>
  </r>
  <r>
    <n v="452"/>
    <x v="26"/>
    <s v="DCF914"/>
    <x v="1"/>
    <x v="1"/>
    <x v="60"/>
    <x v="2"/>
    <n v="899"/>
    <n v="719.2"/>
    <n v="0.15"/>
    <n v="44.949999999999932"/>
  </r>
  <r>
    <n v="453"/>
    <x v="14"/>
    <s v="DCF374"/>
    <x v="1"/>
    <x v="1"/>
    <x v="5"/>
    <x v="2"/>
    <n v="1199"/>
    <n v="887.26"/>
    <n v="0.1"/>
    <n v="191.84000000000015"/>
  </r>
  <r>
    <n v="454"/>
    <x v="154"/>
    <s v="DCF212"/>
    <x v="1"/>
    <x v="1"/>
    <x v="9"/>
    <x v="3"/>
    <n v="1149"/>
    <n v="896.22"/>
    <n v="0"/>
    <n v="252.77999999999997"/>
  </r>
  <r>
    <n v="455"/>
    <x v="156"/>
    <s v="DCF212"/>
    <x v="1"/>
    <x v="1"/>
    <x v="9"/>
    <x v="3"/>
    <n v="1149"/>
    <n v="896.22"/>
    <n v="0"/>
    <n v="252.77999999999997"/>
  </r>
  <r>
    <n v="456"/>
    <x v="157"/>
    <s v="DCF903"/>
    <x v="1"/>
    <x v="1"/>
    <x v="72"/>
    <x v="3"/>
    <n v="1199"/>
    <n v="971.19"/>
    <n v="0"/>
    <n v="227.80999999999995"/>
  </r>
  <r>
    <n v="457"/>
    <x v="40"/>
    <s v="DCF212"/>
    <x v="1"/>
    <x v="1"/>
    <x v="9"/>
    <x v="3"/>
    <n v="1149"/>
    <n v="896.22"/>
    <n v="0.15"/>
    <n v="80.42999999999995"/>
  </r>
  <r>
    <n v="458"/>
    <x v="158"/>
    <s v="VVV839"/>
    <x v="2"/>
    <x v="3"/>
    <x v="73"/>
    <x v="0"/>
    <n v="699"/>
    <n v="307.56"/>
    <n v="0"/>
    <n v="391.44"/>
  </r>
  <r>
    <n v="459"/>
    <x v="53"/>
    <s v="DCF212"/>
    <x v="1"/>
    <x v="1"/>
    <x v="9"/>
    <x v="3"/>
    <n v="1149"/>
    <n v="896.22"/>
    <n v="0"/>
    <n v="252.77999999999997"/>
  </r>
  <r>
    <n v="460"/>
    <x v="159"/>
    <s v="IPP873"/>
    <x v="0"/>
    <x v="0"/>
    <x v="74"/>
    <x v="0"/>
    <n v="999"/>
    <n v="489.51"/>
    <n v="0"/>
    <n v="509.49"/>
  </r>
  <r>
    <n v="461"/>
    <x v="0"/>
    <s v="VPP894"/>
    <x v="2"/>
    <x v="5"/>
    <x v="71"/>
    <x v="0"/>
    <n v="799"/>
    <n v="679.15"/>
    <n v="0.2"/>
    <n v="-39.949999999999932"/>
  </r>
  <r>
    <n v="462"/>
    <x v="117"/>
    <s v="VVV282"/>
    <x v="2"/>
    <x v="3"/>
    <x v="3"/>
    <x v="0"/>
    <n v="1499"/>
    <n v="794.47"/>
    <n v="0"/>
    <n v="704.53"/>
  </r>
  <r>
    <n v="463"/>
    <x v="160"/>
    <s v="VPP239"/>
    <x v="2"/>
    <x v="5"/>
    <x v="50"/>
    <x v="0"/>
    <n v="399"/>
    <n v="323.19"/>
    <n v="0"/>
    <n v="75.81"/>
  </r>
  <r>
    <n v="464"/>
    <x v="161"/>
    <s v="DEE342"/>
    <x v="1"/>
    <x v="6"/>
    <x v="30"/>
    <x v="0"/>
    <n v="7999"/>
    <n v="2399.6999999999998"/>
    <n v="0"/>
    <n v="5599.3"/>
  </r>
  <r>
    <n v="465"/>
    <x v="162"/>
    <s v="ILL419"/>
    <x v="0"/>
    <x v="4"/>
    <x v="34"/>
    <x v="0"/>
    <n v="11999"/>
    <n v="7799.35"/>
    <n v="0"/>
    <n v="4199.6499999999996"/>
  </r>
  <r>
    <n v="466"/>
    <x v="4"/>
    <s v="VVV520"/>
    <x v="2"/>
    <x v="3"/>
    <x v="11"/>
    <x v="0"/>
    <n v="699"/>
    <n v="482.30999999999995"/>
    <n v="0.3"/>
    <n v="6.9900000000000091"/>
  </r>
  <r>
    <n v="467"/>
    <x v="11"/>
    <s v="ILL603"/>
    <x v="0"/>
    <x v="4"/>
    <x v="36"/>
    <x v="0"/>
    <n v="7599"/>
    <n v="6307.17"/>
    <n v="0"/>
    <n v="1291.83"/>
  </r>
  <r>
    <n v="468"/>
    <x v="3"/>
    <s v="IPP756"/>
    <x v="0"/>
    <x v="0"/>
    <x v="0"/>
    <x v="0"/>
    <n v="1299"/>
    <n v="727.44"/>
    <n v="0.15"/>
    <n v="376.70999999999981"/>
  </r>
  <r>
    <n v="469"/>
    <x v="163"/>
    <s v="DCF970"/>
    <x v="1"/>
    <x v="1"/>
    <x v="53"/>
    <x v="2"/>
    <n v="409"/>
    <n v="237.21999999999997"/>
    <n v="0"/>
    <n v="171.78000000000003"/>
  </r>
  <r>
    <n v="470"/>
    <x v="58"/>
    <s v="VPÁ655"/>
    <x v="2"/>
    <x v="5"/>
    <x v="18"/>
    <x v="0"/>
    <n v="799"/>
    <n v="679.15"/>
    <n v="0.2"/>
    <n v="-39.949999999999932"/>
  </r>
  <r>
    <n v="471"/>
    <x v="21"/>
    <s v="IPP756"/>
    <x v="0"/>
    <x v="0"/>
    <x v="0"/>
    <x v="0"/>
    <n v="1299"/>
    <n v="727.44"/>
    <n v="0.15"/>
    <n v="376.70999999999981"/>
  </r>
  <r>
    <n v="472"/>
    <x v="21"/>
    <s v="IPP340"/>
    <x v="0"/>
    <x v="0"/>
    <x v="20"/>
    <x v="0"/>
    <n v="1499"/>
    <n v="584.61"/>
    <n v="0.15"/>
    <n v="689.53999999999985"/>
  </r>
  <r>
    <n v="473"/>
    <x v="164"/>
    <s v="DCF212"/>
    <x v="1"/>
    <x v="1"/>
    <x v="9"/>
    <x v="3"/>
    <n v="1149"/>
    <n v="896.22"/>
    <n v="0"/>
    <n v="252.77999999999997"/>
  </r>
  <r>
    <n v="474"/>
    <x v="165"/>
    <s v="DCF212"/>
    <x v="1"/>
    <x v="1"/>
    <x v="9"/>
    <x v="3"/>
    <n v="1149"/>
    <n v="896.22"/>
    <n v="0"/>
    <n v="252.77999999999997"/>
  </r>
  <r>
    <n v="475"/>
    <x v="166"/>
    <s v="VVV282"/>
    <x v="2"/>
    <x v="3"/>
    <x v="3"/>
    <x v="0"/>
    <n v="1499"/>
    <n v="794.47"/>
    <n v="0"/>
    <n v="704.53"/>
  </r>
  <r>
    <n v="476"/>
    <x v="51"/>
    <s v="DCF555"/>
    <x v="1"/>
    <x v="1"/>
    <x v="23"/>
    <x v="4"/>
    <n v="799"/>
    <n v="535.33000000000004"/>
    <n v="0"/>
    <n v="263.66999999999996"/>
  </r>
  <r>
    <n v="477"/>
    <x v="4"/>
    <s v="VVV282"/>
    <x v="2"/>
    <x v="3"/>
    <x v="3"/>
    <x v="0"/>
    <n v="1499"/>
    <n v="794.47"/>
    <n v="0.3"/>
    <n v="254.82999999999993"/>
  </r>
  <r>
    <n v="478"/>
    <x v="4"/>
    <s v="DCF374"/>
    <x v="1"/>
    <x v="1"/>
    <x v="5"/>
    <x v="2"/>
    <n v="1199"/>
    <n v="887.26"/>
    <n v="0.3"/>
    <n v="-47.960000000000036"/>
  </r>
  <r>
    <n v="479"/>
    <x v="10"/>
    <s v="ILL126"/>
    <x v="0"/>
    <x v="4"/>
    <x v="19"/>
    <x v="0"/>
    <n v="13999"/>
    <n v="9659.31"/>
    <n v="0.2"/>
    <n v="1539.8900000000012"/>
  </r>
  <r>
    <n v="480"/>
    <x v="167"/>
    <s v="DCF544"/>
    <x v="1"/>
    <x v="1"/>
    <x v="27"/>
    <x v="5"/>
    <n v="1299"/>
    <n v="909.3"/>
    <n v="0"/>
    <n v="389.70000000000005"/>
  </r>
  <r>
    <n v="481"/>
    <x v="168"/>
    <s v="DCF212"/>
    <x v="1"/>
    <x v="1"/>
    <x v="9"/>
    <x v="3"/>
    <n v="1149"/>
    <n v="896.22"/>
    <n v="0"/>
    <n v="252.77999999999997"/>
  </r>
  <r>
    <n v="482"/>
    <x v="19"/>
    <s v="DCF212"/>
    <x v="1"/>
    <x v="1"/>
    <x v="9"/>
    <x v="3"/>
    <n v="1149"/>
    <n v="896.22"/>
    <n v="0.15"/>
    <n v="80.42999999999995"/>
  </r>
  <r>
    <n v="483"/>
    <x v="3"/>
    <s v="DCF212"/>
    <x v="1"/>
    <x v="1"/>
    <x v="9"/>
    <x v="3"/>
    <n v="1149"/>
    <n v="896.22"/>
    <n v="0.15"/>
    <n v="80.42999999999995"/>
  </r>
  <r>
    <n v="484"/>
    <x v="90"/>
    <s v="DCF212"/>
    <x v="1"/>
    <x v="1"/>
    <x v="9"/>
    <x v="3"/>
    <n v="1149"/>
    <n v="896.22"/>
    <n v="0"/>
    <n v="252.77999999999997"/>
  </r>
  <r>
    <n v="485"/>
    <x v="4"/>
    <s v="DFF871"/>
    <x v="1"/>
    <x v="2"/>
    <x v="13"/>
    <x v="0"/>
    <n v="599"/>
    <n v="455.24"/>
    <n v="0.3"/>
    <n v="-35.940000000000055"/>
  </r>
  <r>
    <n v="486"/>
    <x v="169"/>
    <s v="DCF374"/>
    <x v="1"/>
    <x v="1"/>
    <x v="5"/>
    <x v="2"/>
    <n v="1199"/>
    <n v="887.26"/>
    <n v="0"/>
    <n v="311.74"/>
  </r>
  <r>
    <n v="487"/>
    <x v="0"/>
    <s v="DCF374"/>
    <x v="1"/>
    <x v="1"/>
    <x v="5"/>
    <x v="2"/>
    <n v="1199"/>
    <n v="887.26"/>
    <n v="0.2"/>
    <n v="71.940000000000055"/>
  </r>
  <r>
    <n v="488"/>
    <x v="65"/>
    <s v="VPP185"/>
    <x v="2"/>
    <x v="5"/>
    <x v="22"/>
    <x v="0"/>
    <n v="449"/>
    <n v="161.63999999999999"/>
    <n v="0.1"/>
    <n v="242.46000000000004"/>
  </r>
  <r>
    <n v="489"/>
    <x v="4"/>
    <s v="DEE790"/>
    <x v="1"/>
    <x v="6"/>
    <x v="55"/>
    <x v="0"/>
    <n v="14399"/>
    <n v="11375.210000000001"/>
    <n v="0.3"/>
    <n v="-1295.9100000000017"/>
  </r>
  <r>
    <n v="490"/>
    <x v="2"/>
    <s v="VVS410"/>
    <x v="2"/>
    <x v="3"/>
    <x v="4"/>
    <x v="0"/>
    <n v="259"/>
    <n v="220.15"/>
    <n v="0.15"/>
    <n v="0"/>
  </r>
  <r>
    <n v="491"/>
    <x v="4"/>
    <s v="VVV282"/>
    <x v="2"/>
    <x v="3"/>
    <x v="3"/>
    <x v="0"/>
    <n v="1499"/>
    <n v="794.47"/>
    <n v="0.3"/>
    <n v="254.82999999999993"/>
  </r>
  <r>
    <n v="492"/>
    <x v="4"/>
    <s v="DCF495"/>
    <x v="1"/>
    <x v="1"/>
    <x v="56"/>
    <x v="3"/>
    <n v="999"/>
    <n v="809.19"/>
    <n v="0.3"/>
    <n v="-109.8900000000001"/>
  </r>
  <r>
    <n v="493"/>
    <x v="4"/>
    <s v="VPP741"/>
    <x v="2"/>
    <x v="5"/>
    <x v="15"/>
    <x v="0"/>
    <n v="499"/>
    <n v="279.44000000000005"/>
    <n v="0.3"/>
    <n v="69.8599999999999"/>
  </r>
  <r>
    <n v="494"/>
    <x v="26"/>
    <s v="DFF542"/>
    <x v="1"/>
    <x v="2"/>
    <x v="2"/>
    <x v="0"/>
    <n v="359"/>
    <n v="244.12"/>
    <n v="0.15"/>
    <n v="61.029999999999973"/>
  </r>
  <r>
    <n v="495"/>
    <x v="170"/>
    <s v="DCF212"/>
    <x v="1"/>
    <x v="1"/>
    <x v="9"/>
    <x v="3"/>
    <n v="1149"/>
    <n v="896.22"/>
    <n v="0"/>
    <n v="252.77999999999997"/>
  </r>
  <r>
    <n v="496"/>
    <x v="3"/>
    <s v="DCF341"/>
    <x v="1"/>
    <x v="1"/>
    <x v="1"/>
    <x v="1"/>
    <n v="1149"/>
    <n v="792.81"/>
    <n v="0.15"/>
    <n v="183.84000000000003"/>
  </r>
  <r>
    <n v="497"/>
    <x v="10"/>
    <s v="VPÁ655"/>
    <x v="2"/>
    <x v="5"/>
    <x v="18"/>
    <x v="0"/>
    <n v="799"/>
    <n v="679.15"/>
    <n v="0.2"/>
    <n v="-39.949999999999932"/>
  </r>
  <r>
    <n v="498"/>
    <x v="67"/>
    <s v="DCF374"/>
    <x v="1"/>
    <x v="1"/>
    <x v="5"/>
    <x v="2"/>
    <n v="1199"/>
    <n v="887.26"/>
    <n v="0"/>
    <n v="311.74"/>
  </r>
  <r>
    <n v="499"/>
    <x v="171"/>
    <s v="VVV282"/>
    <x v="2"/>
    <x v="3"/>
    <x v="3"/>
    <x v="0"/>
    <n v="1499"/>
    <n v="794.47"/>
    <n v="0"/>
    <n v="704.53"/>
  </r>
  <r>
    <n v="500"/>
    <x v="7"/>
    <s v="DCF212"/>
    <x v="1"/>
    <x v="1"/>
    <x v="9"/>
    <x v="3"/>
    <n v="1149"/>
    <n v="896.22"/>
    <n v="0.15"/>
    <n v="80.42999999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5">
  <r>
    <d v="2017-10-14T00:00:00"/>
    <s v="DE-14590"/>
    <n v="1230"/>
    <x v="0"/>
  </r>
  <r>
    <d v="2017-01-25T00:00:00"/>
    <s v="CA-11217"/>
    <n v="979.99999999999989"/>
    <x v="1"/>
  </r>
  <r>
    <d v="2017-11-20T00:00:00"/>
    <s v="BO-10758"/>
    <n v="1640.0000000000002"/>
    <x v="2"/>
  </r>
  <r>
    <d v="2017-01-31T00:00:00"/>
    <s v="DE-14590"/>
    <n v="1230"/>
    <x v="0"/>
  </r>
  <r>
    <d v="2017-11-04T00:00:00"/>
    <s v="FO-10885"/>
    <n v="1170"/>
    <x v="3"/>
  </r>
  <r>
    <d v="2017-11-25T00:00:00"/>
    <s v="BO-14360"/>
    <n v="2130"/>
    <x v="2"/>
  </r>
  <r>
    <d v="2017-09-02T00:00:00"/>
    <s v="BO-15082"/>
    <n v="2260"/>
    <x v="2"/>
  </r>
  <r>
    <d v="2017-11-29T00:00:00"/>
    <s v="FO-11930"/>
    <n v="1740.0000000000002"/>
    <x v="3"/>
  </r>
  <r>
    <d v="2017-08-18T00:00:00"/>
    <s v="DE-15205"/>
    <n v="1680"/>
    <x v="0"/>
  </r>
  <r>
    <d v="2017-01-10T00:00:00"/>
    <s v="FO-13896"/>
    <n v="1530"/>
    <x v="3"/>
  </r>
  <r>
    <d v="2017-04-23T00:00:00"/>
    <s v="DE-15000"/>
    <n v="1710.0000000000002"/>
    <x v="0"/>
  </r>
  <r>
    <d v="2017-08-19T00:00:00"/>
    <s v="FO-12642"/>
    <n v="1050"/>
    <x v="3"/>
  </r>
  <r>
    <d v="2017-10-09T00:00:00"/>
    <s v="SA-15593"/>
    <n v="560"/>
    <x v="4"/>
  </r>
  <r>
    <d v="2017-07-28T00:00:00"/>
    <s v="BO-12103"/>
    <n v="2110"/>
    <x v="2"/>
  </r>
  <r>
    <d v="2017-06-16T00:00:00"/>
    <s v="SA-15899"/>
    <n v="300"/>
    <x v="4"/>
  </r>
  <r>
    <d v="2017-11-25T00:00:00"/>
    <s v="BO-14360"/>
    <n v="2130"/>
    <x v="2"/>
  </r>
  <r>
    <d v="2017-09-01T00:00:00"/>
    <s v="DE-11233"/>
    <n v="1700"/>
    <x v="0"/>
  </r>
  <r>
    <d v="2017-04-20T00:00:00"/>
    <s v="FO-15561"/>
    <n v="969.99999999999989"/>
    <x v="3"/>
  </r>
  <r>
    <d v="2017-09-05T00:00:00"/>
    <s v="FO-13332"/>
    <n v="1620.0000000000002"/>
    <x v="3"/>
  </r>
  <r>
    <d v="2017-06-20T00:00:00"/>
    <s v="DE-14064"/>
    <n v="1100"/>
    <x v="0"/>
  </r>
  <r>
    <d v="2017-01-24T00:00:00"/>
    <s v="DE-15000"/>
    <n v="1710.0000000000002"/>
    <x v="0"/>
  </r>
  <r>
    <d v="2017-11-07T00:00:00"/>
    <s v="FO-11930"/>
    <n v="1740.0000000000002"/>
    <x v="3"/>
  </r>
  <r>
    <d v="2017-01-29T00:00:00"/>
    <s v="DE-12516"/>
    <n v="1040"/>
    <x v="0"/>
  </r>
  <r>
    <d v="2017-07-21T00:00:00"/>
    <s v="FO-13332"/>
    <n v="1620.0000000000002"/>
    <x v="3"/>
  </r>
  <r>
    <d v="2017-01-27T00:00:00"/>
    <s v="FO-11139"/>
    <n v="1120"/>
    <x v="3"/>
  </r>
  <r>
    <d v="2017-11-27T00:00:00"/>
    <s v="BO-12304"/>
    <n v="2480"/>
    <x v="2"/>
  </r>
  <r>
    <d v="2017-03-28T00:00:00"/>
    <s v="CA-11145"/>
    <n v="1019.9999999999999"/>
    <x v="1"/>
  </r>
  <r>
    <d v="2017-05-19T00:00:00"/>
    <s v="FO-12642"/>
    <n v="1050"/>
    <x v="3"/>
  </r>
  <r>
    <d v="2017-10-10T00:00:00"/>
    <s v="DE-15000"/>
    <n v="1710.0000000000002"/>
    <x v="0"/>
  </r>
  <r>
    <d v="2017-12-03T00:00:00"/>
    <s v="DE-15000"/>
    <n v="1710.0000000000002"/>
    <x v="0"/>
  </r>
  <r>
    <d v="2017-06-29T00:00:00"/>
    <s v="FO-11139"/>
    <n v="1120"/>
    <x v="3"/>
  </r>
  <r>
    <d v="2017-12-12T00:00:00"/>
    <s v="BO-12304"/>
    <n v="2480"/>
    <x v="2"/>
  </r>
  <r>
    <d v="2017-03-17T00:00:00"/>
    <s v="FO-11400"/>
    <n v="1240"/>
    <x v="3"/>
  </r>
  <r>
    <d v="2017-11-23T00:00:00"/>
    <s v="CA-12215"/>
    <n v="1160"/>
    <x v="1"/>
  </r>
  <r>
    <d v="2017-10-31T00:00:00"/>
    <s v="CA-12215"/>
    <n v="1160"/>
    <x v="1"/>
  </r>
  <r>
    <d v="2017-02-18T00:00:00"/>
    <s v="DE-14163"/>
    <n v="1480"/>
    <x v="0"/>
  </r>
  <r>
    <d v="2017-03-22T00:00:00"/>
    <s v="SA-12963"/>
    <n v="619.99999999999989"/>
    <x v="4"/>
  </r>
  <r>
    <d v="2017-04-20T00:00:00"/>
    <s v="SA-12124"/>
    <n v="350"/>
    <x v="4"/>
  </r>
  <r>
    <d v="2017-05-10T00:00:00"/>
    <s v="DE-14163"/>
    <n v="1480"/>
    <x v="0"/>
  </r>
  <r>
    <d v="2017-12-14T00:00:00"/>
    <s v="CA-11217"/>
    <n v="979.99999999999989"/>
    <x v="1"/>
  </r>
  <r>
    <d v="2017-04-24T00:00:00"/>
    <s v="BO-13867"/>
    <n v="2130"/>
    <x v="2"/>
  </r>
  <r>
    <d v="2017-11-03T00:00:00"/>
    <s v="DE-14163"/>
    <n v="1480"/>
    <x v="0"/>
  </r>
  <r>
    <d v="2017-12-08T00:00:00"/>
    <s v="FO-14550"/>
    <n v="1710.0000000000002"/>
    <x v="3"/>
  </r>
  <r>
    <d v="2017-11-25T00:00:00"/>
    <s v="DE-14163"/>
    <n v="1480"/>
    <x v="0"/>
  </r>
  <r>
    <d v="2017-08-18T00:00:00"/>
    <s v="BO-12304"/>
    <n v="2480"/>
    <x v="2"/>
  </r>
  <r>
    <d v="2017-12-01T00:00:00"/>
    <s v="CA-11145"/>
    <n v="1019.9999999999999"/>
    <x v="1"/>
  </r>
  <r>
    <d v="2017-01-05T00:00:00"/>
    <s v="FO-13332"/>
    <n v="1620.0000000000002"/>
    <x v="3"/>
  </r>
  <r>
    <d v="2017-11-26T00:00:00"/>
    <s v="FO-14900"/>
    <n v="1050"/>
    <x v="3"/>
  </r>
  <r>
    <d v="2017-07-09T00:00:00"/>
    <s v="DE-14690"/>
    <n v="1500"/>
    <x v="0"/>
  </r>
  <r>
    <d v="2017-02-12T00:00:00"/>
    <s v="DE-14690"/>
    <n v="1500"/>
    <x v="0"/>
  </r>
  <r>
    <d v="2017-05-21T00:00:00"/>
    <s v="CA-11145"/>
    <n v="1019.9999999999999"/>
    <x v="1"/>
  </r>
  <r>
    <d v="2017-01-10T00:00:00"/>
    <s v="CA-12215"/>
    <n v="1160"/>
    <x v="1"/>
  </r>
  <r>
    <d v="2017-02-28T00:00:00"/>
    <s v="FO-12560"/>
    <n v="1490"/>
    <x v="3"/>
  </r>
  <r>
    <d v="2017-01-14T00:00:00"/>
    <s v="FO-13332"/>
    <n v="1620.0000000000002"/>
    <x v="3"/>
  </r>
  <r>
    <d v="2017-10-23T00:00:00"/>
    <s v="BO-14360"/>
    <n v="2130"/>
    <x v="2"/>
  </r>
  <r>
    <d v="2017-05-19T00:00:00"/>
    <s v="CA-10908"/>
    <n v="950"/>
    <x v="1"/>
  </r>
  <r>
    <d v="2017-07-02T00:00:00"/>
    <s v="DE-14590"/>
    <n v="1230"/>
    <x v="0"/>
  </r>
  <r>
    <d v="2017-10-07T00:00:00"/>
    <s v="FO-14642"/>
    <n v="1780"/>
    <x v="3"/>
  </r>
  <r>
    <d v="2017-08-11T00:00:00"/>
    <s v="FO-11139"/>
    <n v="1120"/>
    <x v="3"/>
  </r>
  <r>
    <d v="2017-02-08T00:00:00"/>
    <s v="DE-15000"/>
    <n v="1710.0000000000002"/>
    <x v="0"/>
  </r>
  <r>
    <d v="2017-08-02T00:00:00"/>
    <s v="BO-12103"/>
    <n v="2110"/>
    <x v="2"/>
  </r>
  <r>
    <d v="2017-10-11T00:00:00"/>
    <s v="DE-11233"/>
    <n v="1700"/>
    <x v="0"/>
  </r>
  <r>
    <d v="2017-09-14T00:00:00"/>
    <s v="FO-12034"/>
    <n v="940"/>
    <x v="3"/>
  </r>
  <r>
    <d v="2017-11-12T00:00:00"/>
    <s v="SA-12124"/>
    <n v="350"/>
    <x v="4"/>
  </r>
  <r>
    <d v="2017-11-10T00:00:00"/>
    <s v="FO-14900"/>
    <n v="1050"/>
    <x v="3"/>
  </r>
  <r>
    <d v="2017-03-08T00:00:00"/>
    <s v="FO-14550"/>
    <n v="1710.0000000000002"/>
    <x v="3"/>
  </r>
  <r>
    <d v="2017-06-23T00:00:00"/>
    <s v="CA-12215"/>
    <n v="1160"/>
    <x v="1"/>
  </r>
  <r>
    <d v="2017-06-28T00:00:00"/>
    <s v="BO-10758"/>
    <n v="1640.0000000000002"/>
    <x v="2"/>
  </r>
  <r>
    <d v="2017-08-03T00:00:00"/>
    <s v="CA-11992"/>
    <n v="1300"/>
    <x v="1"/>
  </r>
  <r>
    <d v="2017-03-19T00:00:00"/>
    <s v="FO-13332"/>
    <n v="1620.0000000000002"/>
    <x v="3"/>
  </r>
  <r>
    <d v="2017-06-11T00:00:00"/>
    <s v="FO-14642"/>
    <n v="1780"/>
    <x v="3"/>
  </r>
  <r>
    <d v="2017-02-02T00:00:00"/>
    <s v="BO-14360"/>
    <n v="2130"/>
    <x v="2"/>
  </r>
  <r>
    <d v="2017-04-17T00:00:00"/>
    <s v="DE-14690"/>
    <n v="1500"/>
    <x v="0"/>
  </r>
  <r>
    <d v="2017-05-04T00:00:00"/>
    <s v="DE-15588"/>
    <n v="840"/>
    <x v="0"/>
  </r>
  <r>
    <d v="2017-04-11T00:00:00"/>
    <s v="SA-12963"/>
    <n v="619.99999999999989"/>
    <x v="4"/>
  </r>
  <r>
    <d v="2017-10-31T00:00:00"/>
    <s v="CA-15742"/>
    <n v="960"/>
    <x v="1"/>
  </r>
  <r>
    <d v="2017-01-23T00:00:00"/>
    <s v="CA-12215"/>
    <n v="1160"/>
    <x v="1"/>
  </r>
  <r>
    <d v="2017-02-17T00:00:00"/>
    <s v="CA-11992"/>
    <n v="1300"/>
    <x v="1"/>
  </r>
  <r>
    <d v="2017-01-29T00:00:00"/>
    <s v="CA-14506"/>
    <n v="819.99999999999989"/>
    <x v="1"/>
  </r>
  <r>
    <d v="2017-04-22T00:00:00"/>
    <s v="CA-14538"/>
    <n v="1090"/>
    <x v="1"/>
  </r>
  <r>
    <d v="2017-02-13T00:00:00"/>
    <s v="DE-11233"/>
    <n v="1700"/>
    <x v="0"/>
  </r>
  <r>
    <d v="2017-02-04T00:00:00"/>
    <s v="FO-11400"/>
    <n v="1240"/>
    <x v="3"/>
  </r>
  <r>
    <d v="2017-01-13T00:00:00"/>
    <s v="FO-12642"/>
    <n v="1050"/>
    <x v="3"/>
  </r>
  <r>
    <d v="2017-10-12T00:00:00"/>
    <s v="FO-15811"/>
    <n v="840"/>
    <x v="3"/>
  </r>
  <r>
    <d v="2017-09-07T00:00:00"/>
    <s v="FO-11930"/>
    <n v="1740.0000000000002"/>
    <x v="3"/>
  </r>
  <r>
    <d v="2017-08-18T00:00:00"/>
    <s v="BO-15397"/>
    <n v="1590"/>
    <x v="2"/>
  </r>
  <r>
    <d v="2017-01-04T00:00:00"/>
    <s v="DE-14690"/>
    <n v="1500"/>
    <x v="0"/>
  </r>
  <r>
    <d v="2017-08-30T00:00:00"/>
    <s v="FO-14755"/>
    <n v="1180"/>
    <x v="3"/>
  </r>
  <r>
    <d v="2017-09-28T00:00:00"/>
    <s v="SA-12963"/>
    <n v="619.99999999999989"/>
    <x v="4"/>
  </r>
  <r>
    <d v="2017-03-04T00:00:00"/>
    <s v="FO-15561"/>
    <n v="969.99999999999989"/>
    <x v="3"/>
  </r>
  <r>
    <d v="2017-09-04T00:00:00"/>
    <s v="CA-12215"/>
    <n v="1160"/>
    <x v="1"/>
  </r>
  <r>
    <d v="2017-12-18T00:00:00"/>
    <s v="SA-12963"/>
    <n v="619.99999999999989"/>
    <x v="4"/>
  </r>
  <r>
    <d v="2017-07-24T00:00:00"/>
    <s v="CA-14506"/>
    <n v="819.99999999999989"/>
    <x v="1"/>
  </r>
  <r>
    <d v="2017-12-25T00:00:00"/>
    <s v="BO-10758"/>
    <n v="1640.0000000000002"/>
    <x v="2"/>
  </r>
  <r>
    <d v="2017-06-29T00:00:00"/>
    <s v="FO-14642"/>
    <n v="1780"/>
    <x v="3"/>
  </r>
  <r>
    <d v="2017-06-22T00:00:00"/>
    <s v="FO-11139"/>
    <n v="1120"/>
    <x v="3"/>
  </r>
  <r>
    <d v="2017-04-17T00:00:00"/>
    <s v="FO-11400"/>
    <n v="1240"/>
    <x v="3"/>
  </r>
  <r>
    <d v="2017-10-28T00:00:00"/>
    <s v="CA-14538"/>
    <n v="1090"/>
    <x v="1"/>
  </r>
  <r>
    <d v="2017-06-27T00:00:00"/>
    <s v="FO-14550"/>
    <n v="1710.0000000000002"/>
    <x v="3"/>
  </r>
  <r>
    <d v="2017-07-04T00:00:00"/>
    <s v="CA-10091"/>
    <n v="1130"/>
    <x v="1"/>
  </r>
  <r>
    <d v="2017-07-03T00:00:00"/>
    <s v="CA-15201"/>
    <n v="869.99999999999989"/>
    <x v="1"/>
  </r>
  <r>
    <d v="2017-04-24T00:00:00"/>
    <s v="FO-15561"/>
    <n v="969.99999999999989"/>
    <x v="3"/>
  </r>
  <r>
    <d v="2017-11-06T00:00:00"/>
    <s v="DE-15205"/>
    <n v="1680"/>
    <x v="0"/>
  </r>
  <r>
    <d v="2017-11-06T00:00:00"/>
    <s v="FO-11400"/>
    <n v="1240"/>
    <x v="3"/>
  </r>
  <r>
    <d v="2017-04-25T00:00:00"/>
    <s v="CA-14506"/>
    <n v="819.99999999999989"/>
    <x v="1"/>
  </r>
  <r>
    <d v="2017-04-21T00:00:00"/>
    <s v="DE-14064"/>
    <n v="1100"/>
    <x v="0"/>
  </r>
  <r>
    <d v="2017-09-27T00:00:00"/>
    <s v="FO-14755"/>
    <n v="1180"/>
    <x v="3"/>
  </r>
  <r>
    <d v="2017-06-05T00:00:00"/>
    <s v="BO-10119"/>
    <n v="1560"/>
    <x v="2"/>
  </r>
  <r>
    <d v="2017-07-07T00:00:00"/>
    <s v="SA-11133"/>
    <n v="690"/>
    <x v="4"/>
  </r>
  <r>
    <d v="2017-06-21T00:00:00"/>
    <s v="CA-10908"/>
    <n v="950"/>
    <x v="1"/>
  </r>
  <r>
    <d v="2017-07-18T00:00:00"/>
    <s v="FO-14900"/>
    <n v="1050"/>
    <x v="3"/>
  </r>
  <r>
    <d v="2017-03-10T00:00:00"/>
    <s v="BO-10758"/>
    <n v="1640.0000000000002"/>
    <x v="2"/>
  </r>
  <r>
    <d v="2017-11-05T00:00:00"/>
    <s v="BO-10758"/>
    <n v="1640.0000000000002"/>
    <x v="2"/>
  </r>
  <r>
    <d v="2017-11-04T00:00:00"/>
    <s v="FO-14550"/>
    <n v="1710.0000000000002"/>
    <x v="3"/>
  </r>
  <r>
    <d v="2017-04-26T00:00:00"/>
    <s v="SA-15593"/>
    <n v="560"/>
    <x v="4"/>
  </r>
  <r>
    <d v="2017-06-02T00:00:00"/>
    <s v="CA-10908"/>
    <n v="950"/>
    <x v="1"/>
  </r>
  <r>
    <d v="2017-08-31T00:00:00"/>
    <s v="FO-12642"/>
    <n v="1050"/>
    <x v="3"/>
  </r>
  <r>
    <d v="2017-07-31T00:00:00"/>
    <s v="CA-14538"/>
    <n v="1090"/>
    <x v="1"/>
  </r>
  <r>
    <d v="2017-05-20T00:00:00"/>
    <s v="CA-10091"/>
    <n v="1130"/>
    <x v="1"/>
  </r>
  <r>
    <d v="2017-06-05T00:00:00"/>
    <s v="CA-15742"/>
    <n v="960"/>
    <x v="1"/>
  </r>
  <r>
    <d v="2017-09-12T00:00:00"/>
    <s v="BO-15397"/>
    <n v="1590"/>
    <x v="2"/>
  </r>
  <r>
    <d v="2017-02-24T00:00:00"/>
    <s v="FO-11930"/>
    <n v="1740.0000000000002"/>
    <x v="3"/>
  </r>
  <r>
    <d v="2017-01-01T00:00:00"/>
    <s v="SA-15593"/>
    <n v="560"/>
    <x v="4"/>
  </r>
  <r>
    <d v="2017-09-20T00:00:00"/>
    <s v="CA-10908"/>
    <n v="950"/>
    <x v="1"/>
  </r>
  <r>
    <d v="2017-09-03T00:00:00"/>
    <s v="FO-12034"/>
    <n v="940"/>
    <x v="3"/>
  </r>
  <r>
    <d v="2017-11-17T00:00:00"/>
    <s v="BO-14360"/>
    <n v="2130"/>
    <x v="2"/>
  </r>
  <r>
    <d v="2017-05-25T00:00:00"/>
    <s v="DE-15000"/>
    <n v="1710.0000000000002"/>
    <x v="0"/>
  </r>
  <r>
    <d v="2017-12-13T00:00:00"/>
    <s v="BO-15397"/>
    <n v="1590"/>
    <x v="2"/>
  </r>
  <r>
    <d v="2017-11-10T00:00:00"/>
    <s v="CA-15742"/>
    <n v="960"/>
    <x v="1"/>
  </r>
  <r>
    <d v="2017-07-08T00:00:00"/>
    <s v="DE-15588"/>
    <n v="840"/>
    <x v="0"/>
  </r>
  <r>
    <d v="2017-06-30T00:00:00"/>
    <s v="BO-11125"/>
    <n v="1840.0000000000002"/>
    <x v="2"/>
  </r>
  <r>
    <d v="2017-01-29T00:00:00"/>
    <s v="DE-10381"/>
    <n v="1750"/>
    <x v="0"/>
  </r>
  <r>
    <d v="2017-04-07T00:00:00"/>
    <s v="BO-13867"/>
    <n v="2130"/>
    <x v="2"/>
  </r>
  <r>
    <d v="2017-01-31T00:00:00"/>
    <s v="DE-14690"/>
    <n v="1500"/>
    <x v="0"/>
  </r>
  <r>
    <d v="2017-01-19T00:00:00"/>
    <s v="FO-13896"/>
    <n v="1530"/>
    <x v="3"/>
  </r>
  <r>
    <d v="2017-02-03T00:00:00"/>
    <s v="CA-10091"/>
    <n v="1130"/>
    <x v="1"/>
  </r>
  <r>
    <d v="2017-07-12T00:00:00"/>
    <s v="FO-11400"/>
    <n v="1240"/>
    <x v="3"/>
  </r>
  <r>
    <d v="2017-01-10T00:00:00"/>
    <s v="BO-10119"/>
    <n v="1560"/>
    <x v="2"/>
  </r>
  <r>
    <d v="2017-07-31T00:00:00"/>
    <s v="DE-14064"/>
    <n v="1100"/>
    <x v="0"/>
  </r>
  <r>
    <d v="2017-08-01T00:00:00"/>
    <s v="FO-12560"/>
    <n v="1490"/>
    <x v="3"/>
  </r>
  <r>
    <d v="2017-02-28T00:00:00"/>
    <s v="FO-12034"/>
    <n v="940"/>
    <x v="3"/>
  </r>
  <r>
    <d v="2017-11-17T00:00:00"/>
    <s v="BO-10758"/>
    <n v="1640.0000000000002"/>
    <x v="2"/>
  </r>
  <r>
    <d v="2017-11-13T00:00:00"/>
    <s v="FO-14900"/>
    <n v="1050"/>
    <x v="3"/>
  </r>
  <r>
    <d v="2017-03-08T00:00:00"/>
    <s v="DE-15205"/>
    <n v="1680"/>
    <x v="0"/>
  </r>
  <r>
    <d v="2017-11-17T00:00:00"/>
    <s v="FO-15561"/>
    <n v="969.99999999999989"/>
    <x v="3"/>
  </r>
  <r>
    <d v="2017-09-09T00:00:00"/>
    <s v="DE-15588"/>
    <n v="840"/>
    <x v="0"/>
  </r>
  <r>
    <d v="2017-01-19T00:00:00"/>
    <s v="CA-11145"/>
    <n v="1019.9999999999999"/>
    <x v="1"/>
  </r>
  <r>
    <d v="2017-02-11T00:00:00"/>
    <s v="FO-11400"/>
    <n v="1240"/>
    <x v="3"/>
  </r>
  <r>
    <d v="2017-10-06T00:00:00"/>
    <s v="BO-10758"/>
    <n v="1640.0000000000002"/>
    <x v="2"/>
  </r>
  <r>
    <d v="2017-12-09T00:00:00"/>
    <s v="FO-14642"/>
    <n v="1780"/>
    <x v="3"/>
  </r>
  <r>
    <d v="2017-05-07T00:00:00"/>
    <s v="FO-12560"/>
    <n v="1490"/>
    <x v="3"/>
  </r>
  <r>
    <d v="2017-03-17T00:00:00"/>
    <s v="BO-15397"/>
    <n v="1590"/>
    <x v="2"/>
  </r>
  <r>
    <d v="2017-03-10T00:00:00"/>
    <s v="SA-12124"/>
    <n v="350"/>
    <x v="4"/>
  </r>
  <r>
    <d v="2017-12-07T00:00:00"/>
    <s v="SA-12124"/>
    <n v="350"/>
    <x v="4"/>
  </r>
  <r>
    <d v="2017-01-16T00:00:00"/>
    <s v="FO-12560"/>
    <n v="1490"/>
    <x v="3"/>
  </r>
  <r>
    <d v="2017-09-12T00:00:00"/>
    <s v="FO-12642"/>
    <n v="1050"/>
    <x v="3"/>
  </r>
  <r>
    <d v="2017-07-06T00:00:00"/>
    <s v="CA-11217"/>
    <n v="979.99999999999989"/>
    <x v="1"/>
  </r>
  <r>
    <d v="2017-12-05T00:00:00"/>
    <s v="FO-13332"/>
    <n v="1620.0000000000002"/>
    <x v="3"/>
  </r>
  <r>
    <d v="2017-01-11T00:00:00"/>
    <s v="DE-14064"/>
    <n v="1100"/>
    <x v="0"/>
  </r>
  <r>
    <d v="2017-11-09T00:00:00"/>
    <s v="CA-14506"/>
    <n v="819.99999999999989"/>
    <x v="1"/>
  </r>
  <r>
    <d v="2017-04-17T00:00:00"/>
    <s v="FO-15811"/>
    <n v="840"/>
    <x v="3"/>
  </r>
  <r>
    <d v="2017-08-07T00:00:00"/>
    <s v="DE-10381"/>
    <n v="1750"/>
    <x v="0"/>
  </r>
  <r>
    <d v="2017-10-01T00:00:00"/>
    <s v="CA-10091"/>
    <n v="1130"/>
    <x v="1"/>
  </r>
  <r>
    <d v="2017-12-06T00:00:00"/>
    <s v="FO-13896"/>
    <n v="1530"/>
    <x v="3"/>
  </r>
  <r>
    <d v="2017-07-23T00:00:00"/>
    <s v="CA-11992"/>
    <n v="1300"/>
    <x v="1"/>
  </r>
  <r>
    <d v="2017-12-15T00:00:00"/>
    <s v="BO-15082"/>
    <n v="2260"/>
    <x v="2"/>
  </r>
  <r>
    <d v="2017-07-05T00:00:00"/>
    <s v="FO-14550"/>
    <n v="1710.0000000000002"/>
    <x v="3"/>
  </r>
  <r>
    <d v="2017-01-15T00:00:00"/>
    <s v="FO-13332"/>
    <n v="1620.0000000000002"/>
    <x v="3"/>
  </r>
  <r>
    <d v="2017-01-28T00:00:00"/>
    <s v="FO-10885"/>
    <n v="1170"/>
    <x v="3"/>
  </r>
  <r>
    <d v="2017-07-11T00:00:00"/>
    <s v="FO-12560"/>
    <n v="1490"/>
    <x v="3"/>
  </r>
  <r>
    <d v="2017-08-27T00:00:00"/>
    <s v="CA-12215"/>
    <n v="1160"/>
    <x v="1"/>
  </r>
  <r>
    <d v="2017-10-07T00:00:00"/>
    <s v="BO-12103"/>
    <n v="2110"/>
    <x v="2"/>
  </r>
  <r>
    <d v="2017-05-07T00:00:00"/>
    <s v="BO-15082"/>
    <n v="2260"/>
    <x v="2"/>
  </r>
  <r>
    <d v="2017-08-04T00:00:00"/>
    <s v="CA-10091"/>
    <n v="1130"/>
    <x v="1"/>
  </r>
  <r>
    <d v="2017-04-10T00:00:00"/>
    <s v="DE-14690"/>
    <n v="1500"/>
    <x v="0"/>
  </r>
  <r>
    <d v="2017-12-10T00:00:00"/>
    <s v="DE-15000"/>
    <n v="1710.0000000000002"/>
    <x v="0"/>
  </r>
  <r>
    <d v="2017-03-13T00:00:00"/>
    <s v="FO-14550"/>
    <n v="1710.0000000000002"/>
    <x v="3"/>
  </r>
  <r>
    <d v="2017-10-07T00:00:00"/>
    <s v="CA-11217"/>
    <n v="979.99999999999989"/>
    <x v="1"/>
  </r>
  <r>
    <d v="2017-07-23T00:00:00"/>
    <s v="CA-10091"/>
    <n v="1130"/>
    <x v="1"/>
  </r>
  <r>
    <d v="2017-07-05T00:00:00"/>
    <s v="DE-10381"/>
    <n v="1750"/>
    <x v="0"/>
  </r>
  <r>
    <d v="2017-05-31T00:00:00"/>
    <s v="BO-12304"/>
    <n v="2480"/>
    <x v="2"/>
  </r>
  <r>
    <d v="2017-04-17T00:00:00"/>
    <s v="DE-15588"/>
    <n v="840"/>
    <x v="0"/>
  </r>
  <r>
    <d v="2017-02-22T00:00:00"/>
    <s v="DE-15588"/>
    <n v="840"/>
    <x v="0"/>
  </r>
  <r>
    <d v="2017-03-16T00:00:00"/>
    <s v="FO-14642"/>
    <n v="1780"/>
    <x v="3"/>
  </r>
  <r>
    <d v="2017-02-10T00:00:00"/>
    <s v="DE-12516"/>
    <n v="1040"/>
    <x v="0"/>
  </r>
  <r>
    <d v="2017-02-08T00:00:00"/>
    <s v="BO-15397"/>
    <n v="1590"/>
    <x v="2"/>
  </r>
  <r>
    <d v="2017-09-30T00:00:00"/>
    <s v="DE-15588"/>
    <n v="840"/>
    <x v="0"/>
  </r>
  <r>
    <d v="2017-07-23T00:00:00"/>
    <s v="FO-12560"/>
    <n v="1490"/>
    <x v="3"/>
  </r>
  <r>
    <d v="2017-10-09T00:00:00"/>
    <s v="DE-11233"/>
    <n v="1700"/>
    <x v="0"/>
  </r>
  <r>
    <d v="2017-10-01T00:00:00"/>
    <s v="BO-15397"/>
    <n v="1590"/>
    <x v="2"/>
  </r>
  <r>
    <d v="2017-03-28T00:00:00"/>
    <s v="FO-12034"/>
    <n v="940"/>
    <x v="3"/>
  </r>
  <r>
    <d v="2017-09-08T00:00:00"/>
    <s v="FO-14755"/>
    <n v="1180"/>
    <x v="3"/>
  </r>
  <r>
    <d v="2017-07-15T00:00:00"/>
    <s v="FO-12642"/>
    <n v="1050"/>
    <x v="3"/>
  </r>
  <r>
    <d v="2017-10-11T00:00:00"/>
    <s v="CA-12215"/>
    <n v="1160"/>
    <x v="1"/>
  </r>
  <r>
    <d v="2017-10-08T00:00:00"/>
    <s v="CA-10908"/>
    <n v="950"/>
    <x v="1"/>
  </r>
  <r>
    <d v="2017-09-11T00:00:00"/>
    <s v="CA-10908"/>
    <n v="950"/>
    <x v="1"/>
  </r>
  <r>
    <d v="2017-10-19T00:00:00"/>
    <s v="FO-10885"/>
    <n v="1170"/>
    <x v="3"/>
  </r>
  <r>
    <d v="2017-03-11T00:00:00"/>
    <s v="FO-14550"/>
    <n v="1710.0000000000002"/>
    <x v="3"/>
  </r>
  <r>
    <d v="2017-12-05T00:00:00"/>
    <s v="CA-11992"/>
    <n v="1300"/>
    <x v="1"/>
  </r>
  <r>
    <d v="2017-07-16T00:00:00"/>
    <s v="DE-15205"/>
    <n v="1680"/>
    <x v="0"/>
  </r>
  <r>
    <d v="2017-04-08T00:00:00"/>
    <s v="FO-13332"/>
    <n v="1620.0000000000002"/>
    <x v="3"/>
  </r>
  <r>
    <d v="2017-09-12T00:00:00"/>
    <s v="DE-15588"/>
    <n v="840"/>
    <x v="0"/>
  </r>
  <r>
    <d v="2017-09-10T00:00:00"/>
    <s v="FO-11400"/>
    <n v="1240"/>
    <x v="3"/>
  </r>
  <r>
    <d v="2017-01-25T00:00:00"/>
    <s v="SA-15899"/>
    <n v="300"/>
    <x v="4"/>
  </r>
  <r>
    <d v="2017-07-23T00:00:00"/>
    <s v="FO-14642"/>
    <n v="1780"/>
    <x v="3"/>
  </r>
  <r>
    <d v="2017-09-11T00:00:00"/>
    <s v="DE-14064"/>
    <n v="1100"/>
    <x v="0"/>
  </r>
  <r>
    <d v="2017-06-14T00:00:00"/>
    <s v="CA-11217"/>
    <n v="979.99999999999989"/>
    <x v="1"/>
  </r>
  <r>
    <d v="2017-01-21T00:00:00"/>
    <s v="DE-12516"/>
    <n v="1040"/>
    <x v="0"/>
  </r>
  <r>
    <d v="2017-01-21T00:00:00"/>
    <s v="FO-13896"/>
    <n v="1530"/>
    <x v="3"/>
  </r>
  <r>
    <d v="2017-03-29T00:00:00"/>
    <s v="DE-14690"/>
    <n v="1500"/>
    <x v="0"/>
  </r>
  <r>
    <d v="2017-07-03T00:00:00"/>
    <s v="SA-11133"/>
    <n v="690"/>
    <x v="4"/>
  </r>
  <r>
    <d v="2017-07-13T00:00:00"/>
    <s v="BO-15397"/>
    <n v="1590"/>
    <x v="2"/>
  </r>
  <r>
    <d v="2017-05-15T00:00:00"/>
    <s v="CA-14506"/>
    <n v="819.99999999999989"/>
    <x v="1"/>
  </r>
  <r>
    <d v="2017-02-02T00:00:00"/>
    <s v="BO-14360"/>
    <n v="2130"/>
    <x v="2"/>
  </r>
  <r>
    <d v="2017-11-04T00:00:00"/>
    <s v="BO-15397"/>
    <n v="1590"/>
    <x v="2"/>
  </r>
  <r>
    <d v="2017-08-02T00:00:00"/>
    <s v="CA-14506"/>
    <n v="819.99999999999989"/>
    <x v="1"/>
  </r>
  <r>
    <d v="2017-12-11T00:00:00"/>
    <s v="CA-11217"/>
    <n v="979.99999999999989"/>
    <x v="1"/>
  </r>
  <r>
    <d v="2017-03-11T00:00:00"/>
    <s v="FO-11930"/>
    <n v="1740.0000000000002"/>
    <x v="3"/>
  </r>
  <r>
    <d v="2017-09-23T00:00:00"/>
    <s v="BO-12304"/>
    <n v="2480"/>
    <x v="2"/>
  </r>
  <r>
    <d v="2017-10-22T00:00:00"/>
    <s v="SA-15593"/>
    <n v="560"/>
    <x v="4"/>
  </r>
  <r>
    <d v="2017-08-08T00:00:00"/>
    <s v="FO-11930"/>
    <n v="1740.0000000000002"/>
    <x v="3"/>
  </r>
  <r>
    <d v="2017-10-24T00:00:00"/>
    <s v="DE-15205"/>
    <n v="1680"/>
    <x v="0"/>
  </r>
  <r>
    <d v="2017-10-25T00:00:00"/>
    <s v="CA-11992"/>
    <n v="1300"/>
    <x v="1"/>
  </r>
  <r>
    <d v="2017-12-02T00:00:00"/>
    <s v="CA-12215"/>
    <n v="1160"/>
    <x v="1"/>
  </r>
  <r>
    <d v="2017-12-07T00:00:00"/>
    <s v="SA-12963"/>
    <n v="619.99999999999989"/>
    <x v="4"/>
  </r>
  <r>
    <d v="2017-03-30T00:00:00"/>
    <s v="DE-12516"/>
    <n v="1040"/>
    <x v="0"/>
  </r>
  <r>
    <d v="2017-02-19T00:00:00"/>
    <s v="BO-15397"/>
    <n v="1590"/>
    <x v="2"/>
  </r>
  <r>
    <d v="2017-10-02T00:00:00"/>
    <s v="FO-14642"/>
    <n v="1780"/>
    <x v="3"/>
  </r>
  <r>
    <d v="2017-07-23T00:00:00"/>
    <s v="FO-14550"/>
    <n v="1710.0000000000002"/>
    <x v="3"/>
  </r>
  <r>
    <d v="2017-08-19T00:00:00"/>
    <s v="BO-15397"/>
    <n v="1590"/>
    <x v="2"/>
  </r>
  <r>
    <d v="2017-01-26T00:00:00"/>
    <s v="BO-11125"/>
    <n v="1840.0000000000002"/>
    <x v="2"/>
  </r>
  <r>
    <d v="2017-01-02T00:00:00"/>
    <s v="CA-11992"/>
    <n v="1300"/>
    <x v="1"/>
  </r>
  <r>
    <d v="2017-04-24T00:00:00"/>
    <s v="FO-13332"/>
    <n v="1620.0000000000002"/>
    <x v="3"/>
  </r>
  <r>
    <d v="2017-05-17T00:00:00"/>
    <s v="DE-11233"/>
    <n v="1700"/>
    <x v="0"/>
  </r>
  <r>
    <d v="2017-01-18T00:00:00"/>
    <s v="DE-11233"/>
    <n v="1700"/>
    <x v="0"/>
  </r>
  <r>
    <d v="2017-12-26T00:00:00"/>
    <s v="FO-11930"/>
    <n v="1740.0000000000002"/>
    <x v="3"/>
  </r>
  <r>
    <d v="2017-05-19T00:00:00"/>
    <s v="FO-14642"/>
    <n v="1780"/>
    <x v="3"/>
  </r>
  <r>
    <d v="2017-10-21T00:00:00"/>
    <s v="FO-14550"/>
    <n v="1710.0000000000002"/>
    <x v="3"/>
  </r>
  <r>
    <d v="2017-04-30T00:00:00"/>
    <s v="FO-12642"/>
    <n v="1050"/>
    <x v="3"/>
  </r>
  <r>
    <d v="2017-05-15T00:00:00"/>
    <s v="FO-14550"/>
    <n v="1710.0000000000002"/>
    <x v="3"/>
  </r>
  <r>
    <d v="2017-08-27T00:00:00"/>
    <s v="FO-10885"/>
    <n v="1170"/>
    <x v="3"/>
  </r>
  <r>
    <d v="2017-12-26T00:00:00"/>
    <s v="CA-15201"/>
    <n v="869.99999999999989"/>
    <x v="1"/>
  </r>
  <r>
    <d v="2017-07-29T00:00:00"/>
    <s v="DE-12516"/>
    <n v="1040"/>
    <x v="0"/>
  </r>
  <r>
    <d v="2017-08-25T00:00:00"/>
    <s v="DE-14163"/>
    <n v="1480"/>
    <x v="0"/>
  </r>
  <r>
    <d v="2017-11-15T00:00:00"/>
    <s v="BO-15082"/>
    <n v="2260"/>
    <x v="2"/>
  </r>
  <r>
    <d v="2017-09-28T00:00:00"/>
    <s v="BO-10758"/>
    <n v="1640.0000000000002"/>
    <x v="2"/>
  </r>
  <r>
    <d v="2017-12-02T00:00:00"/>
    <s v="CA-11217"/>
    <n v="979.99999999999989"/>
    <x v="1"/>
  </r>
  <r>
    <d v="2017-09-27T00:00:00"/>
    <s v="DE-14690"/>
    <n v="1500"/>
    <x v="0"/>
  </r>
  <r>
    <d v="2017-07-12T00:00:00"/>
    <s v="SA-15899"/>
    <n v="300"/>
    <x v="4"/>
  </r>
  <r>
    <d v="2017-12-09T00:00:00"/>
    <s v="CA-15742"/>
    <n v="960"/>
    <x v="1"/>
  </r>
  <r>
    <d v="2017-11-05T00:00:00"/>
    <s v="BO-15082"/>
    <n v="2260"/>
    <x v="2"/>
  </r>
  <r>
    <d v="2017-09-05T00:00:00"/>
    <s v="CA-14506"/>
    <n v="819.99999999999989"/>
    <x v="1"/>
  </r>
  <r>
    <d v="2017-07-08T00:00:00"/>
    <s v="BO-11125"/>
    <n v="1840.0000000000002"/>
    <x v="2"/>
  </r>
  <r>
    <d v="2017-07-26T00:00:00"/>
    <s v="BO-10758"/>
    <n v="1640.0000000000002"/>
    <x v="2"/>
  </r>
  <r>
    <d v="2017-02-20T00:00:00"/>
    <s v="FO-11139"/>
    <n v="1120"/>
    <x v="3"/>
  </r>
  <r>
    <d v="2017-04-17T00:00:00"/>
    <s v="CA-11217"/>
    <n v="979.99999999999989"/>
    <x v="1"/>
  </r>
  <r>
    <d v="2017-09-13T00:00:00"/>
    <s v="BO-14360"/>
    <n v="2130"/>
    <x v="2"/>
  </r>
  <r>
    <d v="2017-01-15T00:00:00"/>
    <s v="DE-10381"/>
    <n v="1750"/>
    <x v="0"/>
  </r>
  <r>
    <d v="2017-04-29T00:00:00"/>
    <s v="BO-13867"/>
    <n v="2130"/>
    <x v="2"/>
  </r>
  <r>
    <d v="2017-12-11T00:00:00"/>
    <s v="DE-15205"/>
    <n v="1680"/>
    <x v="0"/>
  </r>
  <r>
    <d v="2017-11-24T00:00:00"/>
    <s v="DE-14590"/>
    <n v="1230"/>
    <x v="0"/>
  </r>
  <r>
    <d v="2017-01-25T00:00:00"/>
    <s v="SA-15899"/>
    <n v="300"/>
    <x v="4"/>
  </r>
  <r>
    <d v="2017-03-12T00:00:00"/>
    <s v="DE-12516"/>
    <n v="1040"/>
    <x v="0"/>
  </r>
  <r>
    <d v="2017-04-18T00:00:00"/>
    <s v="DE-15000"/>
    <n v="1710.0000000000002"/>
    <x v="0"/>
  </r>
  <r>
    <d v="2017-06-21T00:00:00"/>
    <s v="DE-14163"/>
    <n v="1480"/>
    <x v="0"/>
  </r>
  <r>
    <d v="2017-12-28T00:00:00"/>
    <s v="SA-15593"/>
    <n v="560"/>
    <x v="4"/>
  </r>
  <r>
    <d v="2017-01-07T00:00:00"/>
    <s v="FO-12642"/>
    <n v="1050"/>
    <x v="3"/>
  </r>
  <r>
    <d v="2017-11-19T00:00:00"/>
    <s v="DE-10381"/>
    <n v="1750"/>
    <x v="0"/>
  </r>
  <r>
    <d v="2017-10-05T00:00:00"/>
    <s v="FO-12560"/>
    <n v="1490"/>
    <x v="3"/>
  </r>
  <r>
    <d v="2017-01-11T00:00:00"/>
    <s v="FO-11139"/>
    <n v="1120"/>
    <x v="3"/>
  </r>
  <r>
    <d v="2017-08-26T00:00:00"/>
    <s v="SA-12963"/>
    <n v="619.99999999999989"/>
    <x v="4"/>
  </r>
  <r>
    <d v="2017-01-30T00:00:00"/>
    <s v="CA-14506"/>
    <n v="819.99999999999989"/>
    <x v="1"/>
  </r>
  <r>
    <d v="2017-02-17T00:00:00"/>
    <s v="DE-15000"/>
    <n v="1710.0000000000002"/>
    <x v="0"/>
  </r>
  <r>
    <d v="2017-03-29T00:00:00"/>
    <s v="DE-10381"/>
    <n v="1750"/>
    <x v="0"/>
  </r>
  <r>
    <d v="2017-08-13T00:00:00"/>
    <s v="FO-13896"/>
    <n v="1530"/>
    <x v="3"/>
  </r>
  <r>
    <d v="2017-11-20T00:00:00"/>
    <s v="BO-15082"/>
    <n v="2260"/>
    <x v="2"/>
  </r>
  <r>
    <d v="2017-12-07T00:00:00"/>
    <s v="BO-15082"/>
    <n v="2260"/>
    <x v="2"/>
  </r>
  <r>
    <d v="2017-02-28T00:00:00"/>
    <s v="FO-11400"/>
    <n v="1240"/>
    <x v="3"/>
  </r>
  <r>
    <d v="2017-08-28T00:00:00"/>
    <s v="CA-14538"/>
    <n v="1090"/>
    <x v="1"/>
  </r>
  <r>
    <d v="2017-11-07T00:00:00"/>
    <s v="DE-14590"/>
    <n v="1230"/>
    <x v="0"/>
  </r>
  <r>
    <d v="2017-02-18T00:00:00"/>
    <s v="BO-12103"/>
    <n v="2110"/>
    <x v="2"/>
  </r>
  <r>
    <d v="2017-06-08T00:00:00"/>
    <s v="CA-10091"/>
    <n v="1130"/>
    <x v="1"/>
  </r>
  <r>
    <d v="2017-07-15T00:00:00"/>
    <s v="DE-14690"/>
    <n v="1500"/>
    <x v="0"/>
  </r>
  <r>
    <d v="2017-01-01T00:00:00"/>
    <s v="DE-14690"/>
    <n v="1500"/>
    <x v="0"/>
  </r>
  <r>
    <d v="2017-04-19T00:00:00"/>
    <s v="CA-14538"/>
    <n v="1090"/>
    <x v="1"/>
  </r>
  <r>
    <d v="2017-01-23T00:00:00"/>
    <s v="FO-11930"/>
    <n v="1740.0000000000002"/>
    <x v="3"/>
  </r>
  <r>
    <d v="2017-06-02T00:00:00"/>
    <s v="DE-15205"/>
    <n v="1680"/>
    <x v="0"/>
  </r>
  <r>
    <d v="2017-03-09T00:00:00"/>
    <s v="CA-11217"/>
    <n v="979.99999999999989"/>
    <x v="1"/>
  </r>
  <r>
    <d v="2017-07-16T00:00:00"/>
    <s v="DE-15588"/>
    <n v="840"/>
    <x v="0"/>
  </r>
  <r>
    <d v="2017-04-11T00:00:00"/>
    <s v="DE-15205"/>
    <n v="1680"/>
    <x v="0"/>
  </r>
  <r>
    <d v="2017-01-01T00:00:00"/>
    <s v="DE-14064"/>
    <n v="1100"/>
    <x v="0"/>
  </r>
  <r>
    <d v="2017-12-23T00:00:00"/>
    <s v="BO-14360"/>
    <n v="2130"/>
    <x v="2"/>
  </r>
  <r>
    <d v="2017-05-19T00:00:00"/>
    <s v="CA-14538"/>
    <n v="1090"/>
    <x v="1"/>
  </r>
  <r>
    <d v="2017-06-15T00:00:00"/>
    <s v="DE-14690"/>
    <n v="1500"/>
    <x v="0"/>
  </r>
  <r>
    <d v="2017-07-25T00:00:00"/>
    <s v="DE-15205"/>
    <n v="1680"/>
    <x v="0"/>
  </r>
  <r>
    <d v="2017-09-04T00:00:00"/>
    <s v="BO-12304"/>
    <n v="2480"/>
    <x v="2"/>
  </r>
  <r>
    <d v="2017-01-05T00:00:00"/>
    <s v="CA-15742"/>
    <n v="960"/>
    <x v="1"/>
  </r>
  <r>
    <d v="2017-04-29T00:00:00"/>
    <s v="SA-11133"/>
    <n v="690"/>
    <x v="4"/>
  </r>
  <r>
    <d v="2017-01-02T00:00:00"/>
    <s v="SA-11133"/>
    <n v="690"/>
    <x v="4"/>
  </r>
  <r>
    <d v="2017-08-22T00:00:00"/>
    <s v="FO-11930"/>
    <n v="1740.0000000000002"/>
    <x v="3"/>
  </r>
  <r>
    <d v="2017-12-25T00:00:00"/>
    <s v="DE-15588"/>
    <n v="840"/>
    <x v="0"/>
  </r>
  <r>
    <d v="2017-11-21T00:00:00"/>
    <s v="SA-12963"/>
    <n v="619.99999999999989"/>
    <x v="4"/>
  </r>
  <r>
    <d v="2017-09-24T00:00:00"/>
    <s v="DE-14064"/>
    <n v="1100"/>
    <x v="0"/>
  </r>
  <r>
    <d v="2017-04-29T00:00:00"/>
    <s v="FO-10885"/>
    <n v="1170"/>
    <x v="3"/>
  </r>
  <r>
    <d v="2017-08-24T00:00:00"/>
    <s v="FO-15811"/>
    <n v="840"/>
    <x v="3"/>
  </r>
  <r>
    <d v="2018-01-01T00:00:00"/>
    <s v="BO-13867"/>
    <n v="2130"/>
    <x v="2"/>
  </r>
  <r>
    <d v="2017-08-03T00:00:00"/>
    <s v="SA-12124"/>
    <n v="350"/>
    <x v="4"/>
  </r>
  <r>
    <d v="2017-07-31T00:00:00"/>
    <s v="DE-14064"/>
    <n v="1100"/>
    <x v="0"/>
  </r>
  <r>
    <d v="2017-02-10T00:00:00"/>
    <s v="DE-15000"/>
    <n v="1710.0000000000002"/>
    <x v="0"/>
  </r>
  <r>
    <d v="2017-07-09T00:00:00"/>
    <s v="CA-14538"/>
    <n v="1090"/>
    <x v="1"/>
  </r>
  <r>
    <d v="2017-03-11T00:00:00"/>
    <s v="BO-11125"/>
    <n v="1840.0000000000002"/>
    <x v="2"/>
  </r>
  <r>
    <d v="2017-05-23T00:00:00"/>
    <s v="FO-14642"/>
    <n v="1780"/>
    <x v="3"/>
  </r>
  <r>
    <d v="2017-07-26T00:00:00"/>
    <s v="DE-10381"/>
    <n v="1750"/>
    <x v="0"/>
  </r>
  <r>
    <d v="2017-07-09T00:00:00"/>
    <s v="BO-12103"/>
    <n v="2110"/>
    <x v="2"/>
  </r>
  <r>
    <d v="2017-02-14T00:00:00"/>
    <s v="DE-15588"/>
    <n v="840"/>
    <x v="0"/>
  </r>
  <r>
    <d v="2017-12-19T00:00:00"/>
    <s v="BO-15397"/>
    <n v="1590"/>
    <x v="2"/>
  </r>
  <r>
    <d v="2017-05-10T00:00:00"/>
    <s v="CA-10908"/>
    <n v="950"/>
    <x v="1"/>
  </r>
  <r>
    <d v="2017-02-11T00:00:00"/>
    <s v="BO-13867"/>
    <n v="2130"/>
    <x v="2"/>
  </r>
  <r>
    <d v="2017-03-07T00:00:00"/>
    <s v="FO-15561"/>
    <n v="969.99999999999989"/>
    <x v="3"/>
  </r>
  <r>
    <d v="2017-09-18T00:00:00"/>
    <s v="DE-12516"/>
    <n v="1040"/>
    <x v="0"/>
  </r>
  <r>
    <d v="2017-05-17T00:00:00"/>
    <s v="DE-14690"/>
    <n v="1500"/>
    <x v="0"/>
  </r>
  <r>
    <d v="2017-03-20T00:00:00"/>
    <s v="SA-15593"/>
    <n v="560"/>
    <x v="4"/>
  </r>
  <r>
    <d v="2017-07-17T00:00:00"/>
    <s v="CA-11992"/>
    <n v="1300"/>
    <x v="1"/>
  </r>
  <r>
    <d v="2018-01-01T00:00:00"/>
    <s v="CA-15742"/>
    <n v="960"/>
    <x v="1"/>
  </r>
  <r>
    <d v="2017-08-29T00:00:00"/>
    <s v="FO-11139"/>
    <n v="1120"/>
    <x v="3"/>
  </r>
  <r>
    <d v="2017-02-13T00:00:00"/>
    <s v="DE-15588"/>
    <n v="840"/>
    <x v="0"/>
  </r>
  <r>
    <d v="2017-06-19T00:00:00"/>
    <s v="BO-11125"/>
    <n v="1840.0000000000002"/>
    <x v="2"/>
  </r>
  <r>
    <d v="2017-07-10T00:00:00"/>
    <s v="DE-15588"/>
    <n v="840"/>
    <x v="0"/>
  </r>
  <r>
    <d v="2017-10-19T00:00:00"/>
    <s v="FO-11930"/>
    <n v="1740.0000000000002"/>
    <x v="3"/>
  </r>
  <r>
    <d v="2017-04-06T00:00:00"/>
    <s v="CA-14506"/>
    <n v="819.99999999999989"/>
    <x v="1"/>
  </r>
  <r>
    <d v="2017-10-01T00:00:00"/>
    <s v="CA-11992"/>
    <n v="1300"/>
    <x v="1"/>
  </r>
  <r>
    <d v="2017-08-08T00:00:00"/>
    <s v="DE-12516"/>
    <n v="1040"/>
    <x v="0"/>
  </r>
  <r>
    <d v="2017-08-22T00:00:00"/>
    <s v="FO-12560"/>
    <n v="1490"/>
    <x v="3"/>
  </r>
  <r>
    <d v="2017-01-10T00:00:00"/>
    <s v="BO-12304"/>
    <n v="2480"/>
    <x v="2"/>
  </r>
  <r>
    <d v="2017-01-10T00:00:00"/>
    <s v="SA-12963"/>
    <n v="619.99999999999989"/>
    <x v="4"/>
  </r>
  <r>
    <d v="2017-05-01T00:00:00"/>
    <s v="BO-11125"/>
    <n v="1840.0000000000002"/>
    <x v="2"/>
  </r>
  <r>
    <d v="2017-03-12T00:00:00"/>
    <s v="FO-10885"/>
    <n v="1170"/>
    <x v="3"/>
  </r>
  <r>
    <d v="2017-02-13T00:00:00"/>
    <s v="BO-11125"/>
    <n v="1840.0000000000002"/>
    <x v="2"/>
  </r>
  <r>
    <d v="2017-05-06T00:00:00"/>
    <s v="DE-14064"/>
    <n v="1100"/>
    <x v="0"/>
  </r>
  <r>
    <d v="2017-05-19T00:00:00"/>
    <s v="BO-12304"/>
    <n v="2480"/>
    <x v="2"/>
  </r>
  <r>
    <d v="2017-10-30T00:00:00"/>
    <s v="DE-14163"/>
    <n v="1480"/>
    <x v="0"/>
  </r>
  <r>
    <d v="2017-12-10T00:00:00"/>
    <s v="FO-14900"/>
    <n v="1050"/>
    <x v="3"/>
  </r>
  <r>
    <d v="2017-08-01T00:00:00"/>
    <s v="DE-14590"/>
    <n v="1230"/>
    <x v="0"/>
  </r>
  <r>
    <d v="2017-04-11T00:00:00"/>
    <s v="DE-11233"/>
    <n v="1700"/>
    <x v="0"/>
  </r>
  <r>
    <d v="2017-02-03T00:00:00"/>
    <s v="BO-10758"/>
    <n v="1640.0000000000002"/>
    <x v="2"/>
  </r>
  <r>
    <d v="2017-03-18T00:00:00"/>
    <s v="FO-10885"/>
    <n v="1170"/>
    <x v="3"/>
  </r>
  <r>
    <d v="2017-05-27T00:00:00"/>
    <s v="FO-12642"/>
    <n v="1050"/>
    <x v="3"/>
  </r>
  <r>
    <d v="2017-07-23T00:00:00"/>
    <s v="FO-11139"/>
    <n v="1120"/>
    <x v="3"/>
  </r>
  <r>
    <d v="2017-05-05T00:00:00"/>
    <s v="BO-12304"/>
    <n v="2480"/>
    <x v="2"/>
  </r>
  <r>
    <d v="2017-02-10T00:00:00"/>
    <s v="BO-10758"/>
    <n v="1640.0000000000002"/>
    <x v="2"/>
  </r>
  <r>
    <d v="2017-08-29T00:00:00"/>
    <s v="BO-12304"/>
    <n v="2480"/>
    <x v="2"/>
  </r>
  <r>
    <d v="2017-04-27T00:00:00"/>
    <s v="DE-10381"/>
    <n v="1750"/>
    <x v="0"/>
  </r>
  <r>
    <d v="2017-10-05T00:00:00"/>
    <s v="SA-12124"/>
    <n v="350"/>
    <x v="4"/>
  </r>
  <r>
    <d v="2017-07-10T00:00:00"/>
    <s v="DE-10381"/>
    <n v="1750"/>
    <x v="0"/>
  </r>
  <r>
    <d v="2017-05-21T00:00:00"/>
    <s v="DE-15205"/>
    <n v="1680"/>
    <x v="0"/>
  </r>
  <r>
    <d v="2017-07-04T00:00:00"/>
    <s v="FO-13332"/>
    <n v="1620.0000000000002"/>
    <x v="3"/>
  </r>
  <r>
    <d v="2017-04-16T00:00:00"/>
    <s v="CA-14538"/>
    <n v="1090"/>
    <x v="1"/>
  </r>
  <r>
    <d v="2017-09-04T00:00:00"/>
    <s v="CA-12215"/>
    <n v="1160"/>
    <x v="1"/>
  </r>
  <r>
    <d v="2017-10-06T00:00:00"/>
    <s v="FO-14900"/>
    <n v="1050"/>
    <x v="3"/>
  </r>
  <r>
    <d v="2017-08-07T00:00:00"/>
    <s v="FO-13332"/>
    <n v="1620.0000000000002"/>
    <x v="3"/>
  </r>
  <r>
    <d v="2017-04-06T00:00:00"/>
    <s v="DE-14590"/>
    <n v="1230"/>
    <x v="0"/>
  </r>
  <r>
    <d v="2017-04-09T00:00:00"/>
    <s v="CA-10908"/>
    <n v="950"/>
    <x v="1"/>
  </r>
  <r>
    <d v="2017-03-26T00:00:00"/>
    <s v="CA-12215"/>
    <n v="1160"/>
    <x v="1"/>
  </r>
  <r>
    <d v="2017-12-28T00:00:00"/>
    <s v="DE-12516"/>
    <n v="1040"/>
    <x v="0"/>
  </r>
  <r>
    <d v="2017-04-08T00:00:00"/>
    <s v="CA-11992"/>
    <n v="1300"/>
    <x v="1"/>
  </r>
  <r>
    <d v="2017-01-14T00:00:00"/>
    <s v="DE-12516"/>
    <n v="1040"/>
    <x v="0"/>
  </r>
  <r>
    <d v="2017-02-20T00:00:00"/>
    <s v="FO-14642"/>
    <n v="1780"/>
    <x v="3"/>
  </r>
  <r>
    <d v="2017-12-31T00:00:00"/>
    <s v="FO-12034"/>
    <n v="940"/>
    <x v="3"/>
  </r>
  <r>
    <d v="2017-07-05T00:00:00"/>
    <s v="FO-11139"/>
    <n v="1120"/>
    <x v="3"/>
  </r>
  <r>
    <d v="2017-12-28T00:00:00"/>
    <s v="DE-14590"/>
    <n v="1230"/>
    <x v="0"/>
  </r>
  <r>
    <d v="2017-06-08T00:00:00"/>
    <s v="FO-14642"/>
    <n v="1780"/>
    <x v="3"/>
  </r>
  <r>
    <d v="2017-10-02T00:00:00"/>
    <s v="FO-14755"/>
    <n v="1180"/>
    <x v="3"/>
  </r>
  <r>
    <d v="2017-06-09T00:00:00"/>
    <s v="CA-15201"/>
    <n v="869.99999999999989"/>
    <x v="1"/>
  </r>
  <r>
    <d v="2017-01-10T00:00:00"/>
    <s v="FO-11139"/>
    <n v="1120"/>
    <x v="3"/>
  </r>
  <r>
    <d v="2017-12-06T00:00:00"/>
    <s v="BO-13867"/>
    <n v="2130"/>
    <x v="2"/>
  </r>
  <r>
    <d v="2017-04-21T00:00:00"/>
    <s v="FO-14755"/>
    <n v="1180"/>
    <x v="3"/>
  </r>
  <r>
    <d v="2017-12-28T00:00:00"/>
    <s v="DE-14590"/>
    <n v="1230"/>
    <x v="0"/>
  </r>
  <r>
    <d v="2017-05-12T00:00:00"/>
    <s v="FO-10885"/>
    <n v="1170"/>
    <x v="3"/>
  </r>
  <r>
    <d v="2017-07-03T00:00:00"/>
    <s v="DE-14064"/>
    <n v="1100"/>
    <x v="0"/>
  </r>
  <r>
    <d v="2017-08-15T00:00:00"/>
    <s v="FO-11139"/>
    <n v="1120"/>
    <x v="3"/>
  </r>
  <r>
    <d v="2017-07-20T00:00:00"/>
    <s v="BO-10758"/>
    <n v="1640.0000000000002"/>
    <x v="2"/>
  </r>
  <r>
    <d v="2017-09-27T00:00:00"/>
    <s v="CA-14506"/>
    <n v="819.99999999999989"/>
    <x v="1"/>
  </r>
  <r>
    <d v="2017-02-08T00:00:00"/>
    <s v="SA-15899"/>
    <n v="300"/>
    <x v="4"/>
  </r>
  <r>
    <d v="2017-04-17T00:00:00"/>
    <s v="CA-12215"/>
    <n v="1160"/>
    <x v="1"/>
  </r>
  <r>
    <d v="2017-02-10T00:00:00"/>
    <s v="FO-12034"/>
    <n v="940"/>
    <x v="3"/>
  </r>
  <r>
    <d v="2017-01-29T00:00:00"/>
    <s v="CA-10908"/>
    <n v="950"/>
    <x v="1"/>
  </r>
  <r>
    <d v="2017-11-01T00:00:00"/>
    <s v="FO-15561"/>
    <n v="969.99999999999989"/>
    <x v="3"/>
  </r>
  <r>
    <d v="2017-10-29T00:00:00"/>
    <s v="DE-10381"/>
    <n v="1750"/>
    <x v="0"/>
  </r>
  <r>
    <d v="2017-08-16T00:00:00"/>
    <s v="SA-12963"/>
    <n v="619.99999999999989"/>
    <x v="4"/>
  </r>
  <r>
    <d v="2017-03-02T00:00:00"/>
    <s v="BO-10119"/>
    <n v="1560"/>
    <x v="2"/>
  </r>
  <r>
    <d v="2017-12-09T00:00:00"/>
    <s v="BO-10758"/>
    <n v="1640.0000000000002"/>
    <x v="2"/>
  </r>
  <r>
    <d v="2017-01-12T00:00:00"/>
    <s v="BO-10119"/>
    <n v="1560"/>
    <x v="2"/>
  </r>
  <r>
    <d v="2017-05-04T00:00:00"/>
    <s v="BO-10119"/>
    <n v="1560"/>
    <x v="2"/>
  </r>
  <r>
    <d v="2017-06-06T00:00:00"/>
    <s v="BO-15397"/>
    <n v="1590"/>
    <x v="2"/>
  </r>
  <r>
    <d v="2017-06-06T00:00:00"/>
    <s v="DE-11233"/>
    <n v="1700"/>
    <x v="0"/>
  </r>
  <r>
    <d v="2017-03-16T00:00:00"/>
    <s v="BO-12103"/>
    <n v="2110"/>
    <x v="2"/>
  </r>
  <r>
    <d v="2017-10-19T00:00:00"/>
    <s v="BO-11125"/>
    <n v="1840.0000000000002"/>
    <x v="2"/>
  </r>
  <r>
    <d v="2017-04-16T00:00:00"/>
    <s v="BO-13867"/>
    <n v="2130"/>
    <x v="2"/>
  </r>
  <r>
    <d v="2017-12-26T00:00:00"/>
    <s v="BO-13867"/>
    <n v="2130"/>
    <x v="2"/>
  </r>
  <r>
    <d v="2017-05-25T00:00:00"/>
    <s v="FO-11930"/>
    <n v="1740.0000000000002"/>
    <x v="3"/>
  </r>
  <r>
    <d v="2017-07-06T00:00:00"/>
    <s v="CA-15201"/>
    <n v="869.99999999999989"/>
    <x v="1"/>
  </r>
  <r>
    <d v="2017-04-12T00:00:00"/>
    <s v="FO-15561"/>
    <n v="969.99999999999989"/>
    <x v="3"/>
  </r>
  <r>
    <d v="2017-02-21T00:00:00"/>
    <s v="FO-15561"/>
    <n v="969.99999999999989"/>
    <x v="3"/>
  </r>
  <r>
    <d v="2017-10-08T00:00:00"/>
    <s v="CA-11145"/>
    <n v="1019.9999999999999"/>
    <x v="1"/>
  </r>
  <r>
    <d v="2017-06-26T00:00:00"/>
    <s v="FO-14642"/>
    <n v="1780"/>
    <x v="3"/>
  </r>
  <r>
    <d v="2017-03-17T00:00:00"/>
    <s v="FO-13896"/>
    <n v="1530"/>
    <x v="3"/>
  </r>
  <r>
    <d v="2017-06-25T00:00:00"/>
    <s v="CA-11145"/>
    <n v="1019.9999999999999"/>
    <x v="1"/>
  </r>
  <r>
    <d v="2017-12-17T00:00:00"/>
    <s v="DE-11233"/>
    <n v="1700"/>
    <x v="0"/>
  </r>
  <r>
    <d v="2017-03-15T00:00:00"/>
    <s v="BO-12103"/>
    <n v="2110"/>
    <x v="2"/>
  </r>
  <r>
    <d v="2017-05-24T00:00:00"/>
    <s v="FO-15561"/>
    <n v="969.99999999999989"/>
    <x v="3"/>
  </r>
  <r>
    <d v="2017-11-17T00:00:00"/>
    <s v="DE-14690"/>
    <n v="1500"/>
    <x v="0"/>
  </r>
  <r>
    <d v="2017-01-07T00:00:00"/>
    <s v="BO-12304"/>
    <n v="2480"/>
    <x v="2"/>
  </r>
  <r>
    <d v="2017-03-17T00:00:00"/>
    <s v="DE-14064"/>
    <n v="1100"/>
    <x v="0"/>
  </r>
  <r>
    <d v="2017-12-12T00:00:00"/>
    <s v="BO-10758"/>
    <n v="1640.0000000000002"/>
    <x v="2"/>
  </r>
  <r>
    <d v="2017-01-08T00:00:00"/>
    <s v="DE-14163"/>
    <n v="1480"/>
    <x v="0"/>
  </r>
  <r>
    <d v="2017-05-31T00:00:00"/>
    <s v="SA-11133"/>
    <n v="690"/>
    <x v="4"/>
  </r>
  <r>
    <d v="2017-10-12T00:00:00"/>
    <s v="SA-15593"/>
    <n v="560"/>
    <x v="4"/>
  </r>
  <r>
    <d v="2017-12-16T00:00:00"/>
    <s v="FO-13896"/>
    <n v="1530"/>
    <x v="3"/>
  </r>
  <r>
    <d v="2017-09-04T00:00:00"/>
    <s v="FO-14755"/>
    <n v="1180"/>
    <x v="3"/>
  </r>
  <r>
    <d v="2017-01-07T00:00:00"/>
    <s v="CA-12215"/>
    <n v="1160"/>
    <x v="1"/>
  </r>
  <r>
    <d v="2017-11-24T00:00:00"/>
    <s v="DE-12516"/>
    <n v="1040"/>
    <x v="0"/>
  </r>
  <r>
    <d v="2017-02-28T00:00:00"/>
    <s v="BO-15082"/>
    <n v="2260"/>
    <x v="2"/>
  </r>
  <r>
    <d v="2017-02-12T00:00:00"/>
    <s v="CA-15742"/>
    <n v="960"/>
    <x v="1"/>
  </r>
  <r>
    <d v="2017-08-13T00:00:00"/>
    <s v="SA-11133"/>
    <n v="690"/>
    <x v="4"/>
  </r>
  <r>
    <d v="2017-07-21T00:00:00"/>
    <s v="FO-10885"/>
    <n v="1170"/>
    <x v="3"/>
  </r>
  <r>
    <d v="2017-12-25T00:00:00"/>
    <s v="FO-13332"/>
    <n v="1620.0000000000002"/>
    <x v="3"/>
  </r>
  <r>
    <d v="2017-08-21T00:00:00"/>
    <s v="CA-14506"/>
    <n v="819.99999999999989"/>
    <x v="1"/>
  </r>
  <r>
    <d v="2017-11-14T00:00:00"/>
    <s v="DE-14163"/>
    <n v="1480"/>
    <x v="0"/>
  </r>
  <r>
    <d v="2017-08-30T00:00:00"/>
    <s v="DE-14163"/>
    <n v="1480"/>
    <x v="0"/>
  </r>
  <r>
    <d v="2017-05-20T00:00:00"/>
    <s v="FO-11400"/>
    <n v="1240"/>
    <x v="3"/>
  </r>
  <r>
    <d v="2017-12-10T00:00:00"/>
    <s v="FO-12560"/>
    <n v="1490"/>
    <x v="3"/>
  </r>
  <r>
    <d v="2017-11-07T00:00:00"/>
    <s v="CA-15742"/>
    <n v="960"/>
    <x v="1"/>
  </r>
  <r>
    <d v="2017-09-28T00:00:00"/>
    <s v="FO-14900"/>
    <n v="1050"/>
    <x v="3"/>
  </r>
  <r>
    <d v="2018-01-01T00:00:00"/>
    <s v="SA-15593"/>
    <n v="560"/>
    <x v="4"/>
  </r>
  <r>
    <d v="2017-07-02T00:00:00"/>
    <s v="BO-14360"/>
    <n v="2130"/>
    <x v="2"/>
  </r>
  <r>
    <d v="2017-05-10T00:00:00"/>
    <s v="CA-15742"/>
    <n v="960"/>
    <x v="1"/>
  </r>
  <r>
    <d v="2017-03-06T00:00:00"/>
    <s v="BO-10758"/>
    <n v="1640.0000000000002"/>
    <x v="2"/>
  </r>
  <r>
    <d v="2017-10-30T00:00:00"/>
    <s v="DE-14163"/>
    <n v="1480"/>
    <x v="0"/>
  </r>
  <r>
    <d v="2017-07-09T00:00:00"/>
    <s v="DE-15000"/>
    <n v="1710.0000000000002"/>
    <x v="0"/>
  </r>
  <r>
    <d v="2017-09-25T00:00:00"/>
    <s v="BO-10758"/>
    <n v="1640.0000000000002"/>
    <x v="2"/>
  </r>
  <r>
    <d v="2017-07-31T00:00:00"/>
    <s v="BO-15082"/>
    <n v="2260"/>
    <x v="2"/>
  </r>
  <r>
    <d v="2017-10-23T00:00:00"/>
    <s v="FO-13896"/>
    <n v="1530"/>
    <x v="3"/>
  </r>
  <r>
    <d v="2017-12-29T00:00:00"/>
    <s v="BO-10758"/>
    <n v="1640.0000000000002"/>
    <x v="2"/>
  </r>
  <r>
    <d v="2017-12-22T00:00:00"/>
    <s v="FO-14900"/>
    <n v="1050"/>
    <x v="3"/>
  </r>
  <r>
    <d v="2017-08-17T00:00:00"/>
    <s v="SA-11133"/>
    <n v="690"/>
    <x v="4"/>
  </r>
  <r>
    <d v="2017-09-13T00:00:00"/>
    <s v="CA-15201"/>
    <n v="869.99999999999989"/>
    <x v="1"/>
  </r>
  <r>
    <d v="2017-06-10T00:00:00"/>
    <s v="FO-13896"/>
    <n v="1530"/>
    <x v="3"/>
  </r>
  <r>
    <d v="2017-04-25T00:00:00"/>
    <s v="FO-12034"/>
    <n v="940"/>
    <x v="3"/>
  </r>
  <r>
    <d v="2017-06-22T00:00:00"/>
    <s v="DE-14163"/>
    <n v="1480"/>
    <x v="0"/>
  </r>
  <r>
    <d v="2017-03-08T00:00:00"/>
    <s v="DE-14064"/>
    <n v="1100"/>
    <x v="0"/>
  </r>
  <r>
    <d v="2017-05-28T00:00:00"/>
    <s v="DE-14163"/>
    <n v="1480"/>
    <x v="0"/>
  </r>
  <r>
    <d v="2017-08-19T00:00:00"/>
    <s v="SA-12963"/>
    <n v="619.99999999999989"/>
    <x v="4"/>
  </r>
  <r>
    <d v="2017-05-28T00:00:00"/>
    <s v="BO-15082"/>
    <n v="2260"/>
    <x v="2"/>
  </r>
  <r>
    <d v="2017-06-07T00:00:00"/>
    <s v="FO-14550"/>
    <n v="1710.0000000000002"/>
    <x v="3"/>
  </r>
  <r>
    <d v="2017-07-07T00:00:00"/>
    <s v="FO-11400"/>
    <n v="1240"/>
    <x v="3"/>
  </r>
  <r>
    <d v="2017-09-30T00:00:00"/>
    <s v="DE-15000"/>
    <n v="1710.0000000000002"/>
    <x v="0"/>
  </r>
  <r>
    <d v="2017-11-27T00:00:00"/>
    <s v="FO-14900"/>
    <n v="1050"/>
    <x v="3"/>
  </r>
  <r>
    <d v="2017-06-14T00:00:00"/>
    <s v="DE-12516"/>
    <n v="1040"/>
    <x v="0"/>
  </r>
  <r>
    <d v="2017-05-05T00:00:00"/>
    <s v="CA-12215"/>
    <n v="1160"/>
    <x v="1"/>
  </r>
  <r>
    <d v="2017-03-22T00:00:00"/>
    <s v="CA-14506"/>
    <n v="819.99999999999989"/>
    <x v="1"/>
  </r>
  <r>
    <d v="2017-03-08T00:00:00"/>
    <s v="DE-14064"/>
    <n v="1100"/>
    <x v="0"/>
  </r>
  <r>
    <d v="2017-11-02T00:00:00"/>
    <s v="SA-12124"/>
    <n v="350"/>
    <x v="4"/>
  </r>
  <r>
    <d v="2017-12-02T00:00:00"/>
    <s v="DE-14163"/>
    <n v="1480"/>
    <x v="0"/>
  </r>
  <r>
    <d v="2017-05-16T00:00:00"/>
    <s v="CA-15201"/>
    <n v="869.99999999999989"/>
    <x v="1"/>
  </r>
  <r>
    <d v="2017-01-15T00:00:00"/>
    <s v="BO-15082"/>
    <n v="2260"/>
    <x v="2"/>
  </r>
  <r>
    <d v="2017-07-18T00:00:00"/>
    <s v="BO-15082"/>
    <n v="2260"/>
    <x v="2"/>
  </r>
  <r>
    <d v="2017-04-07T00:00:00"/>
    <s v="FO-13896"/>
    <n v="1530"/>
    <x v="3"/>
  </r>
  <r>
    <d v="2017-11-20T00:00:00"/>
    <s v="BO-11125"/>
    <n v="1840.0000000000002"/>
    <x v="2"/>
  </r>
  <r>
    <d v="2017-10-16T00:00:00"/>
    <s v="BO-15397"/>
    <n v="1590"/>
    <x v="2"/>
  </r>
  <r>
    <d v="2017-11-07T00:00:00"/>
    <s v="DE-15205"/>
    <n v="1680"/>
    <x v="0"/>
  </r>
  <r>
    <d v="2017-08-18T00:00:00"/>
    <s v="DE-10381"/>
    <n v="1750"/>
    <x v="0"/>
  </r>
  <r>
    <d v="2017-07-12T00:00:00"/>
    <s v="FO-12560"/>
    <n v="1490"/>
    <x v="3"/>
  </r>
  <r>
    <d v="2017-10-23T00:00:00"/>
    <s v="CA-11217"/>
    <n v="979.99999999999989"/>
    <x v="1"/>
  </r>
  <r>
    <d v="2017-03-05T00:00:00"/>
    <s v="FO-13896"/>
    <n v="1530"/>
    <x v="3"/>
  </r>
  <r>
    <d v="2017-09-27T00:00:00"/>
    <s v="FO-12642"/>
    <n v="1050"/>
    <x v="3"/>
  </r>
  <r>
    <d v="2017-09-11T00:00:00"/>
    <s v="CA-14538"/>
    <n v="1090"/>
    <x v="1"/>
  </r>
  <r>
    <d v="2017-11-21T00:00:00"/>
    <s v="FO-15561"/>
    <n v="969.99999999999989"/>
    <x v="3"/>
  </r>
  <r>
    <d v="2017-03-27T00:00:00"/>
    <s v="FO-14642"/>
    <n v="1780"/>
    <x v="3"/>
  </r>
  <r>
    <d v="2017-03-14T00:00:00"/>
    <s v="FO-14550"/>
    <n v="1710.0000000000002"/>
    <x v="3"/>
  </r>
  <r>
    <d v="2017-11-06T00:00:00"/>
    <s v="DE-10381"/>
    <n v="1750"/>
    <x v="0"/>
  </r>
  <r>
    <d v="2017-04-16T00:00:00"/>
    <s v="SA-15899"/>
    <n v="300"/>
    <x v="4"/>
  </r>
  <r>
    <d v="2017-12-01T00:00:00"/>
    <s v="SA-15593"/>
    <n v="560"/>
    <x v="4"/>
  </r>
  <r>
    <d v="2017-11-15T00:00:00"/>
    <s v="FO-14642"/>
    <n v="1780"/>
    <x v="3"/>
  </r>
  <r>
    <d v="2017-09-23T00:00:00"/>
    <s v="CA-14506"/>
    <n v="819.99999999999989"/>
    <x v="1"/>
  </r>
  <r>
    <d v="2017-12-25T00:00:00"/>
    <s v="DE-14064"/>
    <n v="1100"/>
    <x v="0"/>
  </r>
  <r>
    <d v="2017-01-23T00:00:00"/>
    <s v="FO-13332"/>
    <n v="1620.0000000000002"/>
    <x v="3"/>
  </r>
  <r>
    <d v="2017-07-05T00:00:00"/>
    <s v="DE-15000"/>
    <n v="1710.0000000000002"/>
    <x v="0"/>
  </r>
  <r>
    <d v="2017-06-13T00:00:00"/>
    <s v="DE-14064"/>
    <n v="1100"/>
    <x v="0"/>
  </r>
  <r>
    <d v="2017-07-11T00:00:00"/>
    <s v="CA-14538"/>
    <n v="1090"/>
    <x v="1"/>
  </r>
  <r>
    <d v="2017-05-23T00:00:00"/>
    <s v="BO-12304"/>
    <n v="2480"/>
    <x v="2"/>
  </r>
  <r>
    <d v="2017-02-23T00:00:00"/>
    <s v="CA-14538"/>
    <n v="1090"/>
    <x v="1"/>
  </r>
  <r>
    <d v="2017-11-11T00:00:00"/>
    <s v="CA-11217"/>
    <n v="979.99999999999989"/>
    <x v="1"/>
  </r>
  <r>
    <d v="2017-10-15T00:00:00"/>
    <s v="CA-10091"/>
    <n v="1130"/>
    <x v="1"/>
  </r>
  <r>
    <d v="2017-09-15T00:00:00"/>
    <s v="FO-14900"/>
    <n v="1050"/>
    <x v="3"/>
  </r>
  <r>
    <d v="2017-09-26T00:00:00"/>
    <s v="FO-11139"/>
    <n v="1120"/>
    <x v="3"/>
  </r>
  <r>
    <d v="2017-12-17T00:00:00"/>
    <s v="BO-10758"/>
    <n v="1640.0000000000002"/>
    <x v="2"/>
  </r>
  <r>
    <d v="2017-08-16T00:00:00"/>
    <s v="FO-11930"/>
    <n v="1740.0000000000002"/>
    <x v="3"/>
  </r>
  <r>
    <d v="2017-04-20T00:00:00"/>
    <s v="FO-13332"/>
    <n v="1620.0000000000002"/>
    <x v="3"/>
  </r>
  <r>
    <d v="2017-12-07T00:00:00"/>
    <s v="BO-10119"/>
    <n v="1560"/>
    <x v="2"/>
  </r>
  <r>
    <d v="2017-02-21T00:00:00"/>
    <s v="DE-15000"/>
    <n v="1710.0000000000002"/>
    <x v="0"/>
  </r>
  <r>
    <d v="2017-12-16T00:00:00"/>
    <s v="CA-12215"/>
    <n v="1160"/>
    <x v="1"/>
  </r>
  <r>
    <d v="2017-05-10T00:00:00"/>
    <s v="FO-14642"/>
    <n v="1780"/>
    <x v="3"/>
  </r>
  <r>
    <d v="2017-12-02T00:00:00"/>
    <s v="CA-11217"/>
    <n v="979.99999999999989"/>
    <x v="1"/>
  </r>
  <r>
    <d v="2017-07-24T00:00:00"/>
    <s v="FO-14755"/>
    <n v="1180"/>
    <x v="3"/>
  </r>
  <r>
    <d v="2017-07-31T00:00:00"/>
    <s v="CA-14538"/>
    <n v="1090"/>
    <x v="1"/>
  </r>
  <r>
    <d v="2017-01-05T00:00:00"/>
    <s v="CA-12215"/>
    <n v="1160"/>
    <x v="1"/>
  </r>
  <r>
    <d v="2017-08-11T00:00:00"/>
    <s v="CA-10908"/>
    <n v="950"/>
    <x v="1"/>
  </r>
  <r>
    <d v="2017-09-01T00:00:00"/>
    <s v="BO-10758"/>
    <n v="1640.0000000000002"/>
    <x v="2"/>
  </r>
  <r>
    <d v="2017-11-02T00:00:00"/>
    <s v="SA-15899"/>
    <n v="300"/>
    <x v="4"/>
  </r>
  <r>
    <d v="2017-05-15T00:00:00"/>
    <s v="BO-12304"/>
    <n v="2480"/>
    <x v="2"/>
  </r>
  <r>
    <d v="2017-05-27T00:00:00"/>
    <s v="FO-12034"/>
    <n v="940"/>
    <x v="3"/>
  </r>
  <r>
    <d v="2017-10-30T00:00:00"/>
    <s v="SA-12124"/>
    <n v="350"/>
    <x v="4"/>
  </r>
  <r>
    <d v="2017-12-24T00:00:00"/>
    <s v="FO-10885"/>
    <n v="1170"/>
    <x v="3"/>
  </r>
  <r>
    <d v="2017-10-26T00:00:00"/>
    <s v="CA-14538"/>
    <n v="1090"/>
    <x v="1"/>
  </r>
  <r>
    <d v="2017-10-26T00:00:00"/>
    <s v="FO-14642"/>
    <n v="1780"/>
    <x v="3"/>
  </r>
  <r>
    <d v="2017-02-10T00:00:00"/>
    <s v="FO-13896"/>
    <n v="1530"/>
    <x v="3"/>
  </r>
  <r>
    <d v="2017-02-06T00:00:00"/>
    <s v="BO-12304"/>
    <n v="2480"/>
    <x v="2"/>
  </r>
  <r>
    <d v="2017-01-26T00:00:00"/>
    <s v="FO-13332"/>
    <n v="1620.0000000000002"/>
    <x v="3"/>
  </r>
  <r>
    <d v="2017-01-23T00:00:00"/>
    <s v="FO-11139"/>
    <n v="1120"/>
    <x v="3"/>
  </r>
  <r>
    <d v="2017-08-15T00:00:00"/>
    <s v="CA-14538"/>
    <n v="1090"/>
    <x v="1"/>
  </r>
  <r>
    <d v="2017-10-12T00:00:00"/>
    <s v="FO-12034"/>
    <n v="940"/>
    <x v="3"/>
  </r>
  <r>
    <d v="2017-10-25T00:00:00"/>
    <s v="BO-14360"/>
    <n v="2130"/>
    <x v="2"/>
  </r>
  <r>
    <d v="2017-08-12T00:00:00"/>
    <s v="SA-12963"/>
    <n v="619.99999999999989"/>
    <x v="4"/>
  </r>
  <r>
    <d v="2017-04-19T00:00:00"/>
    <s v="FO-14550"/>
    <n v="1710.0000000000002"/>
    <x v="3"/>
  </r>
  <r>
    <d v="2017-09-06T00:00:00"/>
    <s v="CA-15742"/>
    <n v="960"/>
    <x v="1"/>
  </r>
  <r>
    <d v="2017-03-13T00:00:00"/>
    <s v="CA-15201"/>
    <n v="869.99999999999989"/>
    <x v="1"/>
  </r>
  <r>
    <d v="2017-09-09T00:00:00"/>
    <s v="FO-12034"/>
    <n v="940"/>
    <x v="3"/>
  </r>
  <r>
    <d v="2017-10-11T00:00:00"/>
    <s v="DE-11233"/>
    <n v="1700"/>
    <x v="0"/>
  </r>
  <r>
    <d v="2017-05-23T00:00:00"/>
    <s v="CA-10091"/>
    <n v="1130"/>
    <x v="1"/>
  </r>
  <r>
    <d v="2017-01-04T00:00:00"/>
    <s v="FO-11400"/>
    <n v="1240"/>
    <x v="3"/>
  </r>
  <r>
    <d v="2017-03-30T00:00:00"/>
    <s v="BO-10119"/>
    <n v="1560"/>
    <x v="2"/>
  </r>
  <r>
    <d v="2017-01-21T00:00:00"/>
    <s v="BO-13867"/>
    <n v="2130"/>
    <x v="2"/>
  </r>
  <r>
    <d v="2017-06-30T00:00:00"/>
    <s v="BO-12304"/>
    <n v="2480"/>
    <x v="2"/>
  </r>
  <r>
    <d v="2017-10-18T00:00:00"/>
    <s v="DE-11233"/>
    <n v="1700"/>
    <x v="0"/>
  </r>
  <r>
    <d v="2017-03-26T00:00:00"/>
    <s v="DE-14690"/>
    <n v="1500"/>
    <x v="0"/>
  </r>
  <r>
    <d v="2017-09-02T00:00:00"/>
    <s v="CA-12215"/>
    <n v="1160"/>
    <x v="1"/>
  </r>
  <r>
    <d v="2017-01-15T00:00:00"/>
    <s v="BO-12304"/>
    <n v="2480"/>
    <x v="2"/>
  </r>
  <r>
    <d v="2017-08-27T00:00:00"/>
    <s v="FO-13332"/>
    <n v="1620.0000000000002"/>
    <x v="3"/>
  </r>
  <r>
    <d v="2017-01-21T00:00:00"/>
    <s v="CA-14506"/>
    <n v="819.99999999999989"/>
    <x v="1"/>
  </r>
  <r>
    <d v="2017-11-16T00:00:00"/>
    <s v="DE-14590"/>
    <n v="1230"/>
    <x v="0"/>
  </r>
  <r>
    <d v="2017-03-30T00:00:00"/>
    <s v="FO-14755"/>
    <n v="1180"/>
    <x v="3"/>
  </r>
  <r>
    <d v="2017-08-14T00:00:00"/>
    <s v="SA-11133"/>
    <n v="690"/>
    <x v="4"/>
  </r>
  <r>
    <d v="2017-01-21T00:00:00"/>
    <s v="FO-11139"/>
    <n v="1120"/>
    <x v="3"/>
  </r>
  <r>
    <d v="2017-10-26T00:00:00"/>
    <s v="DE-14690"/>
    <n v="1500"/>
    <x v="0"/>
  </r>
  <r>
    <d v="2017-03-01T00:00:00"/>
    <s v="BO-15082"/>
    <n v="2260"/>
    <x v="2"/>
  </r>
  <r>
    <d v="2017-12-15T00:00:00"/>
    <s v="FO-14550"/>
    <n v="1710.0000000000002"/>
    <x v="3"/>
  </r>
  <r>
    <d v="2017-07-29T00:00:00"/>
    <s v="SA-15593"/>
    <n v="560"/>
    <x v="4"/>
  </r>
  <r>
    <d v="2017-05-15T00:00:00"/>
    <s v="FO-14642"/>
    <n v="1780"/>
    <x v="3"/>
  </r>
  <r>
    <d v="2017-07-21T00:00:00"/>
    <s v="SA-12963"/>
    <n v="619.99999999999989"/>
    <x v="4"/>
  </r>
  <r>
    <d v="2017-10-12T00:00:00"/>
    <s v="DE-15205"/>
    <n v="1680"/>
    <x v="0"/>
  </r>
  <r>
    <d v="2017-07-10T00:00:00"/>
    <s v="FO-14550"/>
    <n v="1710.0000000000002"/>
    <x v="3"/>
  </r>
  <r>
    <d v="2017-12-01T00:00:00"/>
    <s v="SA-11133"/>
    <n v="690"/>
    <x v="4"/>
  </r>
  <r>
    <d v="2017-01-21T00:00:00"/>
    <s v="FO-13332"/>
    <n v="1620.0000000000002"/>
    <x v="3"/>
  </r>
  <r>
    <d v="2017-07-03T00:00:00"/>
    <s v="CA-15201"/>
    <n v="869.99999999999989"/>
    <x v="1"/>
  </r>
  <r>
    <d v="2017-09-01T00:00:00"/>
    <s v="DE-11233"/>
    <n v="1700"/>
    <x v="0"/>
  </r>
  <r>
    <d v="2017-05-21T00:00:00"/>
    <s v="FO-13896"/>
    <n v="1530"/>
    <x v="3"/>
  </r>
  <r>
    <d v="2017-03-09T00:00:00"/>
    <s v="SA-12963"/>
    <n v="619.99999999999989"/>
    <x v="4"/>
  </r>
  <r>
    <d v="2017-01-19T00:00:00"/>
    <s v="DE-14590"/>
    <n v="1230"/>
    <x v="0"/>
  </r>
  <r>
    <d v="2017-06-03T00:00:00"/>
    <s v="FO-13896"/>
    <n v="1530"/>
    <x v="3"/>
  </r>
  <r>
    <d v="2017-03-05T00:00:00"/>
    <s v="FO-13896"/>
    <n v="1530"/>
    <x v="3"/>
  </r>
  <r>
    <d v="2017-08-21T00:00:00"/>
    <s v="SA-12124"/>
    <n v="350"/>
    <x v="4"/>
  </r>
  <r>
    <d v="2017-12-21T00:00:00"/>
    <s v="DE-14590"/>
    <n v="1230"/>
    <x v="0"/>
  </r>
  <r>
    <d v="2017-01-22T00:00:00"/>
    <s v="CA-14538"/>
    <n v="1090"/>
    <x v="1"/>
  </r>
  <r>
    <d v="2017-04-21T00:00:00"/>
    <s v="BO-12103"/>
    <n v="2110"/>
    <x v="2"/>
  </r>
  <r>
    <d v="2017-05-27T00:00:00"/>
    <s v="FO-15811"/>
    <n v="840"/>
    <x v="3"/>
  </r>
  <r>
    <d v="2017-07-03T00:00:00"/>
    <s v="DE-15205"/>
    <n v="1680"/>
    <x v="0"/>
  </r>
  <r>
    <d v="2017-07-24T00:00:00"/>
    <s v="DE-14590"/>
    <n v="1230"/>
    <x v="0"/>
  </r>
  <r>
    <d v="2017-03-09T00:00:00"/>
    <s v="DE-14064"/>
    <n v="1100"/>
    <x v="0"/>
  </r>
  <r>
    <d v="2017-08-17T00:00:00"/>
    <s v="CA-12215"/>
    <n v="1160"/>
    <x v="1"/>
  </r>
  <r>
    <d v="2017-11-12T00:00:00"/>
    <s v="FO-15561"/>
    <n v="969.99999999999989"/>
    <x v="3"/>
  </r>
  <r>
    <d v="2017-01-11T00:00:00"/>
    <s v="BO-14360"/>
    <n v="2130"/>
    <x v="2"/>
  </r>
  <r>
    <d v="2017-05-27T00:00:00"/>
    <s v="FO-11930"/>
    <n v="1740.0000000000002"/>
    <x v="3"/>
  </r>
  <r>
    <d v="2017-05-06T00:00:00"/>
    <s v="DE-11233"/>
    <n v="1700"/>
    <x v="0"/>
  </r>
  <r>
    <d v="2017-02-02T00:00:00"/>
    <s v="DE-10381"/>
    <n v="1750"/>
    <x v="0"/>
  </r>
  <r>
    <d v="2017-04-10T00:00:00"/>
    <s v="FO-13896"/>
    <n v="1530"/>
    <x v="3"/>
  </r>
  <r>
    <d v="2017-02-20T00:00:00"/>
    <s v="SA-15593"/>
    <n v="560"/>
    <x v="4"/>
  </r>
  <r>
    <d v="2017-11-13T00:00:00"/>
    <s v="DE-14163"/>
    <n v="1480"/>
    <x v="0"/>
  </r>
  <r>
    <d v="2017-08-06T00:00:00"/>
    <s v="SA-15593"/>
    <n v="560"/>
    <x v="4"/>
  </r>
  <r>
    <d v="2017-07-27T00:00:00"/>
    <s v="CA-12215"/>
    <n v="1160"/>
    <x v="1"/>
  </r>
  <r>
    <d v="2017-10-08T00:00:00"/>
    <s v="FO-14642"/>
    <n v="1780"/>
    <x v="3"/>
  </r>
  <r>
    <d v="2017-06-23T00:00:00"/>
    <s v="BO-14360"/>
    <n v="2130"/>
    <x v="2"/>
  </r>
  <r>
    <d v="2017-07-19T00:00:00"/>
    <s v="DE-15000"/>
    <n v="1710.0000000000002"/>
    <x v="0"/>
  </r>
  <r>
    <d v="2017-07-26T00:00:00"/>
    <s v="CA-11145"/>
    <n v="1019.9999999999999"/>
    <x v="1"/>
  </r>
  <r>
    <d v="2017-04-30T00:00:00"/>
    <s v="DE-14064"/>
    <n v="1100"/>
    <x v="0"/>
  </r>
  <r>
    <d v="2017-09-24T00:00:00"/>
    <s v="DE-15000"/>
    <n v="1710.0000000000002"/>
    <x v="0"/>
  </r>
  <r>
    <d v="2017-03-23T00:00:00"/>
    <s v="FO-15561"/>
    <n v="969.99999999999989"/>
    <x v="3"/>
  </r>
  <r>
    <d v="2017-06-29T00:00:00"/>
    <s v="CA-11217"/>
    <n v="979.99999999999989"/>
    <x v="1"/>
  </r>
  <r>
    <d v="2017-12-13T00:00:00"/>
    <s v="FO-14642"/>
    <n v="1780"/>
    <x v="3"/>
  </r>
  <r>
    <d v="2017-03-15T00:00:00"/>
    <s v="FO-14900"/>
    <n v="1050"/>
    <x v="3"/>
  </r>
  <r>
    <d v="2017-12-26T00:00:00"/>
    <s v="FO-15561"/>
    <n v="969.99999999999989"/>
    <x v="3"/>
  </r>
  <r>
    <d v="2017-05-10T00:00:00"/>
    <s v="FO-14900"/>
    <n v="1050"/>
    <x v="3"/>
  </r>
  <r>
    <d v="2017-06-18T00:00:00"/>
    <s v="CA-15201"/>
    <n v="869.99999999999989"/>
    <x v="1"/>
  </r>
  <r>
    <d v="2017-01-15T00:00:00"/>
    <s v="SA-12963"/>
    <n v="619.99999999999989"/>
    <x v="4"/>
  </r>
  <r>
    <d v="2017-12-23T00:00:00"/>
    <s v="FO-12560"/>
    <n v="1490"/>
    <x v="3"/>
  </r>
  <r>
    <d v="2017-12-06T00:00:00"/>
    <s v="FO-12034"/>
    <n v="940"/>
    <x v="3"/>
  </r>
  <r>
    <d v="2017-09-30T00:00:00"/>
    <s v="BO-15397"/>
    <n v="1590"/>
    <x v="2"/>
  </r>
  <r>
    <d v="2017-09-01T00:00:00"/>
    <s v="FO-15561"/>
    <n v="969.99999999999989"/>
    <x v="3"/>
  </r>
  <r>
    <d v="2017-09-25T00:00:00"/>
    <s v="BO-10758"/>
    <n v="1640.0000000000002"/>
    <x v="2"/>
  </r>
  <r>
    <d v="2017-01-12T00:00:00"/>
    <s v="BO-13867"/>
    <n v="2130"/>
    <x v="2"/>
  </r>
  <r>
    <d v="2017-12-25T00:00:00"/>
    <s v="DE-15205"/>
    <n v="1680"/>
    <x v="0"/>
  </r>
  <r>
    <d v="2017-03-28T00:00:00"/>
    <s v="CA-11217"/>
    <n v="979.99999999999989"/>
    <x v="1"/>
  </r>
  <r>
    <d v="2017-07-22T00:00:00"/>
    <s v="DE-15588"/>
    <n v="840"/>
    <x v="0"/>
  </r>
  <r>
    <d v="2017-10-16T00:00:00"/>
    <s v="BO-12103"/>
    <n v="2110"/>
    <x v="2"/>
  </r>
  <r>
    <d v="2017-09-17T00:00:00"/>
    <s v="CA-15201"/>
    <n v="869.99999999999989"/>
    <x v="1"/>
  </r>
  <r>
    <d v="2017-07-03T00:00:00"/>
    <s v="BO-12304"/>
    <n v="2480"/>
    <x v="2"/>
  </r>
  <r>
    <d v="2017-06-03T00:00:00"/>
    <s v="DE-14690"/>
    <n v="1500"/>
    <x v="0"/>
  </r>
  <r>
    <d v="2017-07-08T00:00:00"/>
    <s v="CA-14506"/>
    <n v="819.99999999999989"/>
    <x v="1"/>
  </r>
  <r>
    <d v="2017-12-07T00:00:00"/>
    <s v="CA-14506"/>
    <n v="819.99999999999989"/>
    <x v="1"/>
  </r>
  <r>
    <d v="2017-10-31T00:00:00"/>
    <s v="CA-10091"/>
    <n v="1130"/>
    <x v="1"/>
  </r>
  <r>
    <d v="2017-02-21T00:00:00"/>
    <s v="SA-12963"/>
    <n v="619.99999999999989"/>
    <x v="4"/>
  </r>
  <r>
    <d v="2017-05-27T00:00:00"/>
    <s v="SA-15593"/>
    <n v="560"/>
    <x v="4"/>
  </r>
  <r>
    <d v="2017-07-20T00:00:00"/>
    <s v="SA-11133"/>
    <n v="690"/>
    <x v="4"/>
  </r>
  <r>
    <d v="2017-07-18T00:00:00"/>
    <s v="DE-12516"/>
    <n v="1040"/>
    <x v="0"/>
  </r>
  <r>
    <d v="2017-12-07T00:00:00"/>
    <s v="FO-15561"/>
    <n v="969.99999999999989"/>
    <x v="3"/>
  </r>
  <r>
    <d v="2017-01-25T00:00:00"/>
    <s v="CA-15201"/>
    <n v="869.99999999999989"/>
    <x v="1"/>
  </r>
  <r>
    <d v="2017-08-30T00:00:00"/>
    <s v="SA-15593"/>
    <n v="560"/>
    <x v="4"/>
  </r>
  <r>
    <d v="2017-05-30T00:00:00"/>
    <s v="SA-11133"/>
    <n v="690"/>
    <x v="4"/>
  </r>
  <r>
    <d v="2017-12-31T00:00:00"/>
    <s v="DE-14590"/>
    <n v="1230"/>
    <x v="0"/>
  </r>
  <r>
    <d v="2017-07-18T00:00:00"/>
    <s v="DE-14590"/>
    <n v="1230"/>
    <x v="0"/>
  </r>
  <r>
    <d v="2017-08-20T00:00:00"/>
    <s v="CA-15201"/>
    <n v="869.99999999999989"/>
    <x v="1"/>
  </r>
  <r>
    <d v="2017-02-16T00:00:00"/>
    <s v="CA-15742"/>
    <n v="960"/>
    <x v="1"/>
  </r>
  <r>
    <d v="2017-05-26T00:00:00"/>
    <s v="CA-10908"/>
    <n v="950"/>
    <x v="1"/>
  </r>
  <r>
    <d v="2017-06-11T00:00:00"/>
    <s v="BO-10758"/>
    <n v="1640.0000000000002"/>
    <x v="2"/>
  </r>
  <r>
    <d v="2017-12-20T00:00:00"/>
    <s v="CA-14538"/>
    <n v="1090"/>
    <x v="1"/>
  </r>
  <r>
    <d v="2017-08-26T00:00:00"/>
    <s v="BO-10758"/>
    <n v="1640.0000000000002"/>
    <x v="2"/>
  </r>
  <r>
    <d v="2017-08-05T00:00:00"/>
    <s v="SA-12963"/>
    <n v="619.99999999999989"/>
    <x v="4"/>
  </r>
  <r>
    <d v="2017-03-08T00:00:00"/>
    <s v="DE-14590"/>
    <n v="1230"/>
    <x v="0"/>
  </r>
  <r>
    <d v="2017-09-09T00:00:00"/>
    <s v="DE-15205"/>
    <n v="1680"/>
    <x v="0"/>
  </r>
  <r>
    <d v="2017-11-30T00:00:00"/>
    <s v="SA-15899"/>
    <n v="300"/>
    <x v="4"/>
  </r>
  <r>
    <d v="2017-01-17T00:00:00"/>
    <s v="DE-14690"/>
    <n v="1500"/>
    <x v="0"/>
  </r>
  <r>
    <d v="2017-08-07T00:00:00"/>
    <s v="CA-15742"/>
    <n v="960"/>
    <x v="1"/>
  </r>
  <r>
    <d v="2017-05-28T00:00:00"/>
    <s v="FO-12034"/>
    <n v="940"/>
    <x v="3"/>
  </r>
  <r>
    <d v="2017-10-25T00:00:00"/>
    <s v="FO-11930"/>
    <n v="1740.0000000000002"/>
    <x v="3"/>
  </r>
  <r>
    <d v="2017-03-31T00:00:00"/>
    <s v="CA-10091"/>
    <n v="1130"/>
    <x v="1"/>
  </r>
  <r>
    <d v="2017-07-12T00:00:00"/>
    <s v="DE-10381"/>
    <n v="1750"/>
    <x v="0"/>
  </r>
  <r>
    <d v="2018-01-01T00:00:00"/>
    <s v="FO-10885"/>
    <n v="1170"/>
    <x v="3"/>
  </r>
  <r>
    <d v="2017-10-13T00:00:00"/>
    <s v="FO-15561"/>
    <n v="969.99999999999989"/>
    <x v="3"/>
  </r>
  <r>
    <d v="2017-04-26T00:00:00"/>
    <s v="BO-14360"/>
    <n v="2130"/>
    <x v="2"/>
  </r>
  <r>
    <d v="2018-01-01T00:00:00"/>
    <s v="DE-14590"/>
    <n v="1230"/>
    <x v="0"/>
  </r>
  <r>
    <d v="2017-11-19T00:00:00"/>
    <s v="CA-14506"/>
    <n v="819.99999999999989"/>
    <x v="1"/>
  </r>
  <r>
    <d v="2017-06-09T00:00:00"/>
    <s v="SA-12124"/>
    <n v="350"/>
    <x v="4"/>
  </r>
  <r>
    <d v="2017-11-20T00:00:00"/>
    <s v="BO-10758"/>
    <n v="1640.0000000000002"/>
    <x v="2"/>
  </r>
  <r>
    <d v="2017-02-15T00:00:00"/>
    <s v="DE-12516"/>
    <n v="1040"/>
    <x v="0"/>
  </r>
  <r>
    <d v="2017-11-06T00:00:00"/>
    <s v="DE-14590"/>
    <n v="1230"/>
    <x v="0"/>
  </r>
  <r>
    <d v="2017-12-19T00:00:00"/>
    <s v="DE-14690"/>
    <n v="1500"/>
    <x v="0"/>
  </r>
  <r>
    <d v="2017-02-10T00:00:00"/>
    <s v="FO-15811"/>
    <n v="840"/>
    <x v="3"/>
  </r>
  <r>
    <d v="2017-08-01T00:00:00"/>
    <s v="SA-12963"/>
    <n v="619.99999999999989"/>
    <x v="4"/>
  </r>
  <r>
    <d v="2017-04-22T00:00:00"/>
    <s v="DE-15205"/>
    <n v="1680"/>
    <x v="0"/>
  </r>
  <r>
    <d v="2017-06-17T00:00:00"/>
    <s v="CA-11145"/>
    <n v="1019.9999999999999"/>
    <x v="1"/>
  </r>
  <r>
    <d v="2017-08-25T00:00:00"/>
    <s v="BO-12103"/>
    <n v="2110"/>
    <x v="2"/>
  </r>
  <r>
    <d v="2017-09-24T00:00:00"/>
    <s v="FO-12560"/>
    <n v="1490"/>
    <x v="3"/>
  </r>
  <r>
    <d v="2017-11-27T00:00:00"/>
    <s v="DE-11233"/>
    <n v="1700"/>
    <x v="0"/>
  </r>
  <r>
    <d v="2017-04-29T00:00:00"/>
    <s v="CA-14506"/>
    <n v="819.99999999999989"/>
    <x v="1"/>
  </r>
  <r>
    <d v="2017-02-28T00:00:00"/>
    <s v="BO-15397"/>
    <n v="1590"/>
    <x v="2"/>
  </r>
  <r>
    <d v="2017-05-18T00:00:00"/>
    <s v="DE-12516"/>
    <n v="1040"/>
    <x v="0"/>
  </r>
  <r>
    <d v="2017-11-03T00:00:00"/>
    <s v="FO-15811"/>
    <n v="840"/>
    <x v="3"/>
  </r>
  <r>
    <d v="2017-09-29T00:00:00"/>
    <s v="BO-15082"/>
    <n v="2260"/>
    <x v="2"/>
  </r>
  <r>
    <d v="2017-09-04T00:00:00"/>
    <s v="FO-14755"/>
    <n v="1180"/>
    <x v="3"/>
  </r>
  <r>
    <d v="2017-03-24T00:00:00"/>
    <s v="FO-10885"/>
    <n v="1170"/>
    <x v="3"/>
  </r>
  <r>
    <d v="2017-12-04T00:00:00"/>
    <s v="FO-14755"/>
    <n v="1180"/>
    <x v="3"/>
  </r>
  <r>
    <d v="2017-06-18T00:00:00"/>
    <s v="BO-15082"/>
    <n v="2260"/>
    <x v="2"/>
  </r>
  <r>
    <d v="2017-06-20T00:00:00"/>
    <s v="FO-14642"/>
    <n v="1780"/>
    <x v="3"/>
  </r>
  <r>
    <d v="2017-05-11T00:00:00"/>
    <s v="CA-11992"/>
    <n v="1300"/>
    <x v="1"/>
  </r>
  <r>
    <d v="2017-01-24T00:00:00"/>
    <s v="DE-14590"/>
    <n v="1230"/>
    <x v="0"/>
  </r>
  <r>
    <d v="2017-04-22T00:00:00"/>
    <s v="CA-14538"/>
    <n v="1090"/>
    <x v="1"/>
  </r>
  <r>
    <d v="2017-12-11T00:00:00"/>
    <s v="DE-14064"/>
    <n v="1100"/>
    <x v="0"/>
  </r>
  <r>
    <d v="2017-10-05T00:00:00"/>
    <s v="FO-10885"/>
    <n v="1170"/>
    <x v="3"/>
  </r>
  <r>
    <d v="2017-11-29T00:00:00"/>
    <s v="CA-14506"/>
    <n v="819.99999999999989"/>
    <x v="1"/>
  </r>
  <r>
    <d v="2017-04-10T00:00:00"/>
    <s v="FO-11930"/>
    <n v="1740.0000000000002"/>
    <x v="3"/>
  </r>
  <r>
    <d v="2017-12-23T00:00:00"/>
    <s v="CA-15201"/>
    <n v="869.99999999999989"/>
    <x v="1"/>
  </r>
  <r>
    <d v="2017-05-15T00:00:00"/>
    <s v="BO-15082"/>
    <n v="2260"/>
    <x v="2"/>
  </r>
  <r>
    <d v="2017-08-27T00:00:00"/>
    <s v="CA-14506"/>
    <n v="819.99999999999989"/>
    <x v="1"/>
  </r>
  <r>
    <d v="2017-01-14T00:00:00"/>
    <s v="CA-15742"/>
    <n v="960"/>
    <x v="1"/>
  </r>
  <r>
    <d v="2017-01-24T00:00:00"/>
    <s v="BO-15397"/>
    <n v="1590"/>
    <x v="2"/>
  </r>
  <r>
    <d v="2017-09-29T00:00:00"/>
    <s v="CA-11145"/>
    <n v="1019.9999999999999"/>
    <x v="1"/>
  </r>
  <r>
    <d v="2017-07-26T00:00:00"/>
    <s v="DE-11233"/>
    <n v="1700"/>
    <x v="0"/>
  </r>
  <r>
    <d v="2017-03-31T00:00:00"/>
    <s v="SA-11133"/>
    <n v="690"/>
    <x v="4"/>
  </r>
  <r>
    <d v="2017-01-28T00:00:00"/>
    <s v="BO-14360"/>
    <n v="2130"/>
    <x v="2"/>
  </r>
  <r>
    <d v="2017-08-31T00:00:00"/>
    <s v="SA-15593"/>
    <n v="560"/>
    <x v="4"/>
  </r>
  <r>
    <d v="2017-04-06T00:00:00"/>
    <s v="DE-14690"/>
    <n v="1500"/>
    <x v="0"/>
  </r>
  <r>
    <d v="2017-11-30T00:00:00"/>
    <s v="BO-12304"/>
    <n v="2480"/>
    <x v="2"/>
  </r>
  <r>
    <d v="2017-03-02T00:00:00"/>
    <s v="BO-12103"/>
    <n v="2110"/>
    <x v="2"/>
  </r>
  <r>
    <d v="2017-12-28T00:00:00"/>
    <s v="BO-15397"/>
    <n v="1590"/>
    <x v="2"/>
  </r>
  <r>
    <d v="2017-03-22T00:00:00"/>
    <s v="CA-15201"/>
    <n v="869.99999999999989"/>
    <x v="1"/>
  </r>
  <r>
    <d v="2017-03-13T00:00:00"/>
    <s v="CA-14506"/>
    <n v="819.99999999999989"/>
    <x v="1"/>
  </r>
  <r>
    <d v="2017-04-08T00:00:00"/>
    <s v="DE-10381"/>
    <n v="1750"/>
    <x v="0"/>
  </r>
  <r>
    <d v="2017-05-01T00:00:00"/>
    <s v="BO-12103"/>
    <n v="2110"/>
    <x v="2"/>
  </r>
  <r>
    <d v="2017-09-09T00:00:00"/>
    <s v="BO-10758"/>
    <n v="1640.0000000000002"/>
    <x v="2"/>
  </r>
  <r>
    <d v="2017-01-29T00:00:00"/>
    <s v="FO-11139"/>
    <n v="1120"/>
    <x v="3"/>
  </r>
  <r>
    <d v="2017-11-09T00:00:00"/>
    <s v="FO-15561"/>
    <n v="969.99999999999989"/>
    <x v="3"/>
  </r>
  <r>
    <d v="2017-06-11T00:00:00"/>
    <s v="FO-14550"/>
    <n v="1710.0000000000002"/>
    <x v="3"/>
  </r>
  <r>
    <d v="2017-07-15T00:00:00"/>
    <s v="DE-12516"/>
    <n v="1040"/>
    <x v="0"/>
  </r>
  <r>
    <d v="2017-11-16T00:00:00"/>
    <s v="DE-15588"/>
    <n v="840"/>
    <x v="0"/>
  </r>
  <r>
    <d v="2017-04-29T00:00:00"/>
    <s v="FO-15811"/>
    <n v="840"/>
    <x v="3"/>
  </r>
  <r>
    <d v="2017-04-08T00:00:00"/>
    <s v="DE-14163"/>
    <n v="1480"/>
    <x v="0"/>
  </r>
  <r>
    <d v="2017-05-29T00:00:00"/>
    <s v="FO-14550"/>
    <n v="1710.0000000000002"/>
    <x v="3"/>
  </r>
  <r>
    <d v="2017-12-25T00:00:00"/>
    <s v="FO-12642"/>
    <n v="1050"/>
    <x v="3"/>
  </r>
  <r>
    <d v="2017-04-04T00:00:00"/>
    <s v="CA-14506"/>
    <n v="819.99999999999989"/>
    <x v="1"/>
  </r>
  <r>
    <d v="2017-11-19T00:00:00"/>
    <s v="SA-11133"/>
    <n v="690"/>
    <x v="4"/>
  </r>
  <r>
    <d v="2017-04-06T00:00:00"/>
    <s v="FO-15811"/>
    <n v="840"/>
    <x v="3"/>
  </r>
  <r>
    <d v="2017-09-18T00:00:00"/>
    <s v="CA-14538"/>
    <n v="1090"/>
    <x v="1"/>
  </r>
  <r>
    <d v="2017-11-22T00:00:00"/>
    <s v="CA-14506"/>
    <n v="819.99999999999989"/>
    <x v="1"/>
  </r>
  <r>
    <d v="2017-05-16T00:00:00"/>
    <s v="BO-15082"/>
    <n v="2260"/>
    <x v="2"/>
  </r>
  <r>
    <d v="2017-04-18T00:00:00"/>
    <s v="FO-10885"/>
    <n v="1170"/>
    <x v="3"/>
  </r>
  <r>
    <d v="2017-01-28T00:00:00"/>
    <s v="SA-12963"/>
    <n v="619.99999999999989"/>
    <x v="4"/>
  </r>
  <r>
    <d v="2017-03-14T00:00:00"/>
    <s v="BO-15397"/>
    <n v="1590"/>
    <x v="2"/>
  </r>
  <r>
    <d v="2017-09-20T00:00:00"/>
    <s v="DE-10381"/>
    <n v="1750"/>
    <x v="0"/>
  </r>
  <r>
    <d v="2017-07-18T00:00:00"/>
    <s v="FO-10885"/>
    <n v="1170"/>
    <x v="3"/>
  </r>
  <r>
    <d v="2017-03-19T00:00:00"/>
    <s v="FO-12642"/>
    <n v="1050"/>
    <x v="3"/>
  </r>
  <r>
    <d v="2017-08-15T00:00:00"/>
    <s v="BO-15397"/>
    <n v="1590"/>
    <x v="2"/>
  </r>
  <r>
    <d v="2017-07-27T00:00:00"/>
    <s v="BO-10758"/>
    <n v="1640.0000000000002"/>
    <x v="2"/>
  </r>
  <r>
    <d v="2017-01-22T00:00:00"/>
    <s v="FO-12642"/>
    <n v="1050"/>
    <x v="3"/>
  </r>
  <r>
    <d v="2017-06-24T00:00:00"/>
    <s v="FO-11400"/>
    <n v="1240"/>
    <x v="3"/>
  </r>
  <r>
    <d v="2017-03-19T00:00:00"/>
    <s v="DE-14690"/>
    <n v="1500"/>
    <x v="0"/>
  </r>
  <r>
    <d v="2017-02-18T00:00:00"/>
    <s v="BO-13867"/>
    <n v="2130"/>
    <x v="2"/>
  </r>
  <r>
    <d v="2017-10-25T00:00:00"/>
    <s v="BO-13867"/>
    <n v="2130"/>
    <x v="2"/>
  </r>
  <r>
    <d v="2017-11-02T00:00:00"/>
    <s v="BO-10119"/>
    <n v="1560"/>
    <x v="2"/>
  </r>
  <r>
    <d v="2017-02-16T00:00:00"/>
    <s v="CA-14506"/>
    <n v="819.99999999999989"/>
    <x v="1"/>
  </r>
  <r>
    <d v="2017-08-23T00:00:00"/>
    <s v="DE-15205"/>
    <n v="1680"/>
    <x v="0"/>
  </r>
  <r>
    <d v="2017-01-28T00:00:00"/>
    <s v="BO-10119"/>
    <n v="1560"/>
    <x v="2"/>
  </r>
  <r>
    <d v="2017-01-16T00:00:00"/>
    <s v="DE-14064"/>
    <n v="1100"/>
    <x v="0"/>
  </r>
  <r>
    <d v="2017-03-05T00:00:00"/>
    <s v="BO-13867"/>
    <n v="2130"/>
    <x v="2"/>
  </r>
  <r>
    <d v="2017-10-15T00:00:00"/>
    <s v="DE-14163"/>
    <n v="1480"/>
    <x v="0"/>
  </r>
  <r>
    <d v="2017-04-16T00:00:00"/>
    <s v="CA-15742"/>
    <n v="960"/>
    <x v="1"/>
  </r>
  <r>
    <d v="2017-08-12T00:00:00"/>
    <s v="FO-10885"/>
    <n v="1170"/>
    <x v="3"/>
  </r>
  <r>
    <d v="2017-02-01T00:00:00"/>
    <s v="DE-10381"/>
    <n v="1750"/>
    <x v="0"/>
  </r>
  <r>
    <d v="2017-04-21T00:00:00"/>
    <s v="FO-14642"/>
    <n v="1780"/>
    <x v="3"/>
  </r>
  <r>
    <d v="2017-09-11T00:00:00"/>
    <s v="DE-15000"/>
    <n v="1710.0000000000002"/>
    <x v="0"/>
  </r>
  <r>
    <d v="2017-04-20T00:00:00"/>
    <s v="FO-11400"/>
    <n v="1240"/>
    <x v="3"/>
  </r>
  <r>
    <d v="2017-10-02T00:00:00"/>
    <s v="DE-15588"/>
    <n v="840"/>
    <x v="0"/>
  </r>
  <r>
    <d v="2017-04-03T00:00:00"/>
    <s v="FO-12034"/>
    <n v="940"/>
    <x v="3"/>
  </r>
  <r>
    <d v="2017-08-08T00:00:00"/>
    <s v="SA-15899"/>
    <n v="300"/>
    <x v="4"/>
  </r>
  <r>
    <d v="2017-11-09T00:00:00"/>
    <s v="FO-15561"/>
    <n v="969.99999999999989"/>
    <x v="3"/>
  </r>
  <r>
    <d v="2017-11-10T00:00:00"/>
    <s v="BO-12103"/>
    <n v="2110"/>
    <x v="2"/>
  </r>
  <r>
    <d v="2017-10-17T00:00:00"/>
    <s v="CA-10091"/>
    <n v="1130"/>
    <x v="1"/>
  </r>
  <r>
    <d v="2017-08-18T00:00:00"/>
    <s v="CA-14538"/>
    <n v="1090"/>
    <x v="1"/>
  </r>
  <r>
    <d v="2017-02-15T00:00:00"/>
    <s v="SA-11133"/>
    <n v="690"/>
    <x v="4"/>
  </r>
  <r>
    <d v="2017-11-08T00:00:00"/>
    <s v="CA-11992"/>
    <n v="1300"/>
    <x v="1"/>
  </r>
  <r>
    <d v="2017-02-16T00:00:00"/>
    <s v="FO-13332"/>
    <n v="1620.0000000000002"/>
    <x v="3"/>
  </r>
  <r>
    <d v="2017-01-23T00:00:00"/>
    <s v="FO-11930"/>
    <n v="1740.0000000000002"/>
    <x v="3"/>
  </r>
  <r>
    <d v="2017-01-02T00:00:00"/>
    <s v="CA-15742"/>
    <n v="960"/>
    <x v="1"/>
  </r>
  <r>
    <d v="2017-07-08T00:00:00"/>
    <s v="BO-15397"/>
    <n v="1590"/>
    <x v="2"/>
  </r>
  <r>
    <d v="2017-01-27T00:00:00"/>
    <s v="FO-11139"/>
    <n v="1120"/>
    <x v="3"/>
  </r>
  <r>
    <d v="2017-03-12T00:00:00"/>
    <s v="BO-12103"/>
    <n v="2110"/>
    <x v="2"/>
  </r>
  <r>
    <d v="2017-11-04T00:00:00"/>
    <s v="SA-11133"/>
    <n v="690"/>
    <x v="4"/>
  </r>
  <r>
    <d v="2017-12-23T00:00:00"/>
    <s v="DE-14163"/>
    <n v="1480"/>
    <x v="0"/>
  </r>
  <r>
    <d v="2017-10-03T00:00:00"/>
    <s v="CA-11145"/>
    <n v="1019.9999999999999"/>
    <x v="1"/>
  </r>
  <r>
    <d v="2017-04-22T00:00:00"/>
    <s v="BO-13867"/>
    <n v="2130"/>
    <x v="2"/>
  </r>
  <r>
    <d v="2017-02-16T00:00:00"/>
    <s v="FO-11930"/>
    <n v="1740.0000000000002"/>
    <x v="3"/>
  </r>
  <r>
    <d v="2017-07-15T00:00:00"/>
    <s v="CA-12215"/>
    <n v="1160"/>
    <x v="1"/>
  </r>
  <r>
    <d v="2017-05-25T00:00:00"/>
    <s v="BO-10758"/>
    <n v="1640.0000000000002"/>
    <x v="2"/>
  </r>
  <r>
    <d v="2017-09-08T00:00:00"/>
    <s v="FO-14755"/>
    <n v="1180"/>
    <x v="3"/>
  </r>
  <r>
    <d v="2017-04-20T00:00:00"/>
    <s v="CA-11145"/>
    <n v="1019.9999999999999"/>
    <x v="1"/>
  </r>
  <r>
    <d v="2017-09-27T00:00:00"/>
    <s v="DE-11233"/>
    <n v="1700"/>
    <x v="0"/>
  </r>
  <r>
    <d v="2017-02-24T00:00:00"/>
    <s v="BO-10119"/>
    <n v="1560"/>
    <x v="2"/>
  </r>
  <r>
    <d v="2017-05-15T00:00:00"/>
    <s v="BO-14360"/>
    <n v="2130"/>
    <x v="2"/>
  </r>
  <r>
    <d v="2017-02-04T00:00:00"/>
    <s v="FO-15811"/>
    <n v="840"/>
    <x v="3"/>
  </r>
  <r>
    <d v="2017-05-26T00:00:00"/>
    <s v="BO-10119"/>
    <n v="1560"/>
    <x v="2"/>
  </r>
  <r>
    <d v="2017-09-06T00:00:00"/>
    <s v="BO-13867"/>
    <n v="2130"/>
    <x v="2"/>
  </r>
  <r>
    <d v="2017-10-09T00:00:00"/>
    <s v="CA-14506"/>
    <n v="819.99999999999989"/>
    <x v="1"/>
  </r>
  <r>
    <d v="2017-11-06T00:00:00"/>
    <s v="CA-14506"/>
    <n v="819.99999999999989"/>
    <x v="1"/>
  </r>
  <r>
    <d v="2017-04-30T00:00:00"/>
    <s v="DE-15588"/>
    <n v="840"/>
    <x v="0"/>
  </r>
  <r>
    <d v="2017-05-30T00:00:00"/>
    <s v="FO-12560"/>
    <n v="1490"/>
    <x v="3"/>
  </r>
  <r>
    <d v="2017-08-18T00:00:00"/>
    <s v="DE-14690"/>
    <n v="1500"/>
    <x v="0"/>
  </r>
  <r>
    <d v="2017-06-28T00:00:00"/>
    <s v="CA-11145"/>
    <n v="1019.9999999999999"/>
    <x v="1"/>
  </r>
  <r>
    <d v="2017-12-12T00:00:00"/>
    <s v="SA-12124"/>
    <n v="350"/>
    <x v="4"/>
  </r>
  <r>
    <d v="2017-04-23T00:00:00"/>
    <s v="CA-14538"/>
    <n v="1090"/>
    <x v="1"/>
  </r>
  <r>
    <d v="2017-08-01T00:00:00"/>
    <s v="CA-14506"/>
    <n v="819.99999999999989"/>
    <x v="1"/>
  </r>
  <r>
    <d v="2017-01-18T00:00:00"/>
    <s v="DE-15000"/>
    <n v="1710.0000000000002"/>
    <x v="0"/>
  </r>
  <r>
    <d v="2017-12-16T00:00:00"/>
    <s v="FO-11930"/>
    <n v="1740.0000000000002"/>
    <x v="3"/>
  </r>
  <r>
    <d v="2017-08-11T00:00:00"/>
    <s v="FO-11930"/>
    <n v="1740.0000000000002"/>
    <x v="3"/>
  </r>
  <r>
    <d v="2017-09-14T00:00:00"/>
    <s v="DE-14690"/>
    <n v="1500"/>
    <x v="0"/>
  </r>
  <r>
    <d v="2017-08-19T00:00:00"/>
    <s v="DE-11233"/>
    <n v="1700"/>
    <x v="0"/>
  </r>
  <r>
    <d v="2017-10-30T00:00:00"/>
    <s v="DE-14690"/>
    <n v="1500"/>
    <x v="0"/>
  </r>
  <r>
    <d v="2017-03-10T00:00:00"/>
    <s v="FO-14550"/>
    <n v="1710.0000000000002"/>
    <x v="3"/>
  </r>
  <r>
    <d v="2017-01-25T00:00:00"/>
    <s v="DE-14590"/>
    <n v="1230"/>
    <x v="0"/>
  </r>
  <r>
    <d v="2017-06-23T00:00:00"/>
    <s v="DE-12516"/>
    <n v="1040"/>
    <x v="0"/>
  </r>
  <r>
    <d v="2017-11-07T00:00:00"/>
    <s v="FO-13896"/>
    <n v="1530"/>
    <x v="3"/>
  </r>
  <r>
    <d v="2017-03-05T00:00:00"/>
    <s v="BO-13867"/>
    <n v="2130"/>
    <x v="2"/>
  </r>
  <r>
    <d v="2017-12-22T00:00:00"/>
    <s v="BO-15082"/>
    <n v="2260"/>
    <x v="2"/>
  </r>
  <r>
    <d v="2017-09-07T00:00:00"/>
    <s v="CA-12215"/>
    <n v="1160"/>
    <x v="1"/>
  </r>
  <r>
    <d v="2017-08-31T00:00:00"/>
    <s v="DE-14064"/>
    <n v="1100"/>
    <x v="0"/>
  </r>
  <r>
    <d v="2017-01-30T00:00:00"/>
    <s v="DE-15205"/>
    <n v="1680"/>
    <x v="0"/>
  </r>
  <r>
    <d v="2017-10-21T00:00:00"/>
    <s v="SA-15593"/>
    <n v="560"/>
    <x v="4"/>
  </r>
  <r>
    <d v="2017-09-30T00:00:00"/>
    <s v="FO-11139"/>
    <n v="1120"/>
    <x v="3"/>
  </r>
  <r>
    <d v="2017-04-19T00:00:00"/>
    <s v="CA-14506"/>
    <n v="819.99999999999989"/>
    <x v="1"/>
  </r>
  <r>
    <d v="2017-03-29T00:00:00"/>
    <s v="FO-14550"/>
    <n v="1710.0000000000002"/>
    <x v="3"/>
  </r>
  <r>
    <d v="2017-01-07T00:00:00"/>
    <s v="CA-14506"/>
    <n v="819.99999999999989"/>
    <x v="1"/>
  </r>
  <r>
    <d v="2017-02-10T00:00:00"/>
    <s v="DE-10381"/>
    <n v="1750"/>
    <x v="0"/>
  </r>
  <r>
    <d v="2017-12-27T00:00:00"/>
    <s v="DE-15588"/>
    <n v="840"/>
    <x v="0"/>
  </r>
  <r>
    <d v="2017-06-20T00:00:00"/>
    <s v="FO-14642"/>
    <n v="1780"/>
    <x v="3"/>
  </r>
  <r>
    <d v="2017-12-12T00:00:00"/>
    <s v="BO-11125"/>
    <n v="1840.0000000000002"/>
    <x v="2"/>
  </r>
  <r>
    <d v="2017-12-11T00:00:00"/>
    <s v="FO-12034"/>
    <n v="940"/>
    <x v="3"/>
  </r>
  <r>
    <d v="2017-10-27T00:00:00"/>
    <s v="CA-14506"/>
    <n v="819.99999999999989"/>
    <x v="1"/>
  </r>
  <r>
    <d v="2017-02-23T00:00:00"/>
    <s v="CA-15742"/>
    <n v="960"/>
    <x v="1"/>
  </r>
  <r>
    <d v="2017-04-30T00:00:00"/>
    <s v="CA-14538"/>
    <n v="1090"/>
    <x v="1"/>
  </r>
  <r>
    <d v="2017-11-14T00:00:00"/>
    <s v="BO-10758"/>
    <n v="1640.0000000000002"/>
    <x v="2"/>
  </r>
  <r>
    <d v="2017-05-29T00:00:00"/>
    <s v="BO-11125"/>
    <n v="1840.0000000000002"/>
    <x v="2"/>
  </r>
  <r>
    <d v="2017-10-14T00:00:00"/>
    <s v="DE-14590"/>
    <n v="1230"/>
    <x v="0"/>
  </r>
  <r>
    <d v="2017-03-27T00:00:00"/>
    <s v="SA-15593"/>
    <n v="560"/>
    <x v="4"/>
  </r>
  <r>
    <d v="2017-10-18T00:00:00"/>
    <s v="BO-15082"/>
    <n v="2260"/>
    <x v="2"/>
  </r>
  <r>
    <d v="2017-03-09T00:00:00"/>
    <s v="DE-11233"/>
    <n v="1700"/>
    <x v="0"/>
  </r>
  <r>
    <d v="2017-04-10T00:00:00"/>
    <s v="CA-10908"/>
    <n v="950"/>
    <x v="1"/>
  </r>
  <r>
    <d v="2017-01-21T00:00:00"/>
    <s v="DE-14163"/>
    <n v="1480"/>
    <x v="0"/>
  </r>
  <r>
    <d v="2017-04-23T00:00:00"/>
    <s v="FO-12560"/>
    <n v="1490"/>
    <x v="3"/>
  </r>
  <r>
    <d v="2017-01-14T00:00:00"/>
    <s v="BO-12304"/>
    <n v="2480"/>
    <x v="2"/>
  </r>
  <r>
    <d v="2017-06-15T00:00:00"/>
    <s v="FO-13332"/>
    <n v="1620.0000000000002"/>
    <x v="3"/>
  </r>
  <r>
    <d v="2017-02-08T00:00:00"/>
    <s v="FO-14755"/>
    <n v="1180"/>
    <x v="3"/>
  </r>
  <r>
    <d v="2017-06-15T00:00:00"/>
    <s v="DE-14690"/>
    <n v="1500"/>
    <x v="0"/>
  </r>
  <r>
    <d v="2017-04-06T00:00:00"/>
    <s v="BO-10758"/>
    <n v="1640.0000000000002"/>
    <x v="2"/>
  </r>
  <r>
    <d v="2017-01-17T00:00:00"/>
    <s v="DE-14163"/>
    <n v="1480"/>
    <x v="0"/>
  </r>
  <r>
    <d v="2017-12-10T00:00:00"/>
    <s v="BO-12103"/>
    <n v="2110"/>
    <x v="2"/>
  </r>
  <r>
    <d v="2017-07-18T00:00:00"/>
    <s v="FO-13896"/>
    <n v="1530"/>
    <x v="3"/>
  </r>
  <r>
    <d v="2017-06-28T00:00:00"/>
    <s v="FO-13896"/>
    <n v="1530"/>
    <x v="3"/>
  </r>
  <r>
    <d v="2017-02-14T00:00:00"/>
    <s v="BO-15082"/>
    <n v="2260"/>
    <x v="2"/>
  </r>
  <r>
    <d v="2017-02-20T00:00:00"/>
    <s v="BO-15082"/>
    <n v="2260"/>
    <x v="2"/>
  </r>
  <r>
    <d v="2017-02-23T00:00:00"/>
    <s v="FO-14755"/>
    <n v="1180"/>
    <x v="3"/>
  </r>
  <r>
    <d v="2017-06-14T00:00:00"/>
    <s v="CA-14506"/>
    <n v="819.99999999999989"/>
    <x v="1"/>
  </r>
  <r>
    <d v="2017-09-24T00:00:00"/>
    <s v="SA-12124"/>
    <n v="350"/>
    <x v="4"/>
  </r>
  <r>
    <d v="2017-07-07T00:00:00"/>
    <s v="CA-11145"/>
    <n v="1019.9999999999999"/>
    <x v="1"/>
  </r>
  <r>
    <d v="2017-07-27T00:00:00"/>
    <s v="BO-12304"/>
    <n v="2480"/>
    <x v="2"/>
  </r>
  <r>
    <d v="2017-10-19T00:00:00"/>
    <s v="FO-10885"/>
    <n v="1170"/>
    <x v="3"/>
  </r>
  <r>
    <d v="2017-06-18T00:00:00"/>
    <s v="DE-11233"/>
    <n v="1700"/>
    <x v="0"/>
  </r>
  <r>
    <d v="2017-01-15T00:00:00"/>
    <s v="BO-14360"/>
    <n v="2130"/>
    <x v="2"/>
  </r>
  <r>
    <d v="2017-01-24T00:00:00"/>
    <s v="BO-15082"/>
    <n v="2260"/>
    <x v="2"/>
  </r>
  <r>
    <d v="2017-04-01T00:00:00"/>
    <s v="CA-11992"/>
    <n v="1300"/>
    <x v="1"/>
  </r>
  <r>
    <d v="2017-07-13T00:00:00"/>
    <s v="FO-15811"/>
    <n v="840"/>
    <x v="3"/>
  </r>
  <r>
    <d v="2017-02-19T00:00:00"/>
    <s v="SA-11133"/>
    <n v="690"/>
    <x v="4"/>
  </r>
  <r>
    <d v="2017-08-24T00:00:00"/>
    <s v="CA-14506"/>
    <n v="819.99999999999989"/>
    <x v="1"/>
  </r>
  <r>
    <d v="2017-02-20T00:00:00"/>
    <s v="DE-15205"/>
    <n v="1680"/>
    <x v="0"/>
  </r>
  <r>
    <d v="2017-12-01T00:00:00"/>
    <s v="SA-12124"/>
    <n v="350"/>
    <x v="4"/>
  </r>
  <r>
    <d v="2017-07-29T00:00:00"/>
    <s v="BO-12103"/>
    <n v="2110"/>
    <x v="2"/>
  </r>
  <r>
    <d v="2017-03-04T00:00:00"/>
    <s v="DE-12516"/>
    <n v="1040"/>
    <x v="0"/>
  </r>
  <r>
    <d v="2017-11-01T00:00:00"/>
    <s v="CA-14506"/>
    <n v="819.99999999999989"/>
    <x v="1"/>
  </r>
  <r>
    <d v="2017-01-03T00:00:00"/>
    <s v="DE-14590"/>
    <n v="1230"/>
    <x v="0"/>
  </r>
  <r>
    <d v="2017-01-28T00:00:00"/>
    <s v="BO-12103"/>
    <n v="2110"/>
    <x v="2"/>
  </r>
  <r>
    <d v="2017-08-06T00:00:00"/>
    <s v="BO-10119"/>
    <n v="1560"/>
    <x v="2"/>
  </r>
  <r>
    <d v="2017-06-15T00:00:00"/>
    <s v="BO-10119"/>
    <n v="1560"/>
    <x v="2"/>
  </r>
  <r>
    <d v="2017-08-24T00:00:00"/>
    <s v="BO-10758"/>
    <n v="1640.0000000000002"/>
    <x v="2"/>
  </r>
  <r>
    <d v="2017-11-04T00:00:00"/>
    <s v="DE-14690"/>
    <n v="1500"/>
    <x v="0"/>
  </r>
  <r>
    <d v="2017-02-18T00:00:00"/>
    <s v="FO-11139"/>
    <n v="1120"/>
    <x v="3"/>
  </r>
  <r>
    <d v="2017-02-27T00:00:00"/>
    <s v="FO-12642"/>
    <n v="1050"/>
    <x v="3"/>
  </r>
  <r>
    <d v="2017-12-21T00:00:00"/>
    <s v="FO-12642"/>
    <n v="1050"/>
    <x v="3"/>
  </r>
  <r>
    <d v="2017-04-04T00:00:00"/>
    <s v="DE-14163"/>
    <n v="1480"/>
    <x v="0"/>
  </r>
  <r>
    <d v="2017-09-30T00:00:00"/>
    <s v="CA-14538"/>
    <n v="1090"/>
    <x v="1"/>
  </r>
  <r>
    <d v="2017-08-11T00:00:00"/>
    <s v="FO-11139"/>
    <n v="1120"/>
    <x v="3"/>
  </r>
  <r>
    <d v="2017-10-04T00:00:00"/>
    <s v="FO-11400"/>
    <n v="1240"/>
    <x v="3"/>
  </r>
  <r>
    <d v="2017-01-27T00:00:00"/>
    <s v="BO-10119"/>
    <n v="1560"/>
    <x v="2"/>
  </r>
  <r>
    <d v="2017-12-24T00:00:00"/>
    <s v="FO-11930"/>
    <n v="1740.0000000000002"/>
    <x v="3"/>
  </r>
  <r>
    <d v="2017-05-04T00:00:00"/>
    <s v="FO-14900"/>
    <n v="1050"/>
    <x v="3"/>
  </r>
  <r>
    <d v="2017-12-18T00:00:00"/>
    <s v="DE-14064"/>
    <n v="1100"/>
    <x v="0"/>
  </r>
  <r>
    <d v="2017-03-10T00:00:00"/>
    <s v="DE-14064"/>
    <n v="1100"/>
    <x v="0"/>
  </r>
  <r>
    <d v="2017-04-20T00:00:00"/>
    <s v="FO-10885"/>
    <n v="1170"/>
    <x v="3"/>
  </r>
  <r>
    <d v="2017-09-11T00:00:00"/>
    <s v="DE-15588"/>
    <n v="840"/>
    <x v="0"/>
  </r>
  <r>
    <d v="2017-11-08T00:00:00"/>
    <s v="FO-14550"/>
    <n v="1710.0000000000002"/>
    <x v="3"/>
  </r>
  <r>
    <d v="2017-01-30T00:00:00"/>
    <s v="BO-10119"/>
    <n v="1560"/>
    <x v="2"/>
  </r>
  <r>
    <d v="2017-09-02T00:00:00"/>
    <s v="SA-12124"/>
    <n v="350"/>
    <x v="4"/>
  </r>
  <r>
    <d v="2017-08-26T00:00:00"/>
    <s v="FO-14550"/>
    <n v="1710.0000000000002"/>
    <x v="3"/>
  </r>
  <r>
    <d v="2017-07-02T00:00:00"/>
    <s v="CA-14538"/>
    <n v="1090"/>
    <x v="1"/>
  </r>
  <r>
    <d v="2017-03-21T00:00:00"/>
    <s v="CA-12215"/>
    <n v="1160"/>
    <x v="1"/>
  </r>
  <r>
    <d v="2017-12-28T00:00:00"/>
    <s v="FO-13332"/>
    <n v="1620.0000000000002"/>
    <x v="3"/>
  </r>
  <r>
    <d v="2017-06-17T00:00:00"/>
    <s v="DE-14163"/>
    <n v="1480"/>
    <x v="0"/>
  </r>
  <r>
    <d v="2017-09-21T00:00:00"/>
    <s v="BO-13867"/>
    <n v="2130"/>
    <x v="2"/>
  </r>
  <r>
    <d v="2017-02-15T00:00:00"/>
    <s v="SA-15593"/>
    <n v="560"/>
    <x v="4"/>
  </r>
  <r>
    <d v="2017-10-04T00:00:00"/>
    <s v="BO-10119"/>
    <n v="1560"/>
    <x v="2"/>
  </r>
  <r>
    <d v="2017-03-14T00:00:00"/>
    <s v="DE-14064"/>
    <n v="1100"/>
    <x v="0"/>
  </r>
  <r>
    <d v="2018-01-01T00:00:00"/>
    <s v="FO-15561"/>
    <n v="969.99999999999989"/>
    <x v="3"/>
  </r>
  <r>
    <d v="2017-02-03T00:00:00"/>
    <s v="FO-13896"/>
    <n v="1530"/>
    <x v="3"/>
  </r>
  <r>
    <d v="2017-01-17T00:00:00"/>
    <s v="CA-15201"/>
    <n v="869.99999999999989"/>
    <x v="1"/>
  </r>
  <r>
    <d v="2017-01-27T00:00:00"/>
    <s v="CA-15742"/>
    <n v="960"/>
    <x v="1"/>
  </r>
  <r>
    <d v="2017-05-06T00:00:00"/>
    <s v="CA-15742"/>
    <n v="960"/>
    <x v="1"/>
  </r>
  <r>
    <d v="2017-04-11T00:00:00"/>
    <s v="DE-14163"/>
    <n v="1480"/>
    <x v="0"/>
  </r>
  <r>
    <d v="2017-08-22T00:00:00"/>
    <s v="CA-11217"/>
    <n v="979.99999999999989"/>
    <x v="1"/>
  </r>
  <r>
    <d v="2017-11-26T00:00:00"/>
    <s v="CA-14506"/>
    <n v="819.99999999999989"/>
    <x v="1"/>
  </r>
  <r>
    <d v="2017-11-29T00:00:00"/>
    <s v="BO-10119"/>
    <n v="1560"/>
    <x v="2"/>
  </r>
  <r>
    <d v="2017-07-05T00:00:00"/>
    <s v="CA-14506"/>
    <n v="819.99999999999989"/>
    <x v="1"/>
  </r>
  <r>
    <d v="2017-10-16T00:00:00"/>
    <s v="FO-11400"/>
    <n v="1240"/>
    <x v="3"/>
  </r>
  <r>
    <d v="2017-12-07T00:00:00"/>
    <s v="CA-14538"/>
    <n v="1090"/>
    <x v="1"/>
  </r>
  <r>
    <d v="2017-03-23T00:00:00"/>
    <s v="CA-10908"/>
    <n v="950"/>
    <x v="1"/>
  </r>
  <r>
    <d v="2017-01-19T00:00:00"/>
    <s v="SA-15593"/>
    <n v="560"/>
    <x v="4"/>
  </r>
  <r>
    <d v="2017-08-22T00:00:00"/>
    <s v="DE-14163"/>
    <n v="1480"/>
    <x v="0"/>
  </r>
  <r>
    <d v="2017-11-14T00:00:00"/>
    <s v="DE-10381"/>
    <n v="1750"/>
    <x v="0"/>
  </r>
  <r>
    <d v="2017-11-15T00:00:00"/>
    <s v="CA-10908"/>
    <n v="950"/>
    <x v="1"/>
  </r>
  <r>
    <d v="2017-02-25T00:00:00"/>
    <s v="FO-14550"/>
    <n v="1710.0000000000002"/>
    <x v="3"/>
  </r>
  <r>
    <d v="2017-04-06T00:00:00"/>
    <s v="DE-11233"/>
    <n v="1700"/>
    <x v="0"/>
  </r>
  <r>
    <d v="2017-04-26T00:00:00"/>
    <s v="DE-14690"/>
    <n v="1500"/>
    <x v="0"/>
  </r>
  <r>
    <d v="2017-05-16T00:00:00"/>
    <s v="CA-11145"/>
    <n v="1019.9999999999999"/>
    <x v="1"/>
  </r>
  <r>
    <d v="2017-10-15T00:00:00"/>
    <s v="FO-11139"/>
    <n v="1120"/>
    <x v="3"/>
  </r>
  <r>
    <d v="2017-03-06T00:00:00"/>
    <s v="DE-15000"/>
    <n v="1710.0000000000002"/>
    <x v="0"/>
  </r>
  <r>
    <d v="2017-05-01T00:00:00"/>
    <s v="BO-11125"/>
    <n v="1840.0000000000002"/>
    <x v="2"/>
  </r>
  <r>
    <d v="2017-04-11T00:00:00"/>
    <s v="CA-10908"/>
    <n v="950"/>
    <x v="1"/>
  </r>
  <r>
    <d v="2017-07-27T00:00:00"/>
    <s v="BO-12103"/>
    <n v="2110"/>
    <x v="2"/>
  </r>
  <r>
    <d v="2017-08-12T00:00:00"/>
    <s v="FO-14755"/>
    <n v="1180"/>
    <x v="3"/>
  </r>
  <r>
    <d v="2017-12-25T00:00:00"/>
    <s v="CA-15742"/>
    <n v="960"/>
    <x v="1"/>
  </r>
  <r>
    <d v="2017-01-31T00:00:00"/>
    <s v="FO-12034"/>
    <n v="940"/>
    <x v="3"/>
  </r>
  <r>
    <d v="2017-06-01T00:00:00"/>
    <s v="FO-13332"/>
    <n v="1620.0000000000002"/>
    <x v="3"/>
  </r>
  <r>
    <d v="2017-08-19T00:00:00"/>
    <s v="CA-14538"/>
    <n v="1090"/>
    <x v="1"/>
  </r>
  <r>
    <d v="2017-11-29T00:00:00"/>
    <s v="FO-13332"/>
    <n v="1620.0000000000002"/>
    <x v="3"/>
  </r>
  <r>
    <d v="2017-02-15T00:00:00"/>
    <s v="DE-10381"/>
    <n v="1750"/>
    <x v="0"/>
  </r>
  <r>
    <d v="2017-12-08T00:00:00"/>
    <s v="BO-12304"/>
    <n v="2480"/>
    <x v="2"/>
  </r>
  <r>
    <d v="2017-03-27T00:00:00"/>
    <s v="BO-10758"/>
    <n v="1640.0000000000002"/>
    <x v="2"/>
  </r>
  <r>
    <d v="2017-02-11T00:00:00"/>
    <s v="FO-11400"/>
    <n v="1240"/>
    <x v="3"/>
  </r>
  <r>
    <d v="2017-06-03T00:00:00"/>
    <s v="FO-15561"/>
    <n v="969.99999999999989"/>
    <x v="3"/>
  </r>
  <r>
    <d v="2017-04-13T00:00:00"/>
    <s v="DE-14590"/>
    <n v="1230"/>
    <x v="0"/>
  </r>
  <r>
    <d v="2017-10-29T00:00:00"/>
    <s v="BO-12304"/>
    <n v="2480"/>
    <x v="2"/>
  </r>
  <r>
    <d v="2017-03-17T00:00:00"/>
    <s v="CA-14506"/>
    <n v="819.99999999999989"/>
    <x v="1"/>
  </r>
  <r>
    <d v="2017-02-15T00:00:00"/>
    <s v="SA-11133"/>
    <n v="690"/>
    <x v="4"/>
  </r>
  <r>
    <d v="2017-12-16T00:00:00"/>
    <s v="DE-15588"/>
    <n v="840"/>
    <x v="0"/>
  </r>
  <r>
    <d v="2017-02-05T00:00:00"/>
    <s v="DE-15205"/>
    <n v="1680"/>
    <x v="0"/>
  </r>
  <r>
    <d v="2017-05-13T00:00:00"/>
    <s v="DE-15205"/>
    <n v="1680"/>
    <x v="0"/>
  </r>
  <r>
    <d v="2017-05-09T00:00:00"/>
    <s v="BO-14360"/>
    <n v="2130"/>
    <x v="2"/>
  </r>
  <r>
    <d v="2017-03-28T00:00:00"/>
    <s v="FO-10885"/>
    <n v="1170"/>
    <x v="3"/>
  </r>
  <r>
    <d v="2017-03-15T00:00:00"/>
    <s v="DE-14163"/>
    <n v="1480"/>
    <x v="0"/>
  </r>
  <r>
    <d v="2017-12-16T00:00:00"/>
    <s v="DE-14590"/>
    <n v="1230"/>
    <x v="0"/>
  </r>
  <r>
    <d v="2017-05-07T00:00:00"/>
    <s v="BO-14360"/>
    <n v="2130"/>
    <x v="2"/>
  </r>
  <r>
    <d v="2017-01-11T00:00:00"/>
    <s v="FO-11139"/>
    <n v="1120"/>
    <x v="3"/>
  </r>
  <r>
    <d v="2017-05-16T00:00:00"/>
    <s v="BO-11125"/>
    <n v="1840.0000000000002"/>
    <x v="2"/>
  </r>
  <r>
    <d v="2017-01-24T00:00:00"/>
    <s v="DE-11233"/>
    <n v="1700"/>
    <x v="0"/>
  </r>
  <r>
    <d v="2017-12-20T00:00:00"/>
    <s v="DE-15000"/>
    <n v="1710.0000000000002"/>
    <x v="0"/>
  </r>
  <r>
    <d v="2017-09-10T00:00:00"/>
    <s v="CA-12215"/>
    <n v="1160"/>
    <x v="1"/>
  </r>
  <r>
    <d v="2017-04-30T00:00:00"/>
    <s v="BO-12304"/>
    <n v="2480"/>
    <x v="2"/>
  </r>
  <r>
    <d v="2017-10-21T00:00:00"/>
    <s v="DE-14690"/>
    <n v="1500"/>
    <x v="0"/>
  </r>
  <r>
    <d v="2017-11-14T00:00:00"/>
    <s v="BO-12103"/>
    <n v="2110"/>
    <x v="2"/>
  </r>
  <r>
    <d v="2017-03-04T00:00:00"/>
    <s v="DE-11233"/>
    <n v="1700"/>
    <x v="0"/>
  </r>
  <r>
    <d v="2017-04-25T00:00:00"/>
    <s v="BO-10758"/>
    <n v="1640.0000000000002"/>
    <x v="2"/>
  </r>
  <r>
    <d v="2017-04-08T00:00:00"/>
    <s v="BO-13867"/>
    <n v="2130"/>
    <x v="2"/>
  </r>
  <r>
    <d v="2017-07-16T00:00:00"/>
    <s v="FO-12034"/>
    <n v="940"/>
    <x v="3"/>
  </r>
  <r>
    <d v="2017-07-28T00:00:00"/>
    <s v="DE-15000"/>
    <n v="1710.0000000000002"/>
    <x v="0"/>
  </r>
  <r>
    <d v="2017-04-11T00:00:00"/>
    <s v="CA-14506"/>
    <n v="819.99999999999989"/>
    <x v="1"/>
  </r>
  <r>
    <d v="2017-01-19T00:00:00"/>
    <s v="DE-15205"/>
    <n v="1680"/>
    <x v="0"/>
  </r>
  <r>
    <d v="2017-02-24T00:00:00"/>
    <s v="FO-12560"/>
    <n v="1490"/>
    <x v="3"/>
  </r>
  <r>
    <d v="2017-03-09T00:00:00"/>
    <s v="FO-14755"/>
    <n v="1180"/>
    <x v="3"/>
  </r>
  <r>
    <d v="2017-05-21T00:00:00"/>
    <s v="FO-14550"/>
    <n v="1710.0000000000002"/>
    <x v="3"/>
  </r>
  <r>
    <d v="2017-11-22T00:00:00"/>
    <s v="DE-15205"/>
    <n v="1680"/>
    <x v="0"/>
  </r>
  <r>
    <d v="2017-07-07T00:00:00"/>
    <s v="FO-12560"/>
    <n v="1490"/>
    <x v="3"/>
  </r>
  <r>
    <d v="2017-12-01T00:00:00"/>
    <s v="SA-12963"/>
    <n v="619.99999999999989"/>
    <x v="4"/>
  </r>
  <r>
    <d v="2017-02-14T00:00:00"/>
    <s v="SA-12124"/>
    <n v="350"/>
    <x v="4"/>
  </r>
  <r>
    <d v="2017-12-22T00:00:00"/>
    <s v="CA-11145"/>
    <n v="1019.9999999999999"/>
    <x v="1"/>
  </r>
  <r>
    <d v="2017-11-15T00:00:00"/>
    <s v="FO-11139"/>
    <n v="1120"/>
    <x v="3"/>
  </r>
  <r>
    <d v="2017-12-12T00:00:00"/>
    <s v="CA-14506"/>
    <n v="819.99999999999989"/>
    <x v="1"/>
  </r>
  <r>
    <d v="2017-10-24T00:00:00"/>
    <s v="FO-14755"/>
    <n v="1180"/>
    <x v="3"/>
  </r>
  <r>
    <d v="2017-10-06T00:00:00"/>
    <s v="FO-12034"/>
    <n v="940"/>
    <x v="3"/>
  </r>
  <r>
    <d v="2017-03-16T00:00:00"/>
    <s v="DE-14690"/>
    <n v="1500"/>
    <x v="0"/>
  </r>
  <r>
    <d v="2017-07-08T00:00:00"/>
    <s v="FO-14642"/>
    <n v="1780"/>
    <x v="3"/>
  </r>
  <r>
    <d v="2017-10-07T00:00:00"/>
    <s v="CA-11145"/>
    <n v="1019.9999999999999"/>
    <x v="1"/>
  </r>
  <r>
    <d v="2017-08-28T00:00:00"/>
    <s v="SA-12124"/>
    <n v="350"/>
    <x v="4"/>
  </r>
  <r>
    <d v="2017-05-13T00:00:00"/>
    <s v="FO-13896"/>
    <n v="1530"/>
    <x v="3"/>
  </r>
  <r>
    <d v="2017-09-11T00:00:00"/>
    <s v="CA-14506"/>
    <n v="819.99999999999989"/>
    <x v="1"/>
  </r>
  <r>
    <d v="2017-05-30T00:00:00"/>
    <s v="CA-11145"/>
    <n v="1019.9999999999999"/>
    <x v="1"/>
  </r>
  <r>
    <d v="2017-01-08T00:00:00"/>
    <s v="FO-13332"/>
    <n v="1620.0000000000002"/>
    <x v="3"/>
  </r>
  <r>
    <d v="2017-01-12T00:00:00"/>
    <s v="SA-15593"/>
    <n v="560"/>
    <x v="4"/>
  </r>
  <r>
    <d v="2017-02-10T00:00:00"/>
    <s v="BO-12304"/>
    <n v="2480"/>
    <x v="2"/>
  </r>
  <r>
    <d v="2017-10-13T00:00:00"/>
    <s v="SA-12124"/>
    <n v="350"/>
    <x v="4"/>
  </r>
  <r>
    <d v="2017-12-16T00:00:00"/>
    <s v="SA-12963"/>
    <n v="619.99999999999989"/>
    <x v="4"/>
  </r>
  <r>
    <d v="2017-02-14T00:00:00"/>
    <s v="DE-15588"/>
    <n v="840"/>
    <x v="0"/>
  </r>
  <r>
    <d v="2017-01-15T00:00:00"/>
    <s v="DE-14690"/>
    <n v="1500"/>
    <x v="0"/>
  </r>
  <r>
    <d v="2017-02-08T00:00:00"/>
    <s v="DE-15588"/>
    <n v="840"/>
    <x v="0"/>
  </r>
  <r>
    <d v="2017-05-11T00:00:00"/>
    <s v="CA-10091"/>
    <n v="1130"/>
    <x v="1"/>
  </r>
  <r>
    <d v="2017-01-02T00:00:00"/>
    <s v="SA-12963"/>
    <n v="619.99999999999989"/>
    <x v="4"/>
  </r>
  <r>
    <d v="2017-10-15T00:00:00"/>
    <s v="BO-13867"/>
    <n v="2130"/>
    <x v="2"/>
  </r>
  <r>
    <d v="2017-12-04T00:00:00"/>
    <s v="FO-15811"/>
    <n v="840"/>
    <x v="3"/>
  </r>
  <r>
    <d v="2017-05-07T00:00:00"/>
    <s v="BO-15082"/>
    <n v="2260"/>
    <x v="2"/>
  </r>
  <r>
    <d v="2017-05-08T00:00:00"/>
    <s v="FO-11139"/>
    <n v="1120"/>
    <x v="3"/>
  </r>
  <r>
    <d v="2017-04-23T00:00:00"/>
    <s v="FO-15561"/>
    <n v="969.99999999999989"/>
    <x v="3"/>
  </r>
  <r>
    <d v="2017-01-24T00:00:00"/>
    <s v="FO-12560"/>
    <n v="1490"/>
    <x v="3"/>
  </r>
  <r>
    <d v="2017-11-28T00:00:00"/>
    <s v="FO-12642"/>
    <n v="1050"/>
    <x v="3"/>
  </r>
  <r>
    <d v="2017-11-11T00:00:00"/>
    <s v="CA-11992"/>
    <n v="1300"/>
    <x v="1"/>
  </r>
  <r>
    <d v="2017-05-15T00:00:00"/>
    <s v="BO-13867"/>
    <n v="2130"/>
    <x v="2"/>
  </r>
  <r>
    <d v="2017-11-10T00:00:00"/>
    <s v="CA-10091"/>
    <n v="1130"/>
    <x v="1"/>
  </r>
  <r>
    <d v="2017-07-18T00:00:00"/>
    <s v="CA-11145"/>
    <n v="1019.9999999999999"/>
    <x v="1"/>
  </r>
  <r>
    <d v="2017-02-21T00:00:00"/>
    <s v="CA-11217"/>
    <n v="979.99999999999989"/>
    <x v="1"/>
  </r>
  <r>
    <d v="2017-11-01T00:00:00"/>
    <s v="FO-14642"/>
    <n v="1780"/>
    <x v="3"/>
  </r>
  <r>
    <d v="2017-05-12T00:00:00"/>
    <s v="FO-11139"/>
    <n v="1120"/>
    <x v="3"/>
  </r>
  <r>
    <d v="2017-11-14T00:00:00"/>
    <s v="DE-10381"/>
    <n v="1750"/>
    <x v="0"/>
  </r>
  <r>
    <d v="2017-06-03T00:00:00"/>
    <s v="CA-10091"/>
    <n v="1130"/>
    <x v="1"/>
  </r>
  <r>
    <d v="2017-12-08T00:00:00"/>
    <s v="FO-13332"/>
    <n v="1620.0000000000002"/>
    <x v="3"/>
  </r>
  <r>
    <d v="2017-06-21T00:00:00"/>
    <s v="DE-14064"/>
    <n v="1100"/>
    <x v="0"/>
  </r>
  <r>
    <d v="2017-10-15T00:00:00"/>
    <s v="FO-15561"/>
    <n v="969.99999999999989"/>
    <x v="3"/>
  </r>
  <r>
    <d v="2017-01-16T00:00:00"/>
    <s v="DE-15000"/>
    <n v="1710.0000000000002"/>
    <x v="0"/>
  </r>
  <r>
    <d v="2017-06-12T00:00:00"/>
    <s v="DE-15000"/>
    <n v="1710.0000000000002"/>
    <x v="0"/>
  </r>
  <r>
    <d v="2017-12-05T00:00:00"/>
    <s v="BO-14360"/>
    <n v="2130"/>
    <x v="2"/>
  </r>
  <r>
    <d v="2017-12-05T00:00:00"/>
    <s v="SA-11133"/>
    <n v="690"/>
    <x v="4"/>
  </r>
  <r>
    <d v="2017-01-03T00:00:00"/>
    <s v="CA-14506"/>
    <n v="819.99999999999989"/>
    <x v="1"/>
  </r>
  <r>
    <d v="2017-10-20T00:00:00"/>
    <s v="SA-11133"/>
    <n v="690"/>
    <x v="4"/>
  </r>
  <r>
    <d v="2017-08-17T00:00:00"/>
    <s v="BO-10758"/>
    <n v="1640.0000000000002"/>
    <x v="2"/>
  </r>
  <r>
    <d v="2017-08-29T00:00:00"/>
    <s v="DE-12516"/>
    <n v="1040"/>
    <x v="0"/>
  </r>
  <r>
    <d v="2017-08-16T00:00:00"/>
    <s v="DE-15588"/>
    <n v="840"/>
    <x v="0"/>
  </r>
  <r>
    <d v="2017-05-02T00:00:00"/>
    <s v="DE-15205"/>
    <n v="1680"/>
    <x v="0"/>
  </r>
  <r>
    <d v="2017-08-15T00:00:00"/>
    <s v="FO-12034"/>
    <n v="940"/>
    <x v="3"/>
  </r>
  <r>
    <d v="2017-09-11T00:00:00"/>
    <s v="SA-12963"/>
    <n v="619.99999999999989"/>
    <x v="4"/>
  </r>
  <r>
    <d v="2017-07-29T00:00:00"/>
    <s v="DE-12516"/>
    <n v="1040"/>
    <x v="0"/>
  </r>
  <r>
    <d v="2017-01-07T00:00:00"/>
    <s v="DE-15588"/>
    <n v="840"/>
    <x v="0"/>
  </r>
  <r>
    <d v="2017-08-19T00:00:00"/>
    <s v="DE-14064"/>
    <n v="1100"/>
    <x v="0"/>
  </r>
  <r>
    <d v="2017-10-27T00:00:00"/>
    <s v="CA-10908"/>
    <n v="950"/>
    <x v="1"/>
  </r>
  <r>
    <d v="2017-09-04T00:00:00"/>
    <s v="FO-13332"/>
    <n v="1620.0000000000002"/>
    <x v="3"/>
  </r>
  <r>
    <d v="2017-11-09T00:00:00"/>
    <s v="DE-14590"/>
    <n v="1230"/>
    <x v="0"/>
  </r>
  <r>
    <d v="2017-09-13T00:00:00"/>
    <s v="FO-10885"/>
    <n v="1170"/>
    <x v="3"/>
  </r>
  <r>
    <d v="2017-02-25T00:00:00"/>
    <s v="FO-13896"/>
    <n v="1530"/>
    <x v="3"/>
  </r>
  <r>
    <d v="2017-08-04T00:00:00"/>
    <s v="DE-11233"/>
    <n v="1700"/>
    <x v="0"/>
  </r>
  <r>
    <d v="2017-03-13T00:00:00"/>
    <s v="DE-12516"/>
    <n v="1040"/>
    <x v="0"/>
  </r>
  <r>
    <d v="2017-10-18T00:00:00"/>
    <s v="DE-12516"/>
    <n v="1040"/>
    <x v="0"/>
  </r>
  <r>
    <d v="2017-07-17T00:00:00"/>
    <s v="BO-10119"/>
    <n v="1560"/>
    <x v="2"/>
  </r>
  <r>
    <d v="2017-10-08T00:00:00"/>
    <s v="DE-14163"/>
    <n v="1480"/>
    <x v="0"/>
  </r>
  <r>
    <d v="2017-07-09T00:00:00"/>
    <s v="DE-11233"/>
    <n v="1700"/>
    <x v="0"/>
  </r>
  <r>
    <d v="2017-03-22T00:00:00"/>
    <s v="FO-10885"/>
    <n v="1170"/>
    <x v="3"/>
  </r>
  <r>
    <d v="2017-10-06T00:00:00"/>
    <s v="FO-12034"/>
    <n v="940"/>
    <x v="3"/>
  </r>
  <r>
    <d v="2017-03-22T00:00:00"/>
    <s v="CA-11217"/>
    <n v="979.99999999999989"/>
    <x v="1"/>
  </r>
  <r>
    <d v="2017-06-12T00:00:00"/>
    <s v="BO-13867"/>
    <n v="2130"/>
    <x v="2"/>
  </r>
  <r>
    <d v="2017-09-28T00:00:00"/>
    <s v="FO-14900"/>
    <n v="1050"/>
    <x v="3"/>
  </r>
  <r>
    <d v="2017-04-19T00:00:00"/>
    <s v="BO-10758"/>
    <n v="1640.0000000000002"/>
    <x v="2"/>
  </r>
  <r>
    <d v="2017-11-28T00:00:00"/>
    <s v="SA-12124"/>
    <n v="350"/>
    <x v="4"/>
  </r>
  <r>
    <d v="2017-10-08T00:00:00"/>
    <s v="BO-12103"/>
    <n v="2110"/>
    <x v="2"/>
  </r>
  <r>
    <d v="2017-02-20T00:00:00"/>
    <s v="BO-12304"/>
    <n v="2480"/>
    <x v="2"/>
  </r>
  <r>
    <d v="2017-08-12T00:00:00"/>
    <s v="CA-10908"/>
    <n v="950"/>
    <x v="1"/>
  </r>
  <r>
    <d v="2017-10-22T00:00:00"/>
    <s v="CA-15201"/>
    <n v="869.99999999999989"/>
    <x v="1"/>
  </r>
  <r>
    <d v="2017-01-05T00:00:00"/>
    <s v="DE-14690"/>
    <n v="1500"/>
    <x v="0"/>
  </r>
  <r>
    <d v="2017-06-06T00:00:00"/>
    <s v="SA-11133"/>
    <n v="690"/>
    <x v="4"/>
  </r>
  <r>
    <d v="2017-04-30T00:00:00"/>
    <s v="CA-10908"/>
    <n v="950"/>
    <x v="1"/>
  </r>
  <r>
    <d v="2017-04-14T00:00:00"/>
    <s v="BO-15082"/>
    <n v="2260"/>
    <x v="2"/>
  </r>
  <r>
    <d v="2017-04-22T00:00:00"/>
    <s v="FO-14642"/>
    <n v="1780"/>
    <x v="3"/>
  </r>
  <r>
    <d v="2017-06-17T00:00:00"/>
    <s v="FO-14642"/>
    <n v="1780"/>
    <x v="3"/>
  </r>
  <r>
    <d v="2017-05-10T00:00:00"/>
    <s v="FO-14900"/>
    <n v="1050"/>
    <x v="3"/>
  </r>
  <r>
    <d v="2017-04-24T00:00:00"/>
    <s v="CA-14538"/>
    <n v="1090"/>
    <x v="1"/>
  </r>
  <r>
    <d v="2017-02-22T00:00:00"/>
    <s v="FO-11139"/>
    <n v="1120"/>
    <x v="3"/>
  </r>
  <r>
    <d v="2017-03-17T00:00:00"/>
    <s v="SA-15593"/>
    <n v="560"/>
    <x v="4"/>
  </r>
  <r>
    <d v="2017-11-28T00:00:00"/>
    <s v="FO-15561"/>
    <n v="969.99999999999989"/>
    <x v="3"/>
  </r>
  <r>
    <d v="2017-03-16T00:00:00"/>
    <s v="FO-11930"/>
    <n v="1740.0000000000002"/>
    <x v="3"/>
  </r>
  <r>
    <d v="2017-04-30T00:00:00"/>
    <s v="BO-10758"/>
    <n v="1640.0000000000002"/>
    <x v="2"/>
  </r>
  <r>
    <d v="2017-05-23T00:00:00"/>
    <s v="BO-15397"/>
    <n v="1590"/>
    <x v="2"/>
  </r>
  <r>
    <d v="2017-12-24T00:00:00"/>
    <s v="FO-12560"/>
    <n v="1490"/>
    <x v="3"/>
  </r>
  <r>
    <d v="2017-12-26T00:00:00"/>
    <s v="CA-11217"/>
    <n v="979.99999999999989"/>
    <x v="1"/>
  </r>
  <r>
    <d v="2017-03-05T00:00:00"/>
    <s v="BO-14360"/>
    <n v="2130"/>
    <x v="2"/>
  </r>
  <r>
    <d v="2017-05-31T00:00:00"/>
    <s v="FO-13896"/>
    <n v="1530"/>
    <x v="3"/>
  </r>
  <r>
    <d v="2017-01-27T00:00:00"/>
    <s v="FO-15561"/>
    <n v="969.99999999999989"/>
    <x v="3"/>
  </r>
  <r>
    <d v="2017-01-27T00:00:00"/>
    <s v="DE-11233"/>
    <n v="1700"/>
    <x v="0"/>
  </r>
  <r>
    <d v="2017-12-16T00:00:00"/>
    <s v="FO-14755"/>
    <n v="1180"/>
    <x v="3"/>
  </r>
  <r>
    <d v="2017-02-16T00:00:00"/>
    <s v="BO-10119"/>
    <n v="1560"/>
    <x v="2"/>
  </r>
  <r>
    <d v="2017-02-06T00:00:00"/>
    <s v="FO-14755"/>
    <n v="1180"/>
    <x v="3"/>
  </r>
  <r>
    <d v="2017-07-09T00:00:00"/>
    <s v="CA-14538"/>
    <n v="1090"/>
    <x v="1"/>
  </r>
  <r>
    <d v="2017-03-09T00:00:00"/>
    <s v="DE-15588"/>
    <n v="840"/>
    <x v="0"/>
  </r>
  <r>
    <d v="2017-07-03T00:00:00"/>
    <s v="CA-11992"/>
    <n v="1300"/>
    <x v="1"/>
  </r>
  <r>
    <d v="2017-06-15T00:00:00"/>
    <s v="BO-12304"/>
    <n v="2480"/>
    <x v="2"/>
  </r>
  <r>
    <d v="2017-02-18T00:00:00"/>
    <s v="DE-14064"/>
    <n v="1100"/>
    <x v="0"/>
  </r>
  <r>
    <d v="2017-01-15T00:00:00"/>
    <s v="DE-15000"/>
    <n v="1710.0000000000002"/>
    <x v="0"/>
  </r>
  <r>
    <d v="2017-01-09T00:00:00"/>
    <s v="BO-12304"/>
    <n v="2480"/>
    <x v="2"/>
  </r>
  <r>
    <d v="2017-11-19T00:00:00"/>
    <s v="BO-13867"/>
    <n v="2130"/>
    <x v="2"/>
  </r>
  <r>
    <d v="2017-11-15T00:00:00"/>
    <s v="BO-14360"/>
    <n v="2130"/>
    <x v="2"/>
  </r>
  <r>
    <d v="2017-07-21T00:00:00"/>
    <s v="FO-12560"/>
    <n v="1490"/>
    <x v="3"/>
  </r>
  <r>
    <d v="2017-07-29T00:00:00"/>
    <s v="FO-10885"/>
    <n v="1170"/>
    <x v="3"/>
  </r>
  <r>
    <d v="2017-12-30T00:00:00"/>
    <s v="FO-11400"/>
    <n v="1240"/>
    <x v="3"/>
  </r>
  <r>
    <d v="2017-02-25T00:00:00"/>
    <s v="CA-11992"/>
    <n v="1300"/>
    <x v="1"/>
  </r>
  <r>
    <d v="2017-11-21T00:00:00"/>
    <s v="SA-11133"/>
    <n v="690"/>
    <x v="4"/>
  </r>
  <r>
    <d v="2017-11-11T00:00:00"/>
    <s v="FO-11400"/>
    <n v="1240"/>
    <x v="3"/>
  </r>
  <r>
    <d v="2017-04-24T00:00:00"/>
    <s v="CA-14506"/>
    <n v="819.99999999999989"/>
    <x v="1"/>
  </r>
  <r>
    <d v="2017-05-04T00:00:00"/>
    <s v="BO-12103"/>
    <n v="2110"/>
    <x v="2"/>
  </r>
  <r>
    <d v="2017-12-03T00:00:00"/>
    <s v="DE-15588"/>
    <n v="840"/>
    <x v="0"/>
  </r>
  <r>
    <d v="2017-07-19T00:00:00"/>
    <s v="DE-15588"/>
    <n v="840"/>
    <x v="0"/>
  </r>
  <r>
    <d v="2017-09-28T00:00:00"/>
    <s v="FO-13332"/>
    <n v="1620.0000000000002"/>
    <x v="3"/>
  </r>
  <r>
    <d v="2017-12-18T00:00:00"/>
    <s v="FO-14900"/>
    <n v="1050"/>
    <x v="3"/>
  </r>
  <r>
    <d v="2017-08-07T00:00:00"/>
    <s v="BO-15082"/>
    <n v="2260"/>
    <x v="2"/>
  </r>
  <r>
    <d v="2017-05-01T00:00:00"/>
    <s v="CA-14538"/>
    <n v="1090"/>
    <x v="1"/>
  </r>
  <r>
    <d v="2017-06-19T00:00:00"/>
    <s v="FO-11930"/>
    <n v="1740.0000000000002"/>
    <x v="3"/>
  </r>
  <r>
    <d v="2017-09-26T00:00:00"/>
    <s v="FO-13332"/>
    <n v="1620.0000000000002"/>
    <x v="3"/>
  </r>
  <r>
    <d v="2017-01-26T00:00:00"/>
    <s v="FO-14755"/>
    <n v="1180"/>
    <x v="3"/>
  </r>
  <r>
    <d v="2017-09-18T00:00:00"/>
    <s v="DE-15588"/>
    <n v="840"/>
    <x v="0"/>
  </r>
  <r>
    <d v="2017-03-23T00:00:00"/>
    <s v="FO-12560"/>
    <n v="1490"/>
    <x v="3"/>
  </r>
  <r>
    <d v="2017-05-06T00:00:00"/>
    <s v="DE-10381"/>
    <n v="1750"/>
    <x v="0"/>
  </r>
  <r>
    <d v="2017-06-17T00:00:00"/>
    <s v="BO-12103"/>
    <n v="2110"/>
    <x v="2"/>
  </r>
  <r>
    <d v="2017-03-06T00:00:00"/>
    <s v="CA-15201"/>
    <n v="869.99999999999989"/>
    <x v="1"/>
  </r>
  <r>
    <d v="2017-08-08T00:00:00"/>
    <s v="FO-15561"/>
    <n v="969.99999999999989"/>
    <x v="3"/>
  </r>
  <r>
    <d v="2017-08-26T00:00:00"/>
    <s v="DE-14163"/>
    <n v="1480"/>
    <x v="0"/>
  </r>
  <r>
    <d v="2017-02-28T00:00:00"/>
    <s v="BO-11125"/>
    <n v="1840.0000000000002"/>
    <x v="2"/>
  </r>
  <r>
    <d v="2017-05-02T00:00:00"/>
    <s v="BO-15397"/>
    <n v="1590"/>
    <x v="2"/>
  </r>
  <r>
    <d v="2017-06-17T00:00:00"/>
    <s v="FO-14755"/>
    <n v="1180"/>
    <x v="3"/>
  </r>
  <r>
    <d v="2017-10-15T00:00:00"/>
    <s v="SA-12963"/>
    <n v="619.99999999999989"/>
    <x v="4"/>
  </r>
  <r>
    <d v="2017-08-02T00:00:00"/>
    <s v="CA-14506"/>
    <n v="819.99999999999989"/>
    <x v="1"/>
  </r>
  <r>
    <d v="2017-05-14T00:00:00"/>
    <s v="SA-15593"/>
    <n v="560"/>
    <x v="4"/>
  </r>
  <r>
    <d v="2017-12-08T00:00:00"/>
    <s v="SA-15899"/>
    <n v="300"/>
    <x v="4"/>
  </r>
  <r>
    <d v="2017-06-06T00:00:00"/>
    <s v="FO-12034"/>
    <n v="940"/>
    <x v="3"/>
  </r>
  <r>
    <d v="2017-04-27T00:00:00"/>
    <s v="CA-14506"/>
    <n v="819.99999999999989"/>
    <x v="1"/>
  </r>
  <r>
    <d v="2017-11-14T00:00:00"/>
    <s v="CA-11145"/>
    <n v="1019.9999999999999"/>
    <x v="1"/>
  </r>
  <r>
    <d v="2017-04-02T00:00:00"/>
    <s v="FO-14755"/>
    <n v="1180"/>
    <x v="3"/>
  </r>
  <r>
    <d v="2017-03-22T00:00:00"/>
    <s v="FO-14900"/>
    <n v="1050"/>
    <x v="3"/>
  </r>
  <r>
    <d v="2017-10-31T00:00:00"/>
    <s v="CA-14538"/>
    <n v="1090"/>
    <x v="1"/>
  </r>
  <r>
    <d v="2017-05-07T00:00:00"/>
    <s v="SA-15899"/>
    <n v="300"/>
    <x v="4"/>
  </r>
  <r>
    <d v="2017-12-09T00:00:00"/>
    <s v="BO-13867"/>
    <n v="2130"/>
    <x v="2"/>
  </r>
  <r>
    <d v="2017-02-19T00:00:00"/>
    <s v="BO-14360"/>
    <n v="2130"/>
    <x v="2"/>
  </r>
  <r>
    <d v="2017-09-26T00:00:00"/>
    <s v="BO-14360"/>
    <n v="2130"/>
    <x v="2"/>
  </r>
  <r>
    <d v="2017-11-19T00:00:00"/>
    <s v="FO-14755"/>
    <n v="1180"/>
    <x v="3"/>
  </r>
  <r>
    <d v="2017-06-04T00:00:00"/>
    <s v="FO-14755"/>
    <n v="1180"/>
    <x v="3"/>
  </r>
  <r>
    <d v="2017-08-10T00:00:00"/>
    <s v="BO-10119"/>
    <n v="1560"/>
    <x v="2"/>
  </r>
  <r>
    <d v="2017-09-17T00:00:00"/>
    <s v="DE-11233"/>
    <n v="1700"/>
    <x v="0"/>
  </r>
  <r>
    <d v="2017-07-30T00:00:00"/>
    <s v="DE-14064"/>
    <n v="1100"/>
    <x v="0"/>
  </r>
  <r>
    <d v="2017-11-29T00:00:00"/>
    <s v="SA-15593"/>
    <n v="560"/>
    <x v="4"/>
  </r>
  <r>
    <d v="2017-03-07T00:00:00"/>
    <s v="BO-12103"/>
    <n v="2110"/>
    <x v="2"/>
  </r>
  <r>
    <d v="2017-03-23T00:00:00"/>
    <s v="DE-15588"/>
    <n v="840"/>
    <x v="0"/>
  </r>
  <r>
    <d v="2017-02-01T00:00:00"/>
    <s v="SA-12963"/>
    <n v="619.99999999999989"/>
    <x v="4"/>
  </r>
  <r>
    <d v="2017-06-23T00:00:00"/>
    <s v="CA-15742"/>
    <n v="960"/>
    <x v="1"/>
  </r>
  <r>
    <d v="2017-07-20T00:00:00"/>
    <s v="BO-11125"/>
    <n v="1840.0000000000002"/>
    <x v="2"/>
  </r>
  <r>
    <d v="2017-10-20T00:00:00"/>
    <s v="SA-12124"/>
    <n v="350"/>
    <x v="4"/>
  </r>
  <r>
    <d v="2017-10-01T00:00:00"/>
    <s v="DE-14163"/>
    <n v="1480"/>
    <x v="0"/>
  </r>
  <r>
    <d v="2017-02-07T00:00:00"/>
    <s v="CA-14506"/>
    <n v="819.99999999999989"/>
    <x v="1"/>
  </r>
  <r>
    <d v="2017-06-01T00:00:00"/>
    <s v="BO-15082"/>
    <n v="2260"/>
    <x v="2"/>
  </r>
  <r>
    <d v="2017-05-01T00:00:00"/>
    <s v="DE-14690"/>
    <n v="1500"/>
    <x v="0"/>
  </r>
  <r>
    <d v="2017-05-03T00:00:00"/>
    <s v="BO-10758"/>
    <n v="1640.0000000000002"/>
    <x v="2"/>
  </r>
  <r>
    <d v="2017-09-16T00:00:00"/>
    <s v="DE-12516"/>
    <n v="1040"/>
    <x v="0"/>
  </r>
  <r>
    <d v="2017-01-10T00:00:00"/>
    <s v="DE-12516"/>
    <n v="1040"/>
    <x v="0"/>
  </r>
  <r>
    <d v="2017-06-19T00:00:00"/>
    <s v="CA-14506"/>
    <n v="819.99999999999989"/>
    <x v="1"/>
  </r>
  <r>
    <d v="2017-01-17T00:00:00"/>
    <s v="FO-15811"/>
    <n v="840"/>
    <x v="3"/>
  </r>
  <r>
    <d v="2017-07-16T00:00:00"/>
    <s v="FO-10885"/>
    <n v="1170"/>
    <x v="3"/>
  </r>
  <r>
    <d v="2017-11-04T00:00:00"/>
    <s v="CA-14538"/>
    <n v="1090"/>
    <x v="1"/>
  </r>
  <r>
    <d v="2017-04-19T00:00:00"/>
    <s v="DE-11233"/>
    <n v="1700"/>
    <x v="0"/>
  </r>
  <r>
    <d v="2017-06-03T00:00:00"/>
    <s v="FO-14550"/>
    <n v="1710.0000000000002"/>
    <x v="3"/>
  </r>
  <r>
    <d v="2017-05-04T00:00:00"/>
    <s v="BO-12103"/>
    <n v="2110"/>
    <x v="2"/>
  </r>
  <r>
    <d v="2017-11-13T00:00:00"/>
    <s v="FO-10885"/>
    <n v="1170"/>
    <x v="3"/>
  </r>
  <r>
    <d v="2017-10-26T00:00:00"/>
    <s v="BO-12304"/>
    <n v="2480"/>
    <x v="2"/>
  </r>
  <r>
    <d v="2017-08-16T00:00:00"/>
    <s v="DE-12516"/>
    <n v="1040"/>
    <x v="0"/>
  </r>
  <r>
    <d v="2017-03-01T00:00:00"/>
    <s v="FO-14755"/>
    <n v="1180"/>
    <x v="3"/>
  </r>
  <r>
    <d v="2017-02-08T00:00:00"/>
    <s v="FO-14550"/>
    <n v="1710.0000000000002"/>
    <x v="3"/>
  </r>
  <r>
    <d v="2017-07-16T00:00:00"/>
    <s v="CA-14506"/>
    <n v="819.99999999999989"/>
    <x v="1"/>
  </r>
  <r>
    <d v="2017-07-07T00:00:00"/>
    <s v="SA-12124"/>
    <n v="350"/>
    <x v="4"/>
  </r>
  <r>
    <d v="2017-07-17T00:00:00"/>
    <s v="FO-13332"/>
    <n v="1620.0000000000002"/>
    <x v="3"/>
  </r>
  <r>
    <d v="2017-02-23T00:00:00"/>
    <s v="DE-15588"/>
    <n v="840"/>
    <x v="0"/>
  </r>
  <r>
    <d v="2017-05-09T00:00:00"/>
    <s v="FO-15561"/>
    <n v="969.99999999999989"/>
    <x v="3"/>
  </r>
  <r>
    <d v="2017-03-14T00:00:00"/>
    <s v="BO-12103"/>
    <n v="21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4DE15-5CA2-4B98-8C0D-65880102716F}" name="TablaDinámica5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35:AB43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axis="axisRow" showAll="0">
      <items count="8">
        <item x="1"/>
        <item x="6"/>
        <item x="2"/>
        <item x="4"/>
        <item x="0"/>
        <item x="5"/>
        <item x="3"/>
        <item t="default"/>
      </items>
    </pivotField>
    <pivotField showAll="0"/>
    <pivotField showAll="0"/>
    <pivotField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Ganancia_pct" fld="14" baseField="0" baseItem="0" numFmtId="1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369BD-151C-468D-BC1D-39D1FC4797A5}" name="TablaDinámica4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17:AB31" firstHeaderRow="1" firstDataRow="1" firstDataCol="1"/>
  <pivotFields count="15">
    <pivotField subtotalTop="0" showAll="0"/>
    <pivotField numFmtId="15" subtotalTop="0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ubtotalTop="0" showAll="0"/>
    <pivotField axis="axisRow" subtotalTop="0" showAll="0">
      <items count="4">
        <item x="1"/>
        <item x="0"/>
        <item x="2"/>
        <item t="default"/>
      </items>
    </pivotField>
    <pivotField axis="axisRow" subtotalTop="0" showAll="0">
      <items count="8">
        <item x="1"/>
        <item x="6"/>
        <item x="2"/>
        <item x="4"/>
        <item x="0"/>
        <item x="5"/>
        <item x="3"/>
        <item t="default"/>
      </items>
    </pivotField>
    <pivotField subtotalTop="0" showAll="0"/>
    <pivotField subtotalTop="0" showAll="0"/>
    <pivotField numFmtId="8" subtotalTop="0" showAll="0"/>
    <pivotField numFmtId="8" subtotalTop="0" showAll="0"/>
    <pivotField numFmtId="9" subtotalTop="0" showAll="0"/>
    <pivotField dataField="1" numFmtId="8" subtotalTop="0" showAll="0"/>
    <pivotField subtotalTop="0" showAll="0"/>
    <pivotField subtotalTop="0" showAll="0"/>
    <pivotField subtotalTop="0" showAll="0">
      <items count="5">
        <item x="0"/>
        <item x="1"/>
        <item x="2"/>
        <item x="3"/>
        <item t="default"/>
      </items>
    </pivotField>
    <pivotField subtotalTop="0" dragToRow="0" dragToCol="0" dragToPage="0" showAll="0" defaultSubtotal="0"/>
  </pivotFields>
  <rowFields count="2">
    <field x="3"/>
    <field x="4"/>
  </rowFields>
  <rowItems count="14">
    <i>
      <x/>
    </i>
    <i r="1">
      <x/>
    </i>
    <i r="1">
      <x v="1"/>
    </i>
    <i r="1">
      <x v="2"/>
    </i>
    <i t="default">
      <x/>
    </i>
    <i>
      <x v="1"/>
    </i>
    <i r="1">
      <x v="3"/>
    </i>
    <i r="1">
      <x v="4"/>
    </i>
    <i t="default">
      <x v="1"/>
    </i>
    <i>
      <x v="2"/>
    </i>
    <i r="1">
      <x v="5"/>
    </i>
    <i r="1">
      <x v="6"/>
    </i>
    <i t="default">
      <x v="2"/>
    </i>
    <i t="grand">
      <x/>
    </i>
  </rowItems>
  <colItems count="1">
    <i/>
  </colItems>
  <dataFields count="1">
    <dataField name="Suma de Ganancia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BD72F-3548-4D5C-B575-F0280A798584}" name="TablaDinámica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10:AB14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8" showAll="0"/>
    <pivotField numFmtId="8" showAll="0"/>
    <pivotField dataField="1"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Descuento" fld="9" subtotal="average" baseField="3" baseItem="0" numFmtId="10"/>
  </dataFields>
  <formats count="2">
    <format dxfId="14">
      <pivotArea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6FAE2-F545-47E7-8750-9B8249EFE7D8}" name="TablaDiná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31:W49" firstHeaderRow="1" firstDataRow="1" firstDataCol="1" rowPageCount="1" colPageCount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axis="axisPage" showAll="0">
      <items count="8">
        <item x="1"/>
        <item x="6"/>
        <item x="2"/>
        <item x="4"/>
        <item x="0"/>
        <item x="5"/>
        <item x="3"/>
        <item t="default"/>
      </items>
    </pivotField>
    <pivotField axis="axisRow" dataField="1" showAll="0">
      <items count="76">
        <item x="18"/>
        <item x="30"/>
        <item x="29"/>
        <item x="65"/>
        <item x="55"/>
        <item x="44"/>
        <item x="35"/>
        <item x="48"/>
        <item x="32"/>
        <item x="43"/>
        <item x="8"/>
        <item x="47"/>
        <item x="2"/>
        <item x="62"/>
        <item x="67"/>
        <item x="40"/>
        <item x="13"/>
        <item x="60"/>
        <item x="56"/>
        <item x="5"/>
        <item x="1"/>
        <item x="25"/>
        <item x="14"/>
        <item x="45"/>
        <item x="68"/>
        <item x="27"/>
        <item x="9"/>
        <item x="53"/>
        <item x="69"/>
        <item x="16"/>
        <item x="23"/>
        <item x="37"/>
        <item x="72"/>
        <item x="21"/>
        <item x="57"/>
        <item x="36"/>
        <item x="31"/>
        <item x="54"/>
        <item x="34"/>
        <item x="6"/>
        <item x="58"/>
        <item x="17"/>
        <item x="41"/>
        <item x="59"/>
        <item x="19"/>
        <item x="42"/>
        <item x="0"/>
        <item x="20"/>
        <item x="24"/>
        <item x="74"/>
        <item x="51"/>
        <item x="50"/>
        <item x="10"/>
        <item x="22"/>
        <item x="33"/>
        <item x="52"/>
        <item x="71"/>
        <item x="15"/>
        <item x="66"/>
        <item x="28"/>
        <item x="38"/>
        <item x="64"/>
        <item x="46"/>
        <item x="49"/>
        <item x="12"/>
        <item x="7"/>
        <item x="4"/>
        <item x="39"/>
        <item x="70"/>
        <item x="63"/>
        <item x="26"/>
        <item x="61"/>
        <item x="11"/>
        <item x="73"/>
        <item x="3"/>
        <item t="default"/>
      </items>
    </pivotField>
    <pivotField showAll="0"/>
    <pivotField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5"/>
  </rowFields>
  <rowItems count="18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4" item="0" hier="-1"/>
  </pageFields>
  <dataFields count="1">
    <dataField name="Cuenta de Producto" fld="5" subtotal="count" baseField="5" baseItem="17" numFmtId="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68D45-7E86-49AF-ADD8-3079A3DD544E}" name="TablaDiná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V10:X28" firstHeaderRow="1" firstDataRow="1" firstDataCol="2"/>
  <pivotFields count="15">
    <pivotField compact="0" outline="0" showAll="0"/>
    <pivotField compact="0" numFmtId="15" outline="0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1"/>
        <item x="6"/>
        <item x="0"/>
        <item x="4"/>
        <item x="5"/>
        <item t="default"/>
      </items>
    </pivotField>
    <pivotField dataField="1" compact="0" numFmtId="8" outline="0" showAll="0"/>
    <pivotField compact="0" numFmtId="8" outline="0" showAll="0"/>
    <pivotField compact="0" numFmtId="9" outline="0" showAll="0"/>
    <pivotField compact="0" numFmtId="8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5">
        <item sd="0" x="0"/>
        <item x="1"/>
        <item x="2"/>
        <item sd="0" x="3"/>
        <item t="default"/>
      </items>
    </pivotField>
    <pivotField compact="0" outline="0" dragToRow="0" dragToCol="0" dragToPage="0" showAll="0" defaultSubtotal="0"/>
  </pivotFields>
  <rowFields count="2">
    <field x="13"/>
    <field x="11"/>
  </rowFields>
  <rowItems count="1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t="default">
      <x v="2"/>
    </i>
    <i t="grand">
      <x/>
    </i>
  </rowItems>
  <colItems count="1">
    <i/>
  </colItems>
  <dataFields count="1">
    <dataField name="Suma de Precio" fld="7" baseField="0" baseItem="0" numFmtId="8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F6BF9-0BC7-44BC-94C8-0B8EDD5CF787}" name="TablaDinámica9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8:B41" firstHeaderRow="1" firstDataRow="1" firstDataCol="1" rowPageCount="1" colPageCount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8">
        <item x="1"/>
        <item x="6"/>
        <item x="2"/>
        <item x="4"/>
        <item x="0"/>
        <item x="5"/>
        <item x="3"/>
        <item t="default"/>
      </items>
    </pivotField>
    <pivotField dataField="1" showAll="0">
      <items count="76">
        <item x="18"/>
        <item x="30"/>
        <item x="29"/>
        <item x="65"/>
        <item x="55"/>
        <item x="44"/>
        <item x="35"/>
        <item x="48"/>
        <item x="32"/>
        <item x="43"/>
        <item x="8"/>
        <item x="47"/>
        <item x="2"/>
        <item x="62"/>
        <item x="67"/>
        <item x="40"/>
        <item x="13"/>
        <item x="60"/>
        <item x="56"/>
        <item x="5"/>
        <item x="1"/>
        <item x="25"/>
        <item x="14"/>
        <item x="45"/>
        <item x="68"/>
        <item x="27"/>
        <item x="9"/>
        <item x="53"/>
        <item x="69"/>
        <item x="16"/>
        <item x="23"/>
        <item x="37"/>
        <item x="72"/>
        <item x="21"/>
        <item x="57"/>
        <item x="36"/>
        <item x="31"/>
        <item x="54"/>
        <item x="34"/>
        <item x="6"/>
        <item x="58"/>
        <item x="17"/>
        <item x="41"/>
        <item x="59"/>
        <item x="19"/>
        <item x="42"/>
        <item x="0"/>
        <item x="20"/>
        <item x="24"/>
        <item x="74"/>
        <item x="51"/>
        <item x="50"/>
        <item x="10"/>
        <item x="22"/>
        <item x="33"/>
        <item x="52"/>
        <item x="71"/>
        <item x="15"/>
        <item x="66"/>
        <item x="28"/>
        <item x="38"/>
        <item x="64"/>
        <item x="46"/>
        <item x="49"/>
        <item x="12"/>
        <item x="7"/>
        <item x="4"/>
        <item x="39"/>
        <item x="70"/>
        <item x="63"/>
        <item x="26"/>
        <item x="61"/>
        <item x="11"/>
        <item x="73"/>
        <item x="3"/>
        <item t="default"/>
      </items>
    </pivotField>
    <pivotField showAll="0">
      <items count="8">
        <item x="2"/>
        <item x="3"/>
        <item x="1"/>
        <item x="6"/>
        <item x="0"/>
        <item x="4"/>
        <item x="5"/>
        <item t="default"/>
      </items>
    </pivotField>
    <pivotField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4"/>
  </rowFields>
  <rowItems count="3">
    <i>
      <x v="5"/>
    </i>
    <i>
      <x v="6"/>
    </i>
    <i t="grand">
      <x/>
    </i>
  </rowItems>
  <colItems count="1">
    <i/>
  </colItems>
  <pageFields count="1">
    <pageField fld="3" item="2" hier="-1"/>
  </pageFields>
  <dataFields count="1">
    <dataField name="Cuenta de Producto" fld="5" subtotal="count" baseField="0" baseItem="28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14D15-3567-4D49-93F9-E5E47986BAD4}" name="TablaDinámica7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J25:K33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axis="axisRow" showAll="0" sortType="ascending">
      <items count="8">
        <item x="1"/>
        <item x="6"/>
        <item x="2"/>
        <item x="4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1"/>
        <item x="6"/>
        <item x="0"/>
        <item x="4"/>
        <item x="5"/>
        <item t="default"/>
      </items>
    </pivotField>
    <pivotField numFmtId="8" showAll="0"/>
    <pivotField numFmtId="8" showAll="0"/>
    <pivotField numFmtId="9" showAll="0"/>
    <pivotField dataField="1"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4"/>
  </rowFields>
  <rowItems count="8">
    <i>
      <x v="5"/>
    </i>
    <i>
      <x v="2"/>
    </i>
    <i>
      <x v="4"/>
    </i>
    <i>
      <x v="6"/>
    </i>
    <i>
      <x/>
    </i>
    <i>
      <x v="3"/>
    </i>
    <i>
      <x v="1"/>
    </i>
    <i t="grand">
      <x/>
    </i>
  </rowItems>
  <colItems count="1">
    <i/>
  </colItems>
  <dataFields count="1">
    <dataField name="Suma de Ganancia" fld="10" baseField="0" baseItem="0" numFmtId="8"/>
  </dataFields>
  <formats count="1">
    <format dxfId="1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AD0DE-4B41-4E69-983C-3E35B925ACE1}" name="TablaDinámica6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9:K22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1"/>
        <item x="6"/>
        <item x="0"/>
        <item x="4"/>
        <item x="5"/>
        <item t="default"/>
      </items>
    </pivotField>
    <pivotField numFmtId="8" showAll="0"/>
    <pivotField dataField="1" numFmtId="8" showAll="0"/>
    <pivotField numFmtId="9" showAll="0"/>
    <pivotField numFmtId="8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dragToRow="0" dragToCol="0" dragToPage="0" showAll="0" defaultSubtotal="0"/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Costo" fld="8" baseField="0" baseItem="0" numFmtId="8"/>
  </dataFields>
  <formats count="1">
    <format dxfId="1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4C89F-A83B-4AB8-A99F-2E829DD2998E}" name="TablaDinámica1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10:O11" firstHeaderRow="1" firstDataRow="1" firstDataCol="0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</pivotFields>
  <rowItems count="1">
    <i/>
  </rowItems>
  <colItems count="1">
    <i/>
  </colItems>
  <dataFields count="1">
    <dataField name="Suma de Ganancia_pct" fld="14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A1C8C-E764-45B7-96FA-084A359B5AEE}" name="TablaDinámica1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8:L19" firstHeaderRow="1" firstDataRow="1" firstDataCol="0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numFmtId="9" showAll="0"/>
    <pivotField dataField="1"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Gananci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7A786-FB4F-431C-A985-C3C69E1BF38A}" name="TablaDinámica1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4:L15" firstHeaderRow="1" firstDataRow="1" firstDataCol="0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showAll="0"/>
    <pivotField showAll="0"/>
    <pivotField numFmtId="8" showAll="0"/>
    <pivotField dataField="1"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Cost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DE960-DE57-4413-8833-4BFA15DAF081}" name="TablaDinámica10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0:L11" firstHeaderRow="1" firstDataRow="1" firstDataCol="0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showAll="0"/>
    <pivotField showAll="0"/>
    <pivotField dataField="1"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Precio" fld="7" baseField="0" baseItem="0" numFmtId="8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127A1-9E8C-4642-B620-678E3DC45C6B}" name="TablaDinámica15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73:L74" firstHeaderRow="1" firstDataRow="1" firstDataCol="0" rowPageCount="1" colPageCount="1"/>
  <pivotFields count="4">
    <pivotField numFmtId="15" showAll="0"/>
    <pivotField showAll="0"/>
    <pivotField dataField="1" numFmtId="8" showAll="0"/>
    <pivotField axis="axisPage" showAll="0">
      <items count="6">
        <item x="2"/>
        <item x="1"/>
        <item x="0"/>
        <item x="3"/>
        <item x="4"/>
        <item t="default"/>
      </items>
    </pivotField>
  </pivotFields>
  <rowItems count="1">
    <i/>
  </rowItems>
  <colItems count="1">
    <i/>
  </colItems>
  <pageFields count="1">
    <pageField fld="3" hier="-1"/>
  </pageFields>
  <dataFields count="1">
    <dataField name="Suma de Vent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337C2-5513-4B3A-9CC3-BE634CF3F7CE}" name="TablaDinámica1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G74:H80" firstHeaderRow="1" firstDataRow="1" firstDataCol="1"/>
  <pivotFields count="4">
    <pivotField numFmtId="15" showAll="0"/>
    <pivotField showAll="0"/>
    <pivotField dataField="1" numFmtId="8"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" fld="2" baseField="0" baseItem="0" numFmtId="8"/>
  </dataFields>
  <formats count="1">
    <format dxfId="6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5F4A3-712F-44A6-8673-3DB8E388B994}" name="TablaDinámica18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10:T18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axis="axisRow" showAll="0">
      <items count="8">
        <item x="1"/>
        <item x="6"/>
        <item x="2"/>
        <item x="4"/>
        <item x="0"/>
        <item x="5"/>
        <item x="3"/>
        <item t="default"/>
      </items>
    </pivotField>
    <pivotField showAll="0"/>
    <pivotField showAll="0"/>
    <pivotField dataField="1"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Precio" fld="7" subtotal="average" baseField="4" baseItem="0" numFmtId="8"/>
  </dataFields>
  <formats count="1">
    <format dxfId="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B9DE6-CFAD-4359-A469-C6A4FE190C0B}" name="TablaDinámica17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10:P26" firstHeaderRow="1" firstDataRow="1" firstDataCol="2"/>
  <pivotFields count="15">
    <pivotField compact="0" outline="0" showAll="0"/>
    <pivotField compact="0" numFmtId="15" outline="0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76">
        <item x="18"/>
        <item x="30"/>
        <item x="29"/>
        <item x="65"/>
        <item x="55"/>
        <item x="44"/>
        <item x="35"/>
        <item x="48"/>
        <item x="32"/>
        <item x="43"/>
        <item x="8"/>
        <item x="47"/>
        <item x="2"/>
        <item x="62"/>
        <item x="67"/>
        <item x="40"/>
        <item x="13"/>
        <item x="60"/>
        <item x="56"/>
        <item x="5"/>
        <item x="1"/>
        <item x="25"/>
        <item x="14"/>
        <item x="45"/>
        <item x="68"/>
        <item x="27"/>
        <item x="9"/>
        <item x="53"/>
        <item x="69"/>
        <item x="16"/>
        <item x="23"/>
        <item x="37"/>
        <item x="72"/>
        <item x="21"/>
        <item x="57"/>
        <item x="36"/>
        <item x="31"/>
        <item x="54"/>
        <item x="34"/>
        <item x="6"/>
        <item x="58"/>
        <item x="17"/>
        <item x="41"/>
        <item x="59"/>
        <item x="19"/>
        <item x="42"/>
        <item x="0"/>
        <item x="20"/>
        <item x="24"/>
        <item x="74"/>
        <item x="51"/>
        <item x="50"/>
        <item x="10"/>
        <item x="22"/>
        <item x="33"/>
        <item x="52"/>
        <item x="71"/>
        <item x="15"/>
        <item x="66"/>
        <item x="28"/>
        <item x="38"/>
        <item x="64"/>
        <item x="46"/>
        <item x="49"/>
        <item x="12"/>
        <item x="7"/>
        <item x="4"/>
        <item x="39"/>
        <item x="70"/>
        <item x="63"/>
        <item x="26"/>
        <item x="61"/>
        <item x="11"/>
        <item x="73"/>
        <item x="3"/>
        <item t="default"/>
      </items>
    </pivotField>
    <pivotField compact="0" outline="0" showAll="0"/>
    <pivotField compact="0" numFmtId="8" outline="0" showAll="0"/>
    <pivotField compact="0" numFmtId="8" outline="0" showAll="0"/>
    <pivotField compact="0" numFmtId="9" outline="0" showAll="0"/>
    <pivotField compact="0" numFmtId="8" outline="0" showAl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  <pivotField compact="0" outline="0" dragToRow="0" dragToCol="0" dragToPage="0" showAll="0" defaultSubtotal="0"/>
  </pivotFields>
  <rowFields count="2">
    <field x="13"/>
    <field x="11"/>
  </rowFields>
  <rowItems count="16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t="grand">
      <x/>
    </i>
  </rowItems>
  <colItems count="1">
    <i/>
  </colItems>
  <dataFields count="1">
    <dataField name="Cuenta de Producto" fld="5" subtotal="count" baseField="13" baseItem="1"/>
  </dataFields>
  <conditionalFormats count="1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1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3" count="2" selected="0"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61030-AC05-4026-A992-2E807DB6ADB4}" name="TablaDinámica16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0:K86" firstHeaderRow="1" firstDataRow="1" firstDataCol="1"/>
  <pivotFields count="15">
    <pivotField showAll="0"/>
    <pivotField numFmtId="15" showAll="0">
      <items count="173">
        <item x="128"/>
        <item x="112"/>
        <item x="80"/>
        <item x="38"/>
        <item x="134"/>
        <item x="125"/>
        <item x="3"/>
        <item x="132"/>
        <item x="49"/>
        <item x="103"/>
        <item x="129"/>
        <item x="141"/>
        <item x="148"/>
        <item x="37"/>
        <item x="32"/>
        <item x="5"/>
        <item x="94"/>
        <item x="84"/>
        <item x="126"/>
        <item x="170"/>
        <item x="116"/>
        <item x="46"/>
        <item x="92"/>
        <item x="149"/>
        <item x="100"/>
        <item x="7"/>
        <item x="41"/>
        <item x="29"/>
        <item x="12"/>
        <item x="15"/>
        <item x="51"/>
        <item x="66"/>
        <item x="26"/>
        <item x="35"/>
        <item x="90"/>
        <item x="167"/>
        <item x="47"/>
        <item x="54"/>
        <item x="42"/>
        <item x="76"/>
        <item x="63"/>
        <item x="20"/>
        <item x="159"/>
        <item x="118"/>
        <item x="45"/>
        <item x="156"/>
        <item x="22"/>
        <item x="86"/>
        <item x="137"/>
        <item x="83"/>
        <item x="4"/>
        <item x="93"/>
        <item x="102"/>
        <item x="8"/>
        <item x="87"/>
        <item x="36"/>
        <item x="16"/>
        <item x="98"/>
        <item x="50"/>
        <item x="89"/>
        <item x="168"/>
        <item x="18"/>
        <item x="140"/>
        <item x="81"/>
        <item x="44"/>
        <item x="163"/>
        <item x="33"/>
        <item x="25"/>
        <item x="28"/>
        <item x="34"/>
        <item x="0"/>
        <item x="57"/>
        <item x="136"/>
        <item x="13"/>
        <item x="135"/>
        <item x="164"/>
        <item x="165"/>
        <item x="9"/>
        <item x="39"/>
        <item x="153"/>
        <item x="133"/>
        <item x="59"/>
        <item x="123"/>
        <item x="113"/>
        <item x="64"/>
        <item x="106"/>
        <item x="105"/>
        <item x="2"/>
        <item x="62"/>
        <item x="43"/>
        <item x="72"/>
        <item x="147"/>
        <item x="150"/>
        <item x="151"/>
        <item x="24"/>
        <item x="143"/>
        <item x="14"/>
        <item x="91"/>
        <item x="171"/>
        <item x="160"/>
        <item x="119"/>
        <item x="107"/>
        <item x="10"/>
        <item x="79"/>
        <item x="144"/>
        <item x="82"/>
        <item x="40"/>
        <item x="11"/>
        <item x="145"/>
        <item x="77"/>
        <item x="157"/>
        <item x="21"/>
        <item x="120"/>
        <item x="111"/>
        <item x="1"/>
        <item x="131"/>
        <item x="58"/>
        <item x="121"/>
        <item x="114"/>
        <item x="109"/>
        <item x="154"/>
        <item x="53"/>
        <item x="117"/>
        <item x="70"/>
        <item x="96"/>
        <item x="99"/>
        <item x="122"/>
        <item x="142"/>
        <item x="69"/>
        <item x="130"/>
        <item x="138"/>
        <item x="55"/>
        <item x="75"/>
        <item x="95"/>
        <item x="67"/>
        <item x="104"/>
        <item x="48"/>
        <item x="166"/>
        <item x="61"/>
        <item x="169"/>
        <item x="139"/>
        <item x="31"/>
        <item x="73"/>
        <item x="88"/>
        <item x="68"/>
        <item x="108"/>
        <item x="101"/>
        <item x="146"/>
        <item x="60"/>
        <item x="56"/>
        <item x="30"/>
        <item x="19"/>
        <item x="78"/>
        <item x="97"/>
        <item x="162"/>
        <item x="155"/>
        <item x="27"/>
        <item x="127"/>
        <item x="115"/>
        <item x="85"/>
        <item x="71"/>
        <item x="65"/>
        <item x="110"/>
        <item x="152"/>
        <item x="17"/>
        <item x="74"/>
        <item x="124"/>
        <item x="158"/>
        <item x="23"/>
        <item x="52"/>
        <item x="161"/>
        <item x="6"/>
        <item t="default"/>
      </items>
    </pivotField>
    <pivotField showAll="0"/>
    <pivotField showAll="0"/>
    <pivotField showAll="0"/>
    <pivotField axis="axisRow" showAll="0">
      <items count="76">
        <item x="18"/>
        <item x="30"/>
        <item x="29"/>
        <item x="65"/>
        <item x="55"/>
        <item x="44"/>
        <item x="35"/>
        <item x="48"/>
        <item x="32"/>
        <item x="43"/>
        <item x="8"/>
        <item x="47"/>
        <item x="2"/>
        <item x="62"/>
        <item x="67"/>
        <item x="40"/>
        <item x="13"/>
        <item x="60"/>
        <item x="56"/>
        <item x="5"/>
        <item x="1"/>
        <item x="25"/>
        <item x="14"/>
        <item x="45"/>
        <item x="68"/>
        <item x="27"/>
        <item x="9"/>
        <item x="53"/>
        <item x="69"/>
        <item x="16"/>
        <item x="23"/>
        <item x="37"/>
        <item x="72"/>
        <item x="21"/>
        <item x="57"/>
        <item x="36"/>
        <item x="31"/>
        <item x="54"/>
        <item x="34"/>
        <item x="6"/>
        <item x="58"/>
        <item x="17"/>
        <item x="41"/>
        <item x="59"/>
        <item x="19"/>
        <item x="42"/>
        <item x="0"/>
        <item x="20"/>
        <item x="24"/>
        <item x="74"/>
        <item x="51"/>
        <item x="50"/>
        <item x="10"/>
        <item x="22"/>
        <item x="33"/>
        <item x="52"/>
        <item x="71"/>
        <item x="15"/>
        <item x="66"/>
        <item x="28"/>
        <item x="38"/>
        <item x="64"/>
        <item x="46"/>
        <item x="49"/>
        <item x="12"/>
        <item x="7"/>
        <item x="4"/>
        <item x="39"/>
        <item x="70"/>
        <item x="63"/>
        <item x="26"/>
        <item x="61"/>
        <item x="11"/>
        <item x="73"/>
        <item x="3"/>
        <item t="default"/>
      </items>
    </pivotField>
    <pivotField showAll="0"/>
    <pivotField dataField="1" numFmtId="8" showAll="0"/>
    <pivotField numFmtId="8" showAll="0"/>
    <pivotField numFmtId="9" showAll="0"/>
    <pivotField numFmtId="8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5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Suma de Precio" fld="7" baseField="0" baseItem="0" numFmtId="8"/>
  </dataFields>
  <formats count="1">
    <format dxfId="5">
      <pivotArea outline="0" collapsedLevelsAreSubtotals="1" fieldPosition="0"/>
    </format>
  </format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lor" xr10:uid="{7730C77C-8999-40AA-BFE3-5832C727A236}" sourceName="Color">
  <pivotTables>
    <pivotTable tabId="10" name="TablaDinámica1"/>
    <pivotTable tabId="9" name="TablaDinámica6"/>
    <pivotTable tabId="9" name="TablaDinámica7"/>
    <pivotTable tabId="9" name="TablaDinámica9"/>
  </pivotTables>
  <data>
    <tabular pivotCacheId="1211606019">
      <items count="7">
        <i x="2" s="1"/>
        <i x="3" s="1"/>
        <i x="1" s="1"/>
        <i x="6" s="1"/>
        <i x="0" s="1"/>
        <i x="4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" xr10:uid="{440AF612-F1A1-4A83-8156-2F2CF9B4E998}" sourceName="Años (Fecha)">
  <pivotTables>
    <pivotTable tabId="7" name="TablaDinámica10"/>
    <pivotTable tabId="7" name="TablaDinámica11"/>
    <pivotTable tabId="7" name="TablaDinámica12"/>
    <pivotTable tabId="7" name="TablaDinámica13"/>
  </pivotTables>
  <data>
    <tabular pivotCacheId="1211606019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or" xr10:uid="{8E588E9B-25D4-456F-94C0-87E4D379C9AE}" cache="SegmentaciónDeDatos_Color" caption="Color" columnCount="2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)" xr10:uid="{22301914-A3A3-47F0-B8CB-62966762D12D}" cache="SegmentaciónDeDatos_Años__Fecha" caption="Años (Fech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EA00C-4855-465A-B35D-834EBD26AA16}" name="Ventas" displayName="Ventas" ref="A10:M510" totalsRowShown="0" dataDxfId="21">
  <autoFilter ref="A10:M510" xr:uid="{7CDEA00C-4855-465A-B35D-834EBD26AA16}"/>
  <tableColumns count="13">
    <tableColumn id="1" xr3:uid="{19F538C5-900D-481B-944D-CC4232AEB65B}" name="Clave de Venta" dataDxfId="31"/>
    <tableColumn id="2" xr3:uid="{C1C72018-8D50-4642-9CBB-F759DF369E0C}" name="Fecha" dataDxfId="30"/>
    <tableColumn id="3" xr3:uid="{EC41B255-78F7-4B1B-8181-A1A2E60F2558}" name="Clave Producto" dataDxfId="29"/>
    <tableColumn id="4" xr3:uid="{92791A7E-FEAA-4948-A105-5FD978579DF6}" name="Tipo" dataDxfId="28"/>
    <tableColumn id="5" xr3:uid="{586526F1-1005-46F8-9657-69D19D14B50A}" name="Categoría" dataDxfId="27"/>
    <tableColumn id="6" xr3:uid="{C367A016-9751-4421-9E01-EAAFD18DE507}" name="Producto" dataDxfId="26"/>
    <tableColumn id="7" xr3:uid="{426E0587-8544-4E71-9ADD-1522BBFF5599}" name="Color" dataDxfId="25"/>
    <tableColumn id="8" xr3:uid="{26B94ACA-B9D4-4BCB-9B3E-340B6ADEC14B}" name="Precio" dataDxfId="24"/>
    <tableColumn id="9" xr3:uid="{5C808196-29FC-451C-BCAB-981D1921559A}" name="Costo" dataDxfId="23"/>
    <tableColumn id="10" xr3:uid="{F788B7B6-8A53-4583-B90D-6E5FB1FF82DD}" name="Descuento" dataDxfId="22"/>
    <tableColumn id="11" xr3:uid="{7DB50851-8D9C-4C11-88C0-6EF09A2B8A3A}" name="IVA" dataDxfId="20">
      <calculatedColumnFormula>Ventas[[#This Row],[Precio]]*$J$4</calculatedColumnFormula>
    </tableColumn>
    <tableColumn id="12" xr3:uid="{2BEC5BC3-85B9-4AD6-BB51-2391938CB761}" name="Ganancia" dataDxfId="18">
      <calculatedColumnFormula>Ventas[[#This Row],[Precio]]-Ventas[[#This Row],[Costo]]-Ventas[[#This Row],[Desc $]]</calculatedColumnFormula>
    </tableColumn>
    <tableColumn id="13" xr3:uid="{69C0793B-75DB-489B-8123-94E8CA755BD6}" name="Desc $" dataDxfId="19">
      <calculatedColumnFormula>Ventas[[#This Row],[Precio]]*Ventas[[#This Row],[Descuento]]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07CCA-21A5-43BD-93BB-683C14B86BF5}" name="Datos" displayName="Datos" ref="A10:K510" totalsRowShown="0" headerRowDxfId="37">
  <autoFilter ref="A10:K510" xr:uid="{C8846A9B-B8B3-4C05-8BFF-A3EB27F856F1}"/>
  <tableColumns count="11">
    <tableColumn id="1" xr3:uid="{5D79293E-1343-454E-A583-2FFFB85BF696}" name="Clave de Venta"/>
    <tableColumn id="2" xr3:uid="{44871D8F-3C77-4ED1-9258-008D3D2F7265}" name="Fecha" dataDxfId="36"/>
    <tableColumn id="3" xr3:uid="{627D6087-5A9B-4DE7-BBA9-DE13375143E3}" name="Clave Producto"/>
    <tableColumn id="4" xr3:uid="{3E4413B3-BB3B-4705-B00E-EE201A2C159B}" name="Tipo"/>
    <tableColumn id="5" xr3:uid="{B5D03373-582E-459F-810F-7254B1461557}" name="Categoría"/>
    <tableColumn id="6" xr3:uid="{460B6D7A-9195-4F46-A933-46BF38E5D03E}" name="Producto"/>
    <tableColumn id="7" xr3:uid="{1750E131-DEB4-4F13-8507-E08455DB061C}" name="Color"/>
    <tableColumn id="8" xr3:uid="{90A3AC8B-317C-410D-B88D-C8D3BDC71FBD}" name="Precio" dataDxfId="35"/>
    <tableColumn id="9" xr3:uid="{90ABEE8C-0CB5-4451-95EE-C2418712FAE2}" name="Costo" dataDxfId="34"/>
    <tableColumn id="10" xr3:uid="{D9474CB7-F232-4728-B750-F981CEBBF047}" name="Descuento" dataDxfId="33"/>
    <tableColumn id="11" xr3:uid="{4E3C2094-E43D-4899-BF19-AE675049CC20}" name="Ganancia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369519-5B32-44FD-84DC-044DF1C11027}" name="Ventanas" displayName="Ventanas" ref="A14:D1139" totalsRowShown="0">
  <autoFilter ref="A14:D1139" xr:uid="{16369519-5B32-44FD-84DC-044DF1C11027}"/>
  <tableColumns count="4">
    <tableColumn id="1" xr3:uid="{ADC764B1-2CEC-4A16-8E6A-B0BF6B1136BC}" name="Fecha" dataDxfId="8"/>
    <tableColumn id="2" xr3:uid="{74D608EB-44B3-45F6-9FDE-A42D3376129F}" name="SKU"/>
    <tableColumn id="3" xr3:uid="{84E4E6C5-A7FB-4FC1-BAAA-5DB4043D8A07}" name="Venta" dataDxfId="7">
      <calculatedColumnFormula>VLOOKUP(B15,$J$14:$K$64,2,0)</calculatedColumnFormula>
    </tableColumn>
    <tableColumn id="4" xr3:uid="{A8BEAA00-AC80-4AC4-AB80-2F2B9E72A385}" name="Categoria">
      <calculatedColumnFormula>VLOOKUP(B15,$J$14:$L$64,3,0)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microsoft.com/office/2007/relationships/slicer" Target="../slicers/slicer2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1E7-0F2B-4790-BE82-6A4EA2EF7E45}">
  <dimension ref="A1"/>
  <sheetViews>
    <sheetView workbookViewId="0">
      <selection activeCell="L2" sqref="L2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7A17-4A96-4267-A820-B9C86D5A93FD}">
  <dimension ref="A2:U511"/>
  <sheetViews>
    <sheetView showGridLines="0" topLeftCell="F1" workbookViewId="0">
      <selection activeCell="J11" sqref="J11:J511"/>
    </sheetView>
  </sheetViews>
  <sheetFormatPr baseColWidth="10" defaultColWidth="9.140625" defaultRowHeight="15" x14ac:dyDescent="0.25"/>
  <cols>
    <col min="1" max="1" width="14.42578125" bestFit="1" customWidth="1"/>
    <col min="2" max="2" width="10.140625" bestFit="1" customWidth="1"/>
    <col min="3" max="3" width="14.42578125" bestFit="1" customWidth="1"/>
    <col min="4" max="4" width="15.28515625" bestFit="1" customWidth="1"/>
    <col min="5" max="5" width="18.7109375" bestFit="1" customWidth="1"/>
    <col min="6" max="6" width="41.42578125" bestFit="1" customWidth="1"/>
    <col min="7" max="7" width="9.42578125" bestFit="1" customWidth="1"/>
    <col min="8" max="9" width="10.140625" bestFit="1" customWidth="1"/>
    <col min="10" max="10" width="10.42578125" bestFit="1" customWidth="1"/>
    <col min="21" max="21" width="18.5703125" bestFit="1" customWidth="1"/>
  </cols>
  <sheetData>
    <row r="2" spans="1:21" x14ac:dyDescent="0.25">
      <c r="U2" t="s">
        <v>4</v>
      </c>
    </row>
    <row r="3" spans="1:21" x14ac:dyDescent="0.25">
      <c r="U3" t="s">
        <v>13</v>
      </c>
    </row>
    <row r="4" spans="1:21" x14ac:dyDescent="0.25">
      <c r="U4" t="s">
        <v>18</v>
      </c>
    </row>
    <row r="5" spans="1:21" x14ac:dyDescent="0.25">
      <c r="U5" t="s">
        <v>23</v>
      </c>
    </row>
    <row r="6" spans="1:21" x14ac:dyDescent="0.25">
      <c r="U6" t="s">
        <v>27</v>
      </c>
    </row>
    <row r="7" spans="1:21" x14ac:dyDescent="0.25">
      <c r="U7" t="s">
        <v>35</v>
      </c>
    </row>
    <row r="8" spans="1:21" x14ac:dyDescent="0.25">
      <c r="U8" t="s">
        <v>45</v>
      </c>
    </row>
    <row r="9" spans="1:21" x14ac:dyDescent="0.25">
      <c r="U9" t="s">
        <v>86</v>
      </c>
    </row>
    <row r="11" spans="1:21" x14ac:dyDescent="0.25">
      <c r="A11" s="16" t="s">
        <v>0</v>
      </c>
      <c r="B11" s="22" t="s">
        <v>1</v>
      </c>
      <c r="C11" s="16" t="s">
        <v>2</v>
      </c>
      <c r="D11" t="s">
        <v>3</v>
      </c>
      <c r="E11" t="s">
        <v>4</v>
      </c>
      <c r="F11" t="s">
        <v>5</v>
      </c>
      <c r="G11" t="s">
        <v>6</v>
      </c>
      <c r="H11" s="5" t="s">
        <v>7</v>
      </c>
      <c r="I11" s="5" t="s">
        <v>8</v>
      </c>
      <c r="J11" s="2" t="s">
        <v>9</v>
      </c>
    </row>
    <row r="12" spans="1:21" x14ac:dyDescent="0.25">
      <c r="A12" s="16">
        <v>1</v>
      </c>
      <c r="B12" s="22">
        <v>42546</v>
      </c>
      <c r="C12" s="16" t="s">
        <v>11</v>
      </c>
      <c r="D12" t="s">
        <v>12</v>
      </c>
      <c r="E12" t="s">
        <v>13</v>
      </c>
      <c r="F12" t="s">
        <v>14</v>
      </c>
      <c r="G12" t="s">
        <v>15</v>
      </c>
      <c r="H12" s="5">
        <v>1299</v>
      </c>
      <c r="I12" s="5">
        <v>727.44</v>
      </c>
      <c r="J12" s="2">
        <v>0.2</v>
      </c>
    </row>
    <row r="13" spans="1:21" x14ac:dyDescent="0.25">
      <c r="A13" s="16">
        <v>2</v>
      </c>
      <c r="B13" s="22">
        <v>42675</v>
      </c>
      <c r="C13" s="16" t="s">
        <v>16</v>
      </c>
      <c r="D13" t="s">
        <v>17</v>
      </c>
      <c r="E13" t="s">
        <v>18</v>
      </c>
      <c r="F13" t="s">
        <v>19</v>
      </c>
      <c r="G13" t="s">
        <v>20</v>
      </c>
      <c r="H13" s="5">
        <v>1149</v>
      </c>
      <c r="I13" s="5">
        <v>792.81</v>
      </c>
      <c r="J13" s="2">
        <v>0</v>
      </c>
    </row>
    <row r="14" spans="1:21" x14ac:dyDescent="0.25">
      <c r="A14" s="16">
        <v>3</v>
      </c>
      <c r="B14" s="22">
        <v>42601</v>
      </c>
      <c r="C14" s="16" t="s">
        <v>21</v>
      </c>
      <c r="D14" t="s">
        <v>22</v>
      </c>
      <c r="E14" t="s">
        <v>23</v>
      </c>
      <c r="F14" t="s">
        <v>24</v>
      </c>
      <c r="G14" t="s">
        <v>15</v>
      </c>
      <c r="H14" s="5">
        <v>359</v>
      </c>
      <c r="I14" s="5">
        <v>244.12</v>
      </c>
      <c r="J14" s="2">
        <v>0.15</v>
      </c>
    </row>
    <row r="15" spans="1:21" x14ac:dyDescent="0.25">
      <c r="A15" s="16">
        <v>4</v>
      </c>
      <c r="B15" s="22">
        <v>42388</v>
      </c>
      <c r="C15" s="16" t="s">
        <v>25</v>
      </c>
      <c r="D15" t="s">
        <v>26</v>
      </c>
      <c r="E15" t="s">
        <v>27</v>
      </c>
      <c r="F15" t="s">
        <v>28</v>
      </c>
      <c r="G15" t="s">
        <v>15</v>
      </c>
      <c r="H15" s="5">
        <v>1499</v>
      </c>
      <c r="I15" s="5">
        <v>794.47</v>
      </c>
      <c r="J15" s="2">
        <v>0.15</v>
      </c>
    </row>
    <row r="16" spans="1:21" x14ac:dyDescent="0.25">
      <c r="A16" s="16">
        <v>5</v>
      </c>
      <c r="B16" s="22">
        <v>42506</v>
      </c>
      <c r="C16" s="16" t="s">
        <v>16</v>
      </c>
      <c r="D16" t="s">
        <v>22</v>
      </c>
      <c r="E16" t="s">
        <v>18</v>
      </c>
      <c r="F16" t="s">
        <v>19</v>
      </c>
      <c r="G16" t="s">
        <v>20</v>
      </c>
      <c r="H16" s="5">
        <v>1149</v>
      </c>
      <c r="I16" s="5">
        <v>792.81</v>
      </c>
      <c r="J16" s="2">
        <v>0.3</v>
      </c>
    </row>
    <row r="17" spans="1:10" x14ac:dyDescent="0.25">
      <c r="A17" s="16">
        <v>6</v>
      </c>
      <c r="B17" s="22">
        <v>42404</v>
      </c>
      <c r="C17" s="16" t="s">
        <v>29</v>
      </c>
      <c r="D17" t="s">
        <v>26</v>
      </c>
      <c r="E17" t="s">
        <v>27</v>
      </c>
      <c r="F17" t="s">
        <v>30</v>
      </c>
      <c r="G17" t="s">
        <v>15</v>
      </c>
      <c r="H17" s="5">
        <v>259</v>
      </c>
      <c r="I17" s="5">
        <v>220.15</v>
      </c>
      <c r="J17" s="2">
        <v>0.15</v>
      </c>
    </row>
    <row r="18" spans="1:10" x14ac:dyDescent="0.25">
      <c r="A18" s="16">
        <v>7</v>
      </c>
      <c r="B18" s="22">
        <v>42460</v>
      </c>
      <c r="C18" s="16" t="s">
        <v>31</v>
      </c>
      <c r="D18" t="s">
        <v>22</v>
      </c>
      <c r="E18" t="s">
        <v>18</v>
      </c>
      <c r="F18" t="s">
        <v>32</v>
      </c>
      <c r="G18" t="s">
        <v>33</v>
      </c>
      <c r="H18" s="5">
        <v>1199</v>
      </c>
      <c r="I18" s="5">
        <v>887.26</v>
      </c>
      <c r="J18" s="2">
        <v>0</v>
      </c>
    </row>
    <row r="19" spans="1:10" x14ac:dyDescent="0.25">
      <c r="A19" s="16">
        <v>8</v>
      </c>
      <c r="B19" s="22">
        <v>42424</v>
      </c>
      <c r="C19" s="16" t="s">
        <v>16</v>
      </c>
      <c r="D19" t="s">
        <v>22</v>
      </c>
      <c r="E19" t="s">
        <v>18</v>
      </c>
      <c r="F19" t="s">
        <v>19</v>
      </c>
      <c r="G19" t="s">
        <v>20</v>
      </c>
      <c r="H19" s="5">
        <v>1149</v>
      </c>
      <c r="I19" s="5">
        <v>792.81</v>
      </c>
      <c r="J19" s="2">
        <v>0.15</v>
      </c>
    </row>
    <row r="20" spans="1:10" x14ac:dyDescent="0.25">
      <c r="A20" s="16">
        <v>9</v>
      </c>
      <c r="B20" s="22">
        <v>42512</v>
      </c>
      <c r="C20" s="16" t="s">
        <v>34</v>
      </c>
      <c r="D20" t="s">
        <v>12</v>
      </c>
      <c r="E20" t="s">
        <v>35</v>
      </c>
      <c r="F20" t="s">
        <v>36</v>
      </c>
      <c r="G20" t="s">
        <v>15</v>
      </c>
      <c r="H20" s="5">
        <v>7999</v>
      </c>
      <c r="I20" s="5">
        <v>3199.6000000000004</v>
      </c>
      <c r="J20" s="2">
        <v>0.15</v>
      </c>
    </row>
    <row r="21" spans="1:10" x14ac:dyDescent="0.25">
      <c r="A21" s="16">
        <v>10</v>
      </c>
      <c r="B21" s="22">
        <v>42573</v>
      </c>
      <c r="C21" s="16" t="s">
        <v>37</v>
      </c>
      <c r="D21" t="s">
        <v>26</v>
      </c>
      <c r="E21" t="s">
        <v>27</v>
      </c>
      <c r="F21" t="s">
        <v>38</v>
      </c>
      <c r="G21" t="s">
        <v>15</v>
      </c>
      <c r="H21" s="5">
        <v>229</v>
      </c>
      <c r="I21" s="5">
        <v>153.43</v>
      </c>
      <c r="J21" s="2">
        <v>0.15</v>
      </c>
    </row>
    <row r="22" spans="1:10" x14ac:dyDescent="0.25">
      <c r="A22" s="16">
        <v>11</v>
      </c>
      <c r="B22" s="22">
        <v>42512</v>
      </c>
      <c r="C22" s="16" t="s">
        <v>39</v>
      </c>
      <c r="D22" t="s">
        <v>22</v>
      </c>
      <c r="E22" t="s">
        <v>23</v>
      </c>
      <c r="F22" t="s">
        <v>40</v>
      </c>
      <c r="G22" t="s">
        <v>15</v>
      </c>
      <c r="H22" s="5">
        <v>2499</v>
      </c>
      <c r="I22" s="5">
        <v>1349.46</v>
      </c>
      <c r="J22" s="2">
        <v>0.15</v>
      </c>
    </row>
    <row r="23" spans="1:10" x14ac:dyDescent="0.25">
      <c r="A23" s="16">
        <v>12</v>
      </c>
      <c r="B23" s="22">
        <v>42643</v>
      </c>
      <c r="C23" s="16" t="s">
        <v>41</v>
      </c>
      <c r="D23" t="s">
        <v>22</v>
      </c>
      <c r="E23" t="s">
        <v>18</v>
      </c>
      <c r="F23" t="s">
        <v>42</v>
      </c>
      <c r="G23" t="s">
        <v>43</v>
      </c>
      <c r="H23" s="5">
        <v>1149</v>
      </c>
      <c r="I23" s="5">
        <v>896.22</v>
      </c>
      <c r="J23" s="2">
        <v>0.2</v>
      </c>
    </row>
    <row r="24" spans="1:10" x14ac:dyDescent="0.25">
      <c r="A24" s="16">
        <v>13</v>
      </c>
      <c r="B24" s="22">
        <v>42661</v>
      </c>
      <c r="C24" s="16" t="s">
        <v>25</v>
      </c>
      <c r="D24" t="s">
        <v>26</v>
      </c>
      <c r="E24" t="s">
        <v>27</v>
      </c>
      <c r="F24" t="s">
        <v>28</v>
      </c>
      <c r="G24" t="s">
        <v>15</v>
      </c>
      <c r="H24" s="5">
        <v>1499</v>
      </c>
      <c r="I24" s="5">
        <v>794.47</v>
      </c>
      <c r="J24" s="2">
        <v>0</v>
      </c>
    </row>
    <row r="25" spans="1:10" x14ac:dyDescent="0.25">
      <c r="A25" s="16">
        <v>14</v>
      </c>
      <c r="B25" s="22">
        <v>42573</v>
      </c>
      <c r="C25" s="16" t="s">
        <v>31</v>
      </c>
      <c r="D25" t="s">
        <v>17</v>
      </c>
      <c r="E25" t="s">
        <v>18</v>
      </c>
      <c r="F25" t="s">
        <v>32</v>
      </c>
      <c r="G25" t="s">
        <v>33</v>
      </c>
      <c r="H25" s="5">
        <v>1199</v>
      </c>
      <c r="I25" s="5">
        <v>887.26</v>
      </c>
      <c r="J25" s="2">
        <v>0.15</v>
      </c>
    </row>
    <row r="26" spans="1:10" x14ac:dyDescent="0.25">
      <c r="A26" s="16">
        <v>15</v>
      </c>
      <c r="B26" s="22">
        <v>42388</v>
      </c>
      <c r="C26" s="16" t="s">
        <v>16</v>
      </c>
      <c r="D26" t="s">
        <v>22</v>
      </c>
      <c r="E26" t="s">
        <v>18</v>
      </c>
      <c r="F26" t="s">
        <v>19</v>
      </c>
      <c r="G26" t="s">
        <v>20</v>
      </c>
      <c r="H26" s="5">
        <v>1149</v>
      </c>
      <c r="I26" s="5">
        <v>792.81</v>
      </c>
      <c r="J26" s="2">
        <v>0.15</v>
      </c>
    </row>
    <row r="27" spans="1:10" x14ac:dyDescent="0.25">
      <c r="A27" s="16">
        <v>16</v>
      </c>
      <c r="B27" s="22">
        <v>42434</v>
      </c>
      <c r="C27" s="16" t="s">
        <v>31</v>
      </c>
      <c r="D27" t="s">
        <v>22</v>
      </c>
      <c r="E27" t="s">
        <v>18</v>
      </c>
      <c r="F27" t="s">
        <v>32</v>
      </c>
      <c r="G27" t="s">
        <v>33</v>
      </c>
      <c r="H27" s="5">
        <v>1199</v>
      </c>
      <c r="I27" s="5">
        <v>887.26</v>
      </c>
      <c r="J27" s="2">
        <v>0</v>
      </c>
    </row>
    <row r="28" spans="1:10" x14ac:dyDescent="0.25">
      <c r="A28" s="16">
        <v>17</v>
      </c>
      <c r="B28" s="22">
        <v>42560</v>
      </c>
      <c r="C28" s="16" t="s">
        <v>34</v>
      </c>
      <c r="D28" t="s">
        <v>12</v>
      </c>
      <c r="E28" t="s">
        <v>35</v>
      </c>
      <c r="F28" t="s">
        <v>36</v>
      </c>
      <c r="G28" t="s">
        <v>15</v>
      </c>
      <c r="H28" s="5">
        <v>7999</v>
      </c>
      <c r="I28" s="5">
        <v>3199.6000000000004</v>
      </c>
      <c r="J28" s="2">
        <v>0</v>
      </c>
    </row>
    <row r="29" spans="1:10" x14ac:dyDescent="0.25">
      <c r="A29" s="16">
        <v>18</v>
      </c>
      <c r="B29" s="22">
        <v>42631</v>
      </c>
      <c r="C29" s="16" t="s">
        <v>29</v>
      </c>
      <c r="D29" t="s">
        <v>26</v>
      </c>
      <c r="E29" t="s">
        <v>27</v>
      </c>
      <c r="F29" t="s">
        <v>30</v>
      </c>
      <c r="G29" t="s">
        <v>15</v>
      </c>
      <c r="H29" s="5">
        <v>259</v>
      </c>
      <c r="I29" s="5">
        <v>220.15</v>
      </c>
      <c r="J29" s="2">
        <v>0.1</v>
      </c>
    </row>
    <row r="30" spans="1:10" x14ac:dyDescent="0.25">
      <c r="A30" s="16">
        <v>19</v>
      </c>
      <c r="B30" s="22">
        <v>42438</v>
      </c>
      <c r="C30" s="16" t="s">
        <v>44</v>
      </c>
      <c r="D30" t="s">
        <v>26</v>
      </c>
      <c r="E30" t="s">
        <v>45</v>
      </c>
      <c r="F30" t="s">
        <v>46</v>
      </c>
      <c r="G30" t="s">
        <v>15</v>
      </c>
      <c r="H30" s="5">
        <v>699</v>
      </c>
      <c r="I30" s="5">
        <v>531.24</v>
      </c>
      <c r="J30" s="2">
        <v>0.15</v>
      </c>
    </row>
    <row r="31" spans="1:10" x14ac:dyDescent="0.25">
      <c r="A31" s="16">
        <v>20</v>
      </c>
      <c r="B31" s="22">
        <v>42520</v>
      </c>
      <c r="C31" s="16" t="s">
        <v>47</v>
      </c>
      <c r="D31" t="s">
        <v>26</v>
      </c>
      <c r="E31" t="s">
        <v>27</v>
      </c>
      <c r="F31" t="s">
        <v>48</v>
      </c>
      <c r="G31" t="s">
        <v>15</v>
      </c>
      <c r="H31" s="5">
        <v>699</v>
      </c>
      <c r="I31" s="5">
        <v>482.30999999999995</v>
      </c>
      <c r="J31" s="2">
        <v>0.2</v>
      </c>
    </row>
    <row r="32" spans="1:10" x14ac:dyDescent="0.25">
      <c r="A32" s="16">
        <v>21</v>
      </c>
      <c r="B32" s="22">
        <v>42506</v>
      </c>
      <c r="C32" s="16" t="s">
        <v>16</v>
      </c>
      <c r="D32" t="s">
        <v>22</v>
      </c>
      <c r="E32" t="s">
        <v>18</v>
      </c>
      <c r="F32" t="s">
        <v>19</v>
      </c>
      <c r="G32" t="s">
        <v>20</v>
      </c>
      <c r="H32" s="5">
        <v>1149</v>
      </c>
      <c r="I32" s="5">
        <v>792.81</v>
      </c>
      <c r="J32" s="2">
        <v>0.3</v>
      </c>
    </row>
    <row r="33" spans="1:10" x14ac:dyDescent="0.25">
      <c r="A33" s="16">
        <v>22</v>
      </c>
      <c r="B33" s="22">
        <v>42506</v>
      </c>
      <c r="C33" s="16" t="s">
        <v>49</v>
      </c>
      <c r="D33" t="s">
        <v>26</v>
      </c>
      <c r="E33" t="s">
        <v>27</v>
      </c>
      <c r="F33" t="s">
        <v>50</v>
      </c>
      <c r="G33" t="s">
        <v>15</v>
      </c>
      <c r="H33" s="5">
        <v>259</v>
      </c>
      <c r="I33" s="5">
        <v>106.19</v>
      </c>
      <c r="J33" s="2">
        <v>0.3</v>
      </c>
    </row>
    <row r="34" spans="1:10" x14ac:dyDescent="0.25">
      <c r="A34" s="16">
        <v>23</v>
      </c>
      <c r="B34" s="22">
        <v>42520</v>
      </c>
      <c r="C34" s="16" t="s">
        <v>41</v>
      </c>
      <c r="D34" t="s">
        <v>22</v>
      </c>
      <c r="E34" t="s">
        <v>18</v>
      </c>
      <c r="F34" t="s">
        <v>42</v>
      </c>
      <c r="G34" t="s">
        <v>43</v>
      </c>
      <c r="H34" s="5">
        <v>1149</v>
      </c>
      <c r="I34" s="5">
        <v>896.22</v>
      </c>
      <c r="J34" s="2">
        <v>0.2</v>
      </c>
    </row>
    <row r="35" spans="1:10" x14ac:dyDescent="0.25">
      <c r="A35" s="16">
        <v>24</v>
      </c>
      <c r="B35" s="22">
        <v>42506</v>
      </c>
      <c r="C35" s="16" t="s">
        <v>31</v>
      </c>
      <c r="D35" t="s">
        <v>22</v>
      </c>
      <c r="E35" t="s">
        <v>18</v>
      </c>
      <c r="F35" t="s">
        <v>32</v>
      </c>
      <c r="G35" t="s">
        <v>33</v>
      </c>
      <c r="H35" s="5">
        <v>1199</v>
      </c>
      <c r="I35" s="5">
        <v>887.26</v>
      </c>
      <c r="J35" s="2">
        <v>0.3</v>
      </c>
    </row>
    <row r="36" spans="1:10" x14ac:dyDescent="0.25">
      <c r="A36" s="16">
        <v>25</v>
      </c>
      <c r="B36" s="22">
        <v>42512</v>
      </c>
      <c r="C36" s="16" t="s">
        <v>25</v>
      </c>
      <c r="D36" t="s">
        <v>26</v>
      </c>
      <c r="E36" t="s">
        <v>27</v>
      </c>
      <c r="F36" t="s">
        <v>28</v>
      </c>
      <c r="G36" t="s">
        <v>15</v>
      </c>
      <c r="H36" s="5">
        <v>1499</v>
      </c>
      <c r="I36" s="5">
        <v>794.47</v>
      </c>
      <c r="J36" s="2">
        <v>0.15</v>
      </c>
    </row>
    <row r="37" spans="1:10" x14ac:dyDescent="0.25">
      <c r="A37" s="16">
        <v>26</v>
      </c>
      <c r="B37" s="22">
        <v>42798</v>
      </c>
      <c r="C37" s="16" t="s">
        <v>51</v>
      </c>
      <c r="D37" t="s">
        <v>22</v>
      </c>
      <c r="E37" t="s">
        <v>23</v>
      </c>
      <c r="F37" t="s">
        <v>52</v>
      </c>
      <c r="G37" t="s">
        <v>15</v>
      </c>
      <c r="H37" s="5">
        <v>599</v>
      </c>
      <c r="I37" s="5">
        <v>455.24</v>
      </c>
      <c r="J37" s="2">
        <v>0</v>
      </c>
    </row>
    <row r="38" spans="1:10" x14ac:dyDescent="0.25">
      <c r="A38" s="16">
        <v>27</v>
      </c>
      <c r="B38" s="22">
        <v>42527</v>
      </c>
      <c r="C38" s="16" t="s">
        <v>53</v>
      </c>
      <c r="D38" t="s">
        <v>22</v>
      </c>
      <c r="E38" t="s">
        <v>18</v>
      </c>
      <c r="F38" t="s">
        <v>54</v>
      </c>
      <c r="G38" t="s">
        <v>33</v>
      </c>
      <c r="H38" s="5">
        <v>1299</v>
      </c>
      <c r="I38" s="5">
        <v>766.41</v>
      </c>
      <c r="J38" s="2">
        <v>0</v>
      </c>
    </row>
    <row r="39" spans="1:10" x14ac:dyDescent="0.25">
      <c r="A39" s="16">
        <v>28</v>
      </c>
      <c r="B39" s="22">
        <v>42762</v>
      </c>
      <c r="C39" s="16" t="s">
        <v>41</v>
      </c>
      <c r="D39" t="s">
        <v>22</v>
      </c>
      <c r="E39" t="s">
        <v>18</v>
      </c>
      <c r="F39" t="s">
        <v>42</v>
      </c>
      <c r="G39" t="s">
        <v>43</v>
      </c>
      <c r="H39" s="5">
        <v>1149</v>
      </c>
      <c r="I39" s="5">
        <v>896.22</v>
      </c>
      <c r="J39" s="2">
        <v>0.15</v>
      </c>
    </row>
    <row r="40" spans="1:10" x14ac:dyDescent="0.25">
      <c r="A40" s="16">
        <v>29</v>
      </c>
      <c r="B40" s="22">
        <v>42479</v>
      </c>
      <c r="C40" s="16" t="s">
        <v>21</v>
      </c>
      <c r="D40" t="s">
        <v>22</v>
      </c>
      <c r="E40" t="s">
        <v>23</v>
      </c>
      <c r="F40" t="s">
        <v>24</v>
      </c>
      <c r="G40" t="s">
        <v>15</v>
      </c>
      <c r="H40" s="5">
        <v>359</v>
      </c>
      <c r="I40" s="5">
        <v>244.12</v>
      </c>
      <c r="J40" s="2">
        <v>0.15</v>
      </c>
    </row>
    <row r="41" spans="1:10" x14ac:dyDescent="0.25">
      <c r="A41" s="16">
        <v>30</v>
      </c>
      <c r="B41" s="22">
        <v>42672</v>
      </c>
      <c r="C41" s="16" t="s">
        <v>55</v>
      </c>
      <c r="D41" t="s">
        <v>26</v>
      </c>
      <c r="E41" t="s">
        <v>45</v>
      </c>
      <c r="F41" t="s">
        <v>56</v>
      </c>
      <c r="G41" t="s">
        <v>15</v>
      </c>
      <c r="H41" s="5">
        <v>499</v>
      </c>
      <c r="I41" s="5">
        <v>279.44000000000005</v>
      </c>
      <c r="J41" s="2">
        <v>0.15</v>
      </c>
    </row>
    <row r="42" spans="1:10" x14ac:dyDescent="0.25">
      <c r="A42" s="16">
        <v>31</v>
      </c>
      <c r="B42" s="22">
        <v>42573</v>
      </c>
      <c r="C42" s="16" t="s">
        <v>57</v>
      </c>
      <c r="D42" t="s">
        <v>22</v>
      </c>
      <c r="E42" t="s">
        <v>18</v>
      </c>
      <c r="F42" t="s">
        <v>58</v>
      </c>
      <c r="G42" t="s">
        <v>33</v>
      </c>
      <c r="H42" s="5">
        <v>799</v>
      </c>
      <c r="I42" s="5">
        <v>631.21</v>
      </c>
      <c r="J42" s="2">
        <v>0.15</v>
      </c>
    </row>
    <row r="43" spans="1:10" x14ac:dyDescent="0.25">
      <c r="A43" s="16">
        <v>32</v>
      </c>
      <c r="B43" s="22">
        <v>42506</v>
      </c>
      <c r="C43" s="16" t="s">
        <v>59</v>
      </c>
      <c r="D43" t="s">
        <v>12</v>
      </c>
      <c r="E43" t="s">
        <v>35</v>
      </c>
      <c r="F43" t="s">
        <v>60</v>
      </c>
      <c r="G43" t="s">
        <v>15</v>
      </c>
      <c r="H43" s="5">
        <v>8999</v>
      </c>
      <c r="I43" s="5">
        <v>4499.5</v>
      </c>
      <c r="J43" s="2">
        <v>0.3</v>
      </c>
    </row>
    <row r="44" spans="1:10" x14ac:dyDescent="0.25">
      <c r="A44" s="16">
        <v>33</v>
      </c>
      <c r="B44" s="22">
        <v>42506</v>
      </c>
      <c r="C44" s="16" t="s">
        <v>61</v>
      </c>
      <c r="D44" t="s">
        <v>26</v>
      </c>
      <c r="E44" t="s">
        <v>45</v>
      </c>
      <c r="F44" t="s">
        <v>62</v>
      </c>
      <c r="G44" t="s">
        <v>15</v>
      </c>
      <c r="H44" s="5">
        <v>799</v>
      </c>
      <c r="I44" s="5">
        <v>679.15</v>
      </c>
      <c r="J44" s="2">
        <v>0.3</v>
      </c>
    </row>
    <row r="45" spans="1:10" x14ac:dyDescent="0.25">
      <c r="A45" s="16">
        <v>34</v>
      </c>
      <c r="B45" s="22">
        <v>42495</v>
      </c>
      <c r="C45" s="16" t="s">
        <v>25</v>
      </c>
      <c r="D45" t="s">
        <v>26</v>
      </c>
      <c r="E45" t="s">
        <v>27</v>
      </c>
      <c r="F45" t="s">
        <v>28</v>
      </c>
      <c r="G45" t="s">
        <v>15</v>
      </c>
      <c r="H45" s="5">
        <v>1499</v>
      </c>
      <c r="I45" s="5">
        <v>794.47</v>
      </c>
      <c r="J45" s="2">
        <v>0</v>
      </c>
    </row>
    <row r="46" spans="1:10" x14ac:dyDescent="0.25">
      <c r="A46" s="16">
        <v>35</v>
      </c>
      <c r="B46" s="22">
        <v>42818</v>
      </c>
      <c r="C46" s="16" t="s">
        <v>63</v>
      </c>
      <c r="D46" t="s">
        <v>12</v>
      </c>
      <c r="E46" t="s">
        <v>35</v>
      </c>
      <c r="F46" t="s">
        <v>64</v>
      </c>
      <c r="G46" t="s">
        <v>15</v>
      </c>
      <c r="H46" s="5">
        <v>13999</v>
      </c>
      <c r="I46" s="5">
        <v>9659.31</v>
      </c>
      <c r="J46" s="2">
        <v>0</v>
      </c>
    </row>
    <row r="47" spans="1:10" x14ac:dyDescent="0.25">
      <c r="A47" s="16">
        <v>36</v>
      </c>
      <c r="B47" s="22">
        <v>42520</v>
      </c>
      <c r="C47" s="16" t="s">
        <v>41</v>
      </c>
      <c r="D47" t="s">
        <v>22</v>
      </c>
      <c r="E47" t="s">
        <v>18</v>
      </c>
      <c r="F47" t="s">
        <v>42</v>
      </c>
      <c r="G47" t="s">
        <v>43</v>
      </c>
      <c r="H47" s="5">
        <v>1149</v>
      </c>
      <c r="I47" s="5">
        <v>896.22</v>
      </c>
      <c r="J47" s="2">
        <v>0.2</v>
      </c>
    </row>
    <row r="48" spans="1:10" x14ac:dyDescent="0.25">
      <c r="A48" s="16">
        <v>37</v>
      </c>
      <c r="B48" s="22">
        <v>42506</v>
      </c>
      <c r="C48" s="16" t="s">
        <v>65</v>
      </c>
      <c r="D48" t="s">
        <v>12</v>
      </c>
      <c r="E48" t="s">
        <v>13</v>
      </c>
      <c r="F48" t="s">
        <v>66</v>
      </c>
      <c r="G48" t="s">
        <v>15</v>
      </c>
      <c r="H48" s="5">
        <v>1499</v>
      </c>
      <c r="I48" s="5">
        <v>584.61</v>
      </c>
      <c r="J48" s="2">
        <v>0.3</v>
      </c>
    </row>
    <row r="49" spans="1:10" x14ac:dyDescent="0.25">
      <c r="A49" s="16">
        <v>38</v>
      </c>
      <c r="B49" s="22">
        <v>42626</v>
      </c>
      <c r="C49" s="16" t="s">
        <v>16</v>
      </c>
      <c r="D49" t="s">
        <v>22</v>
      </c>
      <c r="E49" t="s">
        <v>18</v>
      </c>
      <c r="F49" t="s">
        <v>19</v>
      </c>
      <c r="G49" t="s">
        <v>20</v>
      </c>
      <c r="H49" s="5">
        <v>1149</v>
      </c>
      <c r="I49" s="5">
        <v>792.81</v>
      </c>
      <c r="J49" s="2">
        <v>0</v>
      </c>
    </row>
    <row r="50" spans="1:10" x14ac:dyDescent="0.25">
      <c r="A50" s="16">
        <v>39</v>
      </c>
      <c r="B50" s="22">
        <v>42539</v>
      </c>
      <c r="C50" s="16" t="s">
        <v>11</v>
      </c>
      <c r="D50" t="s">
        <v>12</v>
      </c>
      <c r="E50" t="s">
        <v>13</v>
      </c>
      <c r="F50" t="s">
        <v>14</v>
      </c>
      <c r="G50" t="s">
        <v>15</v>
      </c>
      <c r="H50" s="5">
        <v>1299</v>
      </c>
      <c r="I50" s="5">
        <v>727.44</v>
      </c>
      <c r="J50" s="2">
        <v>0</v>
      </c>
    </row>
    <row r="51" spans="1:10" x14ac:dyDescent="0.25">
      <c r="A51" s="16">
        <v>40</v>
      </c>
      <c r="B51" s="22">
        <v>42506</v>
      </c>
      <c r="C51" s="16" t="s">
        <v>67</v>
      </c>
      <c r="D51" t="s">
        <v>22</v>
      </c>
      <c r="E51" t="s">
        <v>18</v>
      </c>
      <c r="F51" t="s">
        <v>68</v>
      </c>
      <c r="G51" t="s">
        <v>69</v>
      </c>
      <c r="H51" s="5">
        <v>199</v>
      </c>
      <c r="I51" s="5">
        <v>81.589999999999989</v>
      </c>
      <c r="J51" s="2">
        <v>0.3</v>
      </c>
    </row>
    <row r="52" spans="1:10" x14ac:dyDescent="0.25">
      <c r="A52" s="16">
        <v>41</v>
      </c>
      <c r="B52" s="22">
        <v>42454</v>
      </c>
      <c r="C52" s="16" t="s">
        <v>41</v>
      </c>
      <c r="D52" t="s">
        <v>22</v>
      </c>
      <c r="E52" t="s">
        <v>18</v>
      </c>
      <c r="F52" t="s">
        <v>42</v>
      </c>
      <c r="G52" t="s">
        <v>43</v>
      </c>
      <c r="H52" s="5">
        <v>1149</v>
      </c>
      <c r="I52" s="5">
        <v>896.22</v>
      </c>
      <c r="J52" s="2">
        <v>0.15</v>
      </c>
    </row>
    <row r="53" spans="1:10" x14ac:dyDescent="0.25">
      <c r="A53" s="16">
        <v>42</v>
      </c>
      <c r="B53" s="22">
        <v>42438</v>
      </c>
      <c r="C53" s="16" t="s">
        <v>29</v>
      </c>
      <c r="D53" t="s">
        <v>26</v>
      </c>
      <c r="E53" t="s">
        <v>27</v>
      </c>
      <c r="F53" t="s">
        <v>30</v>
      </c>
      <c r="G53" t="s">
        <v>15</v>
      </c>
      <c r="H53" s="5">
        <v>259</v>
      </c>
      <c r="I53" s="5">
        <v>220.15</v>
      </c>
      <c r="J53" s="2">
        <v>0.15</v>
      </c>
    </row>
    <row r="54" spans="1:10" x14ac:dyDescent="0.25">
      <c r="A54" s="16">
        <v>43</v>
      </c>
      <c r="B54" s="22">
        <v>42773</v>
      </c>
      <c r="C54" s="16" t="s">
        <v>70</v>
      </c>
      <c r="D54" t="s">
        <v>26</v>
      </c>
      <c r="E54" t="s">
        <v>45</v>
      </c>
      <c r="F54" t="s">
        <v>71</v>
      </c>
      <c r="G54" t="s">
        <v>15</v>
      </c>
      <c r="H54" s="5">
        <v>449</v>
      </c>
      <c r="I54" s="5">
        <v>161.63999999999999</v>
      </c>
      <c r="J54" s="2">
        <v>0</v>
      </c>
    </row>
    <row r="55" spans="1:10" x14ac:dyDescent="0.25">
      <c r="A55" s="16">
        <v>44</v>
      </c>
      <c r="B55" s="22">
        <v>42541</v>
      </c>
      <c r="C55" s="16" t="s">
        <v>25</v>
      </c>
      <c r="D55" t="s">
        <v>26</v>
      </c>
      <c r="E55" t="s">
        <v>27</v>
      </c>
      <c r="F55" t="s">
        <v>28</v>
      </c>
      <c r="G55" t="s">
        <v>15</v>
      </c>
      <c r="H55" s="5">
        <v>1499</v>
      </c>
      <c r="I55" s="5">
        <v>794.47</v>
      </c>
      <c r="J55" s="2">
        <v>0</v>
      </c>
    </row>
    <row r="56" spans="1:10" x14ac:dyDescent="0.25">
      <c r="A56" s="16">
        <v>45</v>
      </c>
      <c r="B56" s="22">
        <v>42388</v>
      </c>
      <c r="C56" s="16" t="s">
        <v>25</v>
      </c>
      <c r="D56" t="s">
        <v>26</v>
      </c>
      <c r="E56" t="s">
        <v>27</v>
      </c>
      <c r="F56" t="s">
        <v>28</v>
      </c>
      <c r="G56" t="s">
        <v>15</v>
      </c>
      <c r="H56" s="5">
        <v>1499</v>
      </c>
      <c r="I56" s="5">
        <v>794.47</v>
      </c>
      <c r="J56" s="2">
        <v>0.15</v>
      </c>
    </row>
    <row r="57" spans="1:10" x14ac:dyDescent="0.25">
      <c r="A57" s="16">
        <v>46</v>
      </c>
      <c r="B57" s="22">
        <v>42601</v>
      </c>
      <c r="C57" s="16" t="s">
        <v>72</v>
      </c>
      <c r="D57" t="s">
        <v>22</v>
      </c>
      <c r="E57" t="s">
        <v>18</v>
      </c>
      <c r="F57" t="s">
        <v>73</v>
      </c>
      <c r="G57" t="s">
        <v>69</v>
      </c>
      <c r="H57" s="5">
        <v>799</v>
      </c>
      <c r="I57" s="5">
        <v>535.33000000000004</v>
      </c>
      <c r="J57" s="2">
        <v>0.15</v>
      </c>
    </row>
    <row r="58" spans="1:10" x14ac:dyDescent="0.25">
      <c r="A58" s="16">
        <v>47</v>
      </c>
      <c r="B58" s="22">
        <v>42506</v>
      </c>
      <c r="C58" s="16" t="s">
        <v>21</v>
      </c>
      <c r="D58" t="s">
        <v>22</v>
      </c>
      <c r="E58" t="s">
        <v>23</v>
      </c>
      <c r="F58" t="s">
        <v>24</v>
      </c>
      <c r="G58" t="s">
        <v>15</v>
      </c>
      <c r="H58" s="5">
        <v>359</v>
      </c>
      <c r="I58" s="5">
        <v>244.12</v>
      </c>
      <c r="J58" s="2">
        <v>0.3</v>
      </c>
    </row>
    <row r="59" spans="1:10" x14ac:dyDescent="0.25">
      <c r="A59" s="16">
        <v>48</v>
      </c>
      <c r="B59" s="22">
        <v>42438</v>
      </c>
      <c r="C59" s="16" t="s">
        <v>72</v>
      </c>
      <c r="D59" t="s">
        <v>17</v>
      </c>
      <c r="E59" t="s">
        <v>18</v>
      </c>
      <c r="F59" t="s">
        <v>73</v>
      </c>
      <c r="G59" t="s">
        <v>69</v>
      </c>
      <c r="H59" s="5">
        <v>799</v>
      </c>
      <c r="I59" s="5">
        <v>535.33000000000004</v>
      </c>
      <c r="J59" s="2">
        <v>0.15</v>
      </c>
    </row>
    <row r="60" spans="1:10" x14ac:dyDescent="0.25">
      <c r="A60" s="16">
        <v>49</v>
      </c>
      <c r="B60" s="22">
        <v>42560</v>
      </c>
      <c r="C60" s="16" t="s">
        <v>41</v>
      </c>
      <c r="D60" t="s">
        <v>22</v>
      </c>
      <c r="E60" t="s">
        <v>18</v>
      </c>
      <c r="F60" t="s">
        <v>42</v>
      </c>
      <c r="G60" t="s">
        <v>43</v>
      </c>
      <c r="H60" s="5">
        <v>1149</v>
      </c>
      <c r="I60" s="5">
        <v>896.22</v>
      </c>
      <c r="J60" s="2">
        <v>0</v>
      </c>
    </row>
    <row r="61" spans="1:10" x14ac:dyDescent="0.25">
      <c r="A61" s="16">
        <v>50</v>
      </c>
      <c r="B61" s="22">
        <v>42520</v>
      </c>
      <c r="C61" s="16" t="s">
        <v>74</v>
      </c>
      <c r="D61" t="s">
        <v>12</v>
      </c>
      <c r="E61" t="s">
        <v>13</v>
      </c>
      <c r="F61" t="s">
        <v>75</v>
      </c>
      <c r="G61" t="s">
        <v>15</v>
      </c>
      <c r="H61" s="5">
        <v>2599</v>
      </c>
      <c r="I61" s="5">
        <v>1819.3</v>
      </c>
      <c r="J61" s="2">
        <v>0.2</v>
      </c>
    </row>
    <row r="62" spans="1:10" x14ac:dyDescent="0.25">
      <c r="A62" s="16">
        <v>51</v>
      </c>
      <c r="B62" s="22">
        <v>42428</v>
      </c>
      <c r="C62" s="16" t="s">
        <v>41</v>
      </c>
      <c r="D62" t="s">
        <v>17</v>
      </c>
      <c r="E62" t="s">
        <v>18</v>
      </c>
      <c r="F62" t="s">
        <v>42</v>
      </c>
      <c r="G62" t="s">
        <v>43</v>
      </c>
      <c r="H62" s="5">
        <v>1149</v>
      </c>
      <c r="I62" s="5">
        <v>896.22</v>
      </c>
      <c r="J62" s="2">
        <v>0</v>
      </c>
    </row>
    <row r="63" spans="1:10" x14ac:dyDescent="0.25">
      <c r="A63" s="16">
        <v>52</v>
      </c>
      <c r="B63" s="22">
        <v>42756</v>
      </c>
      <c r="C63" s="16" t="s">
        <v>74</v>
      </c>
      <c r="D63" t="s">
        <v>12</v>
      </c>
      <c r="E63" t="s">
        <v>13</v>
      </c>
      <c r="F63" t="s">
        <v>75</v>
      </c>
      <c r="G63" t="s">
        <v>15</v>
      </c>
      <c r="H63" s="5">
        <v>2599</v>
      </c>
      <c r="I63" s="5">
        <v>1819.3</v>
      </c>
      <c r="J63" s="2">
        <v>0</v>
      </c>
    </row>
    <row r="64" spans="1:10" x14ac:dyDescent="0.25">
      <c r="A64" s="16">
        <v>53</v>
      </c>
      <c r="B64" s="22">
        <v>42736</v>
      </c>
      <c r="C64" s="16" t="s">
        <v>25</v>
      </c>
      <c r="D64" t="s">
        <v>26</v>
      </c>
      <c r="E64" t="s">
        <v>27</v>
      </c>
      <c r="F64" t="s">
        <v>28</v>
      </c>
      <c r="G64" t="s">
        <v>15</v>
      </c>
      <c r="H64" s="5">
        <v>1499</v>
      </c>
      <c r="I64" s="5">
        <v>794.47</v>
      </c>
      <c r="J64" s="2">
        <v>0.15</v>
      </c>
    </row>
    <row r="65" spans="1:10" x14ac:dyDescent="0.25">
      <c r="A65" s="16">
        <v>54</v>
      </c>
      <c r="B65" s="22">
        <v>42438</v>
      </c>
      <c r="C65" s="16" t="s">
        <v>76</v>
      </c>
      <c r="D65" t="s">
        <v>22</v>
      </c>
      <c r="E65" t="s">
        <v>18</v>
      </c>
      <c r="F65" t="s">
        <v>77</v>
      </c>
      <c r="G65" t="s">
        <v>78</v>
      </c>
      <c r="H65" s="5">
        <v>799</v>
      </c>
      <c r="I65" s="5">
        <v>631.21</v>
      </c>
      <c r="J65" s="2">
        <v>0.15</v>
      </c>
    </row>
    <row r="66" spans="1:10" x14ac:dyDescent="0.25">
      <c r="A66" s="16">
        <v>55</v>
      </c>
      <c r="B66" s="22">
        <v>42402</v>
      </c>
      <c r="C66" s="16" t="s">
        <v>79</v>
      </c>
      <c r="D66" t="s">
        <v>26</v>
      </c>
      <c r="E66" t="s">
        <v>27</v>
      </c>
      <c r="F66" t="s">
        <v>80</v>
      </c>
      <c r="G66" t="s">
        <v>15</v>
      </c>
      <c r="H66" s="5">
        <v>499</v>
      </c>
      <c r="I66" s="5">
        <v>174.64999999999998</v>
      </c>
      <c r="J66" s="2">
        <v>0.2</v>
      </c>
    </row>
    <row r="67" spans="1:10" x14ac:dyDescent="0.25">
      <c r="A67" s="16">
        <v>56</v>
      </c>
      <c r="B67" s="22">
        <v>42479</v>
      </c>
      <c r="C67" s="16" t="s">
        <v>41</v>
      </c>
      <c r="D67" t="s">
        <v>22</v>
      </c>
      <c r="E67" t="s">
        <v>18</v>
      </c>
      <c r="F67" t="s">
        <v>42</v>
      </c>
      <c r="G67" t="s">
        <v>43</v>
      </c>
      <c r="H67" s="5">
        <v>1149</v>
      </c>
      <c r="I67" s="5">
        <v>896.22</v>
      </c>
      <c r="J67" s="2">
        <v>0.15</v>
      </c>
    </row>
    <row r="68" spans="1:10" x14ac:dyDescent="0.25">
      <c r="A68" s="16">
        <v>57</v>
      </c>
      <c r="B68" s="22">
        <v>42536</v>
      </c>
      <c r="C68" s="16" t="s">
        <v>29</v>
      </c>
      <c r="D68" t="s">
        <v>26</v>
      </c>
      <c r="E68" t="s">
        <v>27</v>
      </c>
      <c r="F68" t="s">
        <v>30</v>
      </c>
      <c r="G68" t="s">
        <v>15</v>
      </c>
      <c r="H68" s="5">
        <v>259</v>
      </c>
      <c r="I68" s="5">
        <v>220.15</v>
      </c>
      <c r="J68" s="2">
        <v>0</v>
      </c>
    </row>
    <row r="69" spans="1:10" x14ac:dyDescent="0.25">
      <c r="A69" s="16">
        <v>58</v>
      </c>
      <c r="B69" s="22">
        <v>42545</v>
      </c>
      <c r="C69" s="16" t="s">
        <v>11</v>
      </c>
      <c r="D69" t="s">
        <v>12</v>
      </c>
      <c r="E69" t="s">
        <v>13</v>
      </c>
      <c r="F69" t="s">
        <v>14</v>
      </c>
      <c r="G69" t="s">
        <v>15</v>
      </c>
      <c r="H69" s="5">
        <v>1299</v>
      </c>
      <c r="I69" s="5">
        <v>727.44</v>
      </c>
      <c r="J69" s="2">
        <v>0</v>
      </c>
    </row>
    <row r="70" spans="1:10" x14ac:dyDescent="0.25">
      <c r="A70" s="16">
        <v>59</v>
      </c>
      <c r="B70" s="22">
        <v>42424</v>
      </c>
      <c r="C70" s="16" t="s">
        <v>81</v>
      </c>
      <c r="D70" t="s">
        <v>22</v>
      </c>
      <c r="E70" t="s">
        <v>18</v>
      </c>
      <c r="F70" t="s">
        <v>82</v>
      </c>
      <c r="G70" t="s">
        <v>78</v>
      </c>
      <c r="H70" s="5">
        <v>1299</v>
      </c>
      <c r="I70" s="5">
        <v>909.3</v>
      </c>
      <c r="J70" s="2">
        <v>0.15</v>
      </c>
    </row>
    <row r="71" spans="1:10" x14ac:dyDescent="0.25">
      <c r="A71" s="16">
        <v>60</v>
      </c>
      <c r="B71" s="22">
        <v>42455</v>
      </c>
      <c r="C71" s="16" t="s">
        <v>41</v>
      </c>
      <c r="D71" t="s">
        <v>22</v>
      </c>
      <c r="E71" t="s">
        <v>18</v>
      </c>
      <c r="F71" t="s">
        <v>42</v>
      </c>
      <c r="G71" t="s">
        <v>43</v>
      </c>
      <c r="H71" s="5">
        <v>1149</v>
      </c>
      <c r="I71" s="5">
        <v>896.22</v>
      </c>
      <c r="J71" s="2">
        <v>0.2</v>
      </c>
    </row>
    <row r="72" spans="1:10" x14ac:dyDescent="0.25">
      <c r="A72" s="16">
        <v>61</v>
      </c>
      <c r="B72" s="22">
        <v>42626</v>
      </c>
      <c r="C72" s="16" t="s">
        <v>31</v>
      </c>
      <c r="D72" t="s">
        <v>22</v>
      </c>
      <c r="E72" t="s">
        <v>18</v>
      </c>
      <c r="F72" t="s">
        <v>32</v>
      </c>
      <c r="G72" t="s">
        <v>33</v>
      </c>
      <c r="H72" s="5">
        <v>1199</v>
      </c>
      <c r="I72" s="5">
        <v>887.26</v>
      </c>
      <c r="J72" s="2">
        <v>0</v>
      </c>
    </row>
    <row r="73" spans="1:10" x14ac:dyDescent="0.25">
      <c r="A73" s="16">
        <v>62</v>
      </c>
      <c r="B73" s="22">
        <v>42479</v>
      </c>
      <c r="C73" s="16" t="s">
        <v>31</v>
      </c>
      <c r="D73" t="s">
        <v>22</v>
      </c>
      <c r="E73" t="s">
        <v>18</v>
      </c>
      <c r="F73" t="s">
        <v>32</v>
      </c>
      <c r="G73" t="s">
        <v>33</v>
      </c>
      <c r="H73" s="5">
        <v>1199</v>
      </c>
      <c r="I73" s="5">
        <v>887.26</v>
      </c>
      <c r="J73" s="2">
        <v>0.15</v>
      </c>
    </row>
    <row r="74" spans="1:10" x14ac:dyDescent="0.25">
      <c r="A74" s="16">
        <v>63</v>
      </c>
      <c r="B74" s="22">
        <v>42519</v>
      </c>
      <c r="C74" s="16" t="s">
        <v>41</v>
      </c>
      <c r="D74" t="s">
        <v>22</v>
      </c>
      <c r="E74" t="s">
        <v>18</v>
      </c>
      <c r="F74" t="s">
        <v>42</v>
      </c>
      <c r="G74" t="s">
        <v>43</v>
      </c>
      <c r="H74" s="5">
        <v>1149</v>
      </c>
      <c r="I74" s="5">
        <v>896.22</v>
      </c>
      <c r="J74" s="2">
        <v>0</v>
      </c>
    </row>
    <row r="75" spans="1:10" x14ac:dyDescent="0.25">
      <c r="A75" s="16">
        <v>64</v>
      </c>
      <c r="B75" s="22">
        <v>42672</v>
      </c>
      <c r="C75" s="16" t="s">
        <v>41</v>
      </c>
      <c r="D75" t="s">
        <v>22</v>
      </c>
      <c r="E75" t="s">
        <v>18</v>
      </c>
      <c r="F75" t="s">
        <v>42</v>
      </c>
      <c r="G75" t="s">
        <v>43</v>
      </c>
      <c r="H75" s="5">
        <v>1149</v>
      </c>
      <c r="I75" s="5">
        <v>896.22</v>
      </c>
      <c r="J75" s="2">
        <v>0.15</v>
      </c>
    </row>
    <row r="76" spans="1:10" x14ac:dyDescent="0.25">
      <c r="A76" s="16">
        <v>65</v>
      </c>
      <c r="B76" s="22">
        <v>42643</v>
      </c>
      <c r="C76" s="16" t="s">
        <v>61</v>
      </c>
      <c r="D76" t="s">
        <v>26</v>
      </c>
      <c r="E76" t="s">
        <v>45</v>
      </c>
      <c r="F76" t="s">
        <v>62</v>
      </c>
      <c r="G76" t="s">
        <v>15</v>
      </c>
      <c r="H76" s="5">
        <v>799</v>
      </c>
      <c r="I76" s="5">
        <v>679.15</v>
      </c>
      <c r="J76" s="2">
        <v>0.2</v>
      </c>
    </row>
    <row r="77" spans="1:10" x14ac:dyDescent="0.25">
      <c r="A77" s="16">
        <v>66</v>
      </c>
      <c r="B77" s="22">
        <v>42546</v>
      </c>
      <c r="C77" s="16" t="s">
        <v>83</v>
      </c>
      <c r="D77" t="s">
        <v>26</v>
      </c>
      <c r="E77" t="s">
        <v>45</v>
      </c>
      <c r="F77" t="s">
        <v>84</v>
      </c>
      <c r="G77" t="s">
        <v>15</v>
      </c>
      <c r="H77" s="5">
        <v>999</v>
      </c>
      <c r="I77" s="5">
        <v>509.49</v>
      </c>
      <c r="J77" s="2">
        <v>0.2</v>
      </c>
    </row>
    <row r="78" spans="1:10" x14ac:dyDescent="0.25">
      <c r="A78" s="16">
        <v>67</v>
      </c>
      <c r="B78" s="22">
        <v>42400</v>
      </c>
      <c r="C78" s="16" t="s">
        <v>63</v>
      </c>
      <c r="D78" t="s">
        <v>12</v>
      </c>
      <c r="E78" t="s">
        <v>35</v>
      </c>
      <c r="F78" t="s">
        <v>64</v>
      </c>
      <c r="G78" t="s">
        <v>15</v>
      </c>
      <c r="H78" s="5">
        <v>13999</v>
      </c>
      <c r="I78" s="5">
        <v>9659.31</v>
      </c>
      <c r="J78" s="2">
        <v>0</v>
      </c>
    </row>
    <row r="79" spans="1:10" x14ac:dyDescent="0.25">
      <c r="A79" s="16">
        <v>68</v>
      </c>
      <c r="B79" s="22">
        <v>42631</v>
      </c>
      <c r="C79" s="16" t="s">
        <v>85</v>
      </c>
      <c r="D79" t="s">
        <v>22</v>
      </c>
      <c r="E79" t="s">
        <v>86</v>
      </c>
      <c r="F79" t="s">
        <v>87</v>
      </c>
      <c r="G79" t="s">
        <v>15</v>
      </c>
      <c r="H79" s="5">
        <v>3999</v>
      </c>
      <c r="I79" s="5">
        <v>1399.6499999999999</v>
      </c>
      <c r="J79" s="2">
        <v>0.1</v>
      </c>
    </row>
    <row r="80" spans="1:10" x14ac:dyDescent="0.25">
      <c r="A80" s="16">
        <v>69</v>
      </c>
      <c r="B80" s="22">
        <v>42506</v>
      </c>
      <c r="C80" s="16" t="s">
        <v>44</v>
      </c>
      <c r="D80" t="s">
        <v>26</v>
      </c>
      <c r="E80" t="s">
        <v>45</v>
      </c>
      <c r="F80" t="s">
        <v>46</v>
      </c>
      <c r="G80" t="s">
        <v>15</v>
      </c>
      <c r="H80" s="5">
        <v>699</v>
      </c>
      <c r="I80" s="5">
        <v>531.24</v>
      </c>
      <c r="J80" s="2">
        <v>0.3</v>
      </c>
    </row>
    <row r="81" spans="1:10" x14ac:dyDescent="0.25">
      <c r="A81" s="16">
        <v>70</v>
      </c>
      <c r="B81" s="22">
        <v>42520</v>
      </c>
      <c r="C81" s="16" t="s">
        <v>41</v>
      </c>
      <c r="D81" t="s">
        <v>22</v>
      </c>
      <c r="E81" t="s">
        <v>18</v>
      </c>
      <c r="F81" t="s">
        <v>42</v>
      </c>
      <c r="G81" t="s">
        <v>43</v>
      </c>
      <c r="H81" s="5">
        <v>1149</v>
      </c>
      <c r="I81" s="5">
        <v>896.22</v>
      </c>
      <c r="J81" s="2">
        <v>0.2</v>
      </c>
    </row>
    <row r="82" spans="1:10" x14ac:dyDescent="0.25">
      <c r="A82" s="16">
        <v>71</v>
      </c>
      <c r="B82" s="22">
        <v>42402</v>
      </c>
      <c r="C82" s="16" t="s">
        <v>88</v>
      </c>
      <c r="D82" t="s">
        <v>22</v>
      </c>
      <c r="E82" t="s">
        <v>86</v>
      </c>
      <c r="F82" t="s">
        <v>89</v>
      </c>
      <c r="G82" t="s">
        <v>15</v>
      </c>
      <c r="H82" s="5">
        <v>7999</v>
      </c>
      <c r="I82" s="5">
        <v>2399.6999999999998</v>
      </c>
      <c r="J82" s="2">
        <v>0.2</v>
      </c>
    </row>
    <row r="83" spans="1:10" x14ac:dyDescent="0.25">
      <c r="A83" s="16">
        <v>72</v>
      </c>
      <c r="B83" s="22">
        <v>42512</v>
      </c>
      <c r="C83" s="16" t="s">
        <v>85</v>
      </c>
      <c r="D83" t="s">
        <v>22</v>
      </c>
      <c r="E83" t="s">
        <v>86</v>
      </c>
      <c r="F83" t="s">
        <v>87</v>
      </c>
      <c r="G83" t="s">
        <v>15</v>
      </c>
      <c r="H83" s="5">
        <v>3999</v>
      </c>
      <c r="I83" s="5">
        <v>1399.6499999999999</v>
      </c>
      <c r="J83" s="2">
        <v>0.15</v>
      </c>
    </row>
    <row r="84" spans="1:10" x14ac:dyDescent="0.25">
      <c r="A84" s="16">
        <v>73</v>
      </c>
      <c r="B84" s="22">
        <v>42379</v>
      </c>
      <c r="C84" s="16" t="s">
        <v>51</v>
      </c>
      <c r="D84" t="s">
        <v>22</v>
      </c>
      <c r="E84" t="s">
        <v>23</v>
      </c>
      <c r="F84" t="s">
        <v>52</v>
      </c>
      <c r="G84" t="s">
        <v>15</v>
      </c>
      <c r="H84" s="5">
        <v>599</v>
      </c>
      <c r="I84" s="5">
        <v>455.24</v>
      </c>
      <c r="J84" s="2">
        <v>0</v>
      </c>
    </row>
    <row r="85" spans="1:10" x14ac:dyDescent="0.25">
      <c r="A85" s="16">
        <v>74</v>
      </c>
      <c r="B85" s="22">
        <v>42402</v>
      </c>
      <c r="C85" s="16" t="s">
        <v>11</v>
      </c>
      <c r="D85" t="s">
        <v>12</v>
      </c>
      <c r="E85" t="s">
        <v>13</v>
      </c>
      <c r="F85" t="s">
        <v>14</v>
      </c>
      <c r="G85" t="s">
        <v>15</v>
      </c>
      <c r="H85" s="5">
        <v>1299</v>
      </c>
      <c r="I85" s="5">
        <v>727.44</v>
      </c>
      <c r="J85" s="2">
        <v>0.2</v>
      </c>
    </row>
    <row r="86" spans="1:10" x14ac:dyDescent="0.25">
      <c r="A86" s="16">
        <v>75</v>
      </c>
      <c r="B86" s="22">
        <v>42575</v>
      </c>
      <c r="C86" s="16" t="s">
        <v>90</v>
      </c>
      <c r="D86" t="s">
        <v>12</v>
      </c>
      <c r="E86" t="s">
        <v>35</v>
      </c>
      <c r="F86" t="s">
        <v>91</v>
      </c>
      <c r="G86" t="s">
        <v>15</v>
      </c>
      <c r="H86" s="5">
        <v>6999</v>
      </c>
      <c r="I86" s="5">
        <v>4829.3099999999995</v>
      </c>
      <c r="J86" s="2">
        <v>0.2</v>
      </c>
    </row>
    <row r="87" spans="1:10" x14ac:dyDescent="0.25">
      <c r="A87" s="16">
        <v>76</v>
      </c>
      <c r="B87" s="22">
        <v>42657</v>
      </c>
      <c r="C87" s="16" t="s">
        <v>92</v>
      </c>
      <c r="D87" t="s">
        <v>22</v>
      </c>
      <c r="E87" t="s">
        <v>86</v>
      </c>
      <c r="F87" t="s">
        <v>93</v>
      </c>
      <c r="G87" t="s">
        <v>15</v>
      </c>
      <c r="H87" s="5">
        <v>11999</v>
      </c>
      <c r="I87" s="5">
        <v>4199.6499999999996</v>
      </c>
      <c r="J87" s="2">
        <v>0.15</v>
      </c>
    </row>
    <row r="88" spans="1:10" x14ac:dyDescent="0.25">
      <c r="A88" s="16">
        <v>77</v>
      </c>
      <c r="B88" s="22">
        <v>42425</v>
      </c>
      <c r="C88" s="16" t="s">
        <v>94</v>
      </c>
      <c r="D88" t="s">
        <v>26</v>
      </c>
      <c r="E88" t="s">
        <v>45</v>
      </c>
      <c r="F88" t="s">
        <v>95</v>
      </c>
      <c r="G88" t="s">
        <v>15</v>
      </c>
      <c r="H88" s="5">
        <v>819</v>
      </c>
      <c r="I88" s="5">
        <v>319.41000000000003</v>
      </c>
      <c r="J88" s="2">
        <v>0</v>
      </c>
    </row>
    <row r="89" spans="1:10" x14ac:dyDescent="0.25">
      <c r="A89" s="16">
        <v>78</v>
      </c>
      <c r="B89" s="22">
        <v>42506</v>
      </c>
      <c r="C89" s="16" t="s">
        <v>41</v>
      </c>
      <c r="D89" t="s">
        <v>22</v>
      </c>
      <c r="E89" t="s">
        <v>18</v>
      </c>
      <c r="F89" t="s">
        <v>42</v>
      </c>
      <c r="G89" t="s">
        <v>43</v>
      </c>
      <c r="H89" s="5">
        <v>1149</v>
      </c>
      <c r="I89" s="5">
        <v>896.22</v>
      </c>
      <c r="J89" s="2">
        <v>0.3</v>
      </c>
    </row>
    <row r="90" spans="1:10" x14ac:dyDescent="0.25">
      <c r="A90" s="16">
        <v>79</v>
      </c>
      <c r="B90" s="22">
        <v>42402</v>
      </c>
      <c r="C90" s="16" t="s">
        <v>21</v>
      </c>
      <c r="D90" t="s">
        <v>22</v>
      </c>
      <c r="E90" t="s">
        <v>23</v>
      </c>
      <c r="F90" t="s">
        <v>24</v>
      </c>
      <c r="G90" t="s">
        <v>15</v>
      </c>
      <c r="H90" s="5">
        <v>359</v>
      </c>
      <c r="I90" s="5">
        <v>244.12</v>
      </c>
      <c r="J90" s="2">
        <v>0.2</v>
      </c>
    </row>
    <row r="91" spans="1:10" x14ac:dyDescent="0.25">
      <c r="A91" s="16">
        <v>80</v>
      </c>
      <c r="B91" s="22">
        <v>42470</v>
      </c>
      <c r="C91" s="16" t="s">
        <v>85</v>
      </c>
      <c r="D91" t="s">
        <v>22</v>
      </c>
      <c r="E91" t="s">
        <v>86</v>
      </c>
      <c r="F91" t="s">
        <v>87</v>
      </c>
      <c r="G91" t="s">
        <v>15</v>
      </c>
      <c r="H91" s="5">
        <v>3999</v>
      </c>
      <c r="I91" s="5">
        <v>1399.6499999999999</v>
      </c>
      <c r="J91" s="2">
        <v>0</v>
      </c>
    </row>
    <row r="92" spans="1:10" x14ac:dyDescent="0.25">
      <c r="A92" s="16">
        <v>81</v>
      </c>
      <c r="B92" s="22">
        <v>42657</v>
      </c>
      <c r="C92" s="16" t="s">
        <v>96</v>
      </c>
      <c r="D92" t="s">
        <v>12</v>
      </c>
      <c r="E92" t="s">
        <v>35</v>
      </c>
      <c r="F92" t="s">
        <v>97</v>
      </c>
      <c r="G92" t="s">
        <v>15</v>
      </c>
      <c r="H92" s="5">
        <v>11999</v>
      </c>
      <c r="I92" s="5">
        <v>7799.35</v>
      </c>
      <c r="J92" s="2">
        <v>0.15</v>
      </c>
    </row>
    <row r="93" spans="1:10" x14ac:dyDescent="0.25">
      <c r="A93" s="16">
        <v>82</v>
      </c>
      <c r="B93" s="22">
        <v>42605</v>
      </c>
      <c r="C93" s="16" t="s">
        <v>41</v>
      </c>
      <c r="D93" t="s">
        <v>22</v>
      </c>
      <c r="E93" t="s">
        <v>18</v>
      </c>
      <c r="F93" t="s">
        <v>42</v>
      </c>
      <c r="G93" t="s">
        <v>43</v>
      </c>
      <c r="H93" s="5">
        <v>1149</v>
      </c>
      <c r="I93" s="5">
        <v>896.22</v>
      </c>
      <c r="J93" s="2">
        <v>0</v>
      </c>
    </row>
    <row r="94" spans="1:10" x14ac:dyDescent="0.25">
      <c r="A94" s="16">
        <v>83</v>
      </c>
      <c r="B94" s="22">
        <v>42388</v>
      </c>
      <c r="C94" s="16" t="s">
        <v>61</v>
      </c>
      <c r="D94" t="s">
        <v>26</v>
      </c>
      <c r="E94" t="s">
        <v>45</v>
      </c>
      <c r="F94" t="s">
        <v>62</v>
      </c>
      <c r="G94" t="s">
        <v>15</v>
      </c>
      <c r="H94" s="5">
        <v>799</v>
      </c>
      <c r="I94" s="5">
        <v>679.15</v>
      </c>
      <c r="J94" s="2">
        <v>0.15</v>
      </c>
    </row>
    <row r="95" spans="1:10" x14ac:dyDescent="0.25">
      <c r="A95" s="16">
        <v>84</v>
      </c>
      <c r="B95" s="22">
        <v>42736</v>
      </c>
      <c r="C95" s="16" t="s">
        <v>41</v>
      </c>
      <c r="D95" t="s">
        <v>22</v>
      </c>
      <c r="E95" t="s">
        <v>18</v>
      </c>
      <c r="F95" t="s">
        <v>42</v>
      </c>
      <c r="G95" t="s">
        <v>43</v>
      </c>
      <c r="H95" s="5">
        <v>1149</v>
      </c>
      <c r="I95" s="5">
        <v>896.22</v>
      </c>
      <c r="J95" s="2">
        <v>0.15</v>
      </c>
    </row>
    <row r="96" spans="1:10" x14ac:dyDescent="0.25">
      <c r="A96" s="16">
        <v>85</v>
      </c>
      <c r="B96" s="22">
        <v>42531</v>
      </c>
      <c r="C96" s="16" t="s">
        <v>41</v>
      </c>
      <c r="D96" t="s">
        <v>22</v>
      </c>
      <c r="E96" t="s">
        <v>18</v>
      </c>
      <c r="F96" t="s">
        <v>42</v>
      </c>
      <c r="G96" t="s">
        <v>43</v>
      </c>
      <c r="H96" s="5">
        <v>1149</v>
      </c>
      <c r="I96" s="5">
        <v>896.22</v>
      </c>
      <c r="J96" s="2">
        <v>0</v>
      </c>
    </row>
    <row r="97" spans="1:10" x14ac:dyDescent="0.25">
      <c r="A97" s="16">
        <v>86</v>
      </c>
      <c r="B97" s="22">
        <v>42489</v>
      </c>
      <c r="C97" s="16" t="s">
        <v>49</v>
      </c>
      <c r="D97" t="s">
        <v>26</v>
      </c>
      <c r="E97" t="s">
        <v>27</v>
      </c>
      <c r="F97" t="s">
        <v>50</v>
      </c>
      <c r="G97" t="s">
        <v>15</v>
      </c>
      <c r="H97" s="5">
        <v>259</v>
      </c>
      <c r="I97" s="5">
        <v>106.19</v>
      </c>
      <c r="J97" s="2">
        <v>0</v>
      </c>
    </row>
    <row r="98" spans="1:10" x14ac:dyDescent="0.25">
      <c r="A98" s="16">
        <v>87</v>
      </c>
      <c r="B98" s="22">
        <v>42417</v>
      </c>
      <c r="C98" s="16" t="s">
        <v>11</v>
      </c>
      <c r="D98" t="s">
        <v>12</v>
      </c>
      <c r="E98" t="s">
        <v>13</v>
      </c>
      <c r="F98" t="s">
        <v>14</v>
      </c>
      <c r="G98" t="s">
        <v>15</v>
      </c>
      <c r="H98" s="5">
        <v>1299</v>
      </c>
      <c r="I98" s="5">
        <v>727.44</v>
      </c>
      <c r="J98" s="2">
        <v>0</v>
      </c>
    </row>
    <row r="99" spans="1:10" x14ac:dyDescent="0.25">
      <c r="A99" s="16">
        <v>88</v>
      </c>
      <c r="B99" s="22">
        <v>42459</v>
      </c>
      <c r="C99" s="16" t="s">
        <v>70</v>
      </c>
      <c r="D99" t="s">
        <v>26</v>
      </c>
      <c r="E99" t="s">
        <v>45</v>
      </c>
      <c r="F99" t="s">
        <v>71</v>
      </c>
      <c r="G99" t="s">
        <v>15</v>
      </c>
      <c r="H99" s="5">
        <v>449</v>
      </c>
      <c r="I99" s="5">
        <v>161.63999999999999</v>
      </c>
      <c r="J99" s="2">
        <v>0</v>
      </c>
    </row>
    <row r="100" spans="1:10" x14ac:dyDescent="0.25">
      <c r="A100" s="16">
        <v>89</v>
      </c>
      <c r="B100" s="22">
        <v>42728</v>
      </c>
      <c r="C100" s="16" t="s">
        <v>98</v>
      </c>
      <c r="D100" t="s">
        <v>22</v>
      </c>
      <c r="E100" t="s">
        <v>86</v>
      </c>
      <c r="F100" t="s">
        <v>99</v>
      </c>
      <c r="G100" t="s">
        <v>15</v>
      </c>
      <c r="H100" s="5">
        <v>5999</v>
      </c>
      <c r="I100" s="5">
        <v>3419.43</v>
      </c>
      <c r="J100" s="2">
        <v>0</v>
      </c>
    </row>
    <row r="101" spans="1:10" x14ac:dyDescent="0.25">
      <c r="A101" s="16">
        <v>90</v>
      </c>
      <c r="B101" s="22">
        <v>42512</v>
      </c>
      <c r="C101" s="16" t="s">
        <v>41</v>
      </c>
      <c r="D101" t="s">
        <v>22</v>
      </c>
      <c r="E101" t="s">
        <v>18</v>
      </c>
      <c r="F101" t="s">
        <v>42</v>
      </c>
      <c r="G101" t="s">
        <v>43</v>
      </c>
      <c r="H101" s="5">
        <v>1149</v>
      </c>
      <c r="I101" s="5">
        <v>896.22</v>
      </c>
      <c r="J101" s="2">
        <v>0.15</v>
      </c>
    </row>
    <row r="102" spans="1:10" x14ac:dyDescent="0.25">
      <c r="A102" s="16">
        <v>91</v>
      </c>
      <c r="B102" s="22">
        <v>42657</v>
      </c>
      <c r="C102" s="16" t="s">
        <v>11</v>
      </c>
      <c r="D102" t="s">
        <v>12</v>
      </c>
      <c r="E102" t="s">
        <v>13</v>
      </c>
      <c r="F102" t="s">
        <v>14</v>
      </c>
      <c r="G102" t="s">
        <v>15</v>
      </c>
      <c r="H102" s="5">
        <v>1299</v>
      </c>
      <c r="I102" s="5">
        <v>727.44</v>
      </c>
      <c r="J102" s="2">
        <v>0.15</v>
      </c>
    </row>
    <row r="103" spans="1:10" x14ac:dyDescent="0.25">
      <c r="A103" s="16">
        <v>92</v>
      </c>
      <c r="B103" s="22">
        <v>42575</v>
      </c>
      <c r="C103" s="16" t="s">
        <v>41</v>
      </c>
      <c r="D103" t="s">
        <v>22</v>
      </c>
      <c r="E103" t="s">
        <v>18</v>
      </c>
      <c r="F103" t="s">
        <v>42</v>
      </c>
      <c r="G103" t="s">
        <v>43</v>
      </c>
      <c r="H103" s="5">
        <v>1149</v>
      </c>
      <c r="I103" s="5">
        <v>896.22</v>
      </c>
      <c r="J103" s="2">
        <v>0.2</v>
      </c>
    </row>
    <row r="104" spans="1:10" x14ac:dyDescent="0.25">
      <c r="A104" s="16">
        <v>93</v>
      </c>
      <c r="B104" s="22">
        <v>42391</v>
      </c>
      <c r="C104" s="16" t="s">
        <v>61</v>
      </c>
      <c r="D104" t="s">
        <v>26</v>
      </c>
      <c r="E104" t="s">
        <v>45</v>
      </c>
      <c r="F104" t="s">
        <v>62</v>
      </c>
      <c r="G104" t="s">
        <v>15</v>
      </c>
      <c r="H104" s="5">
        <v>799</v>
      </c>
      <c r="I104" s="5">
        <v>679.15</v>
      </c>
      <c r="J104" s="2">
        <v>0</v>
      </c>
    </row>
    <row r="105" spans="1:10" x14ac:dyDescent="0.25">
      <c r="A105" s="16">
        <v>94</v>
      </c>
      <c r="B105" s="22">
        <v>42524</v>
      </c>
      <c r="C105" s="16" t="s">
        <v>25</v>
      </c>
      <c r="D105" t="s">
        <v>26</v>
      </c>
      <c r="E105" t="s">
        <v>27</v>
      </c>
      <c r="F105" t="s">
        <v>28</v>
      </c>
      <c r="G105" t="s">
        <v>15</v>
      </c>
      <c r="H105" s="5">
        <v>1499</v>
      </c>
      <c r="I105" s="5">
        <v>794.47</v>
      </c>
      <c r="J105" s="2">
        <v>0</v>
      </c>
    </row>
    <row r="106" spans="1:10" x14ac:dyDescent="0.25">
      <c r="A106" s="16">
        <v>95</v>
      </c>
      <c r="B106" s="22">
        <v>42404</v>
      </c>
      <c r="C106" s="16" t="s">
        <v>100</v>
      </c>
      <c r="D106" t="s">
        <v>12</v>
      </c>
      <c r="E106" t="s">
        <v>35</v>
      </c>
      <c r="F106" t="s">
        <v>101</v>
      </c>
      <c r="G106" t="s">
        <v>15</v>
      </c>
      <c r="H106" s="5">
        <v>7599</v>
      </c>
      <c r="I106" s="5">
        <v>6307.17</v>
      </c>
      <c r="J106" s="2">
        <v>0.15</v>
      </c>
    </row>
    <row r="107" spans="1:10" x14ac:dyDescent="0.25">
      <c r="A107" s="16">
        <v>96</v>
      </c>
      <c r="B107" s="22">
        <v>42439</v>
      </c>
      <c r="C107" s="16" t="s">
        <v>102</v>
      </c>
      <c r="D107" t="s">
        <v>17</v>
      </c>
      <c r="E107" t="s">
        <v>18</v>
      </c>
      <c r="F107" t="s">
        <v>103</v>
      </c>
      <c r="G107" t="s">
        <v>33</v>
      </c>
      <c r="H107" s="5">
        <v>899</v>
      </c>
      <c r="I107" s="5">
        <v>440.51</v>
      </c>
      <c r="J107" s="2">
        <v>0</v>
      </c>
    </row>
    <row r="108" spans="1:10" x14ac:dyDescent="0.25">
      <c r="A108" s="16">
        <v>97</v>
      </c>
      <c r="B108" s="22">
        <v>42404</v>
      </c>
      <c r="C108" s="16" t="s">
        <v>41</v>
      </c>
      <c r="D108" t="s">
        <v>22</v>
      </c>
      <c r="E108" t="s">
        <v>18</v>
      </c>
      <c r="F108" t="s">
        <v>42</v>
      </c>
      <c r="G108" t="s">
        <v>43</v>
      </c>
      <c r="H108" s="5">
        <v>1149</v>
      </c>
      <c r="I108" s="5">
        <v>896.22</v>
      </c>
      <c r="J108" s="2">
        <v>0.15</v>
      </c>
    </row>
    <row r="109" spans="1:10" x14ac:dyDescent="0.25">
      <c r="A109" s="16">
        <v>98</v>
      </c>
      <c r="B109" s="22">
        <v>42820</v>
      </c>
      <c r="C109" s="16" t="s">
        <v>16</v>
      </c>
      <c r="D109" t="s">
        <v>22</v>
      </c>
      <c r="E109" t="s">
        <v>18</v>
      </c>
      <c r="F109" t="s">
        <v>19</v>
      </c>
      <c r="G109" t="s">
        <v>20</v>
      </c>
      <c r="H109" s="5">
        <v>1149</v>
      </c>
      <c r="I109" s="5">
        <v>792.81</v>
      </c>
      <c r="J109" s="2">
        <v>0</v>
      </c>
    </row>
    <row r="110" spans="1:10" x14ac:dyDescent="0.25">
      <c r="A110" s="16">
        <v>99</v>
      </c>
      <c r="B110" s="22">
        <v>42512</v>
      </c>
      <c r="C110" s="16" t="s">
        <v>11</v>
      </c>
      <c r="D110" t="s">
        <v>12</v>
      </c>
      <c r="E110" t="s">
        <v>13</v>
      </c>
      <c r="F110" t="s">
        <v>14</v>
      </c>
      <c r="G110" t="s">
        <v>15</v>
      </c>
      <c r="H110" s="5">
        <v>1299</v>
      </c>
      <c r="I110" s="5">
        <v>727.44</v>
      </c>
      <c r="J110" s="2">
        <v>0.15</v>
      </c>
    </row>
    <row r="111" spans="1:10" x14ac:dyDescent="0.25">
      <c r="A111" s="16">
        <v>100</v>
      </c>
      <c r="B111" s="22">
        <v>42696</v>
      </c>
      <c r="C111" s="16" t="s">
        <v>104</v>
      </c>
      <c r="D111" t="s">
        <v>22</v>
      </c>
      <c r="E111" t="s">
        <v>23</v>
      </c>
      <c r="F111" t="s">
        <v>105</v>
      </c>
      <c r="G111" t="s">
        <v>15</v>
      </c>
      <c r="H111" s="5">
        <v>359</v>
      </c>
      <c r="I111" s="5">
        <v>294.38</v>
      </c>
      <c r="J111" s="2">
        <v>0</v>
      </c>
    </row>
    <row r="112" spans="1:10" x14ac:dyDescent="0.25">
      <c r="A112" s="16">
        <v>101</v>
      </c>
      <c r="B112" s="22">
        <v>42462</v>
      </c>
      <c r="C112" s="16" t="s">
        <v>90</v>
      </c>
      <c r="D112" t="s">
        <v>12</v>
      </c>
      <c r="E112" t="s">
        <v>35</v>
      </c>
      <c r="F112" t="s">
        <v>91</v>
      </c>
      <c r="G112" t="s">
        <v>15</v>
      </c>
      <c r="H112" s="5">
        <v>6999</v>
      </c>
      <c r="I112" s="5">
        <v>4829.3099999999995</v>
      </c>
      <c r="J112" s="2">
        <v>0</v>
      </c>
    </row>
    <row r="113" spans="1:10" x14ac:dyDescent="0.25">
      <c r="A113" s="16">
        <v>102</v>
      </c>
      <c r="B113" s="22">
        <v>42718</v>
      </c>
      <c r="C113" s="16" t="s">
        <v>88</v>
      </c>
      <c r="D113" t="s">
        <v>22</v>
      </c>
      <c r="E113" t="s">
        <v>86</v>
      </c>
      <c r="F113" t="s">
        <v>89</v>
      </c>
      <c r="G113" t="s">
        <v>15</v>
      </c>
      <c r="H113" s="5">
        <v>7999</v>
      </c>
      <c r="I113" s="5">
        <v>2399.6999999999998</v>
      </c>
      <c r="J113" s="2">
        <v>0</v>
      </c>
    </row>
    <row r="114" spans="1:10" x14ac:dyDescent="0.25">
      <c r="A114" s="16">
        <v>103</v>
      </c>
      <c r="B114" s="22">
        <v>42755</v>
      </c>
      <c r="C114" s="16" t="s">
        <v>29</v>
      </c>
      <c r="D114" t="s">
        <v>26</v>
      </c>
      <c r="E114" t="s">
        <v>27</v>
      </c>
      <c r="F114" t="s">
        <v>30</v>
      </c>
      <c r="G114" t="s">
        <v>15</v>
      </c>
      <c r="H114" s="5">
        <v>259</v>
      </c>
      <c r="I114" s="5">
        <v>220.15</v>
      </c>
      <c r="J114" s="2">
        <v>0</v>
      </c>
    </row>
    <row r="115" spans="1:10" x14ac:dyDescent="0.25">
      <c r="A115" s="16">
        <v>104</v>
      </c>
      <c r="B115" s="22">
        <v>42506</v>
      </c>
      <c r="C115" s="16" t="s">
        <v>51</v>
      </c>
      <c r="D115" t="s">
        <v>22</v>
      </c>
      <c r="E115" t="s">
        <v>23</v>
      </c>
      <c r="F115" t="s">
        <v>52</v>
      </c>
      <c r="G115" t="s">
        <v>15</v>
      </c>
      <c r="H115" s="5">
        <v>599</v>
      </c>
      <c r="I115" s="5">
        <v>455.24</v>
      </c>
      <c r="J115" s="2">
        <v>0.3</v>
      </c>
    </row>
    <row r="116" spans="1:10" x14ac:dyDescent="0.25">
      <c r="A116" s="16">
        <v>105</v>
      </c>
      <c r="B116" s="22">
        <v>42657</v>
      </c>
      <c r="C116" s="16" t="s">
        <v>79</v>
      </c>
      <c r="D116" t="s">
        <v>26</v>
      </c>
      <c r="E116" t="s">
        <v>27</v>
      </c>
      <c r="F116" t="s">
        <v>80</v>
      </c>
      <c r="G116" t="s">
        <v>15</v>
      </c>
      <c r="H116" s="5">
        <v>499</v>
      </c>
      <c r="I116" s="5">
        <v>174.64999999999998</v>
      </c>
      <c r="J116" s="2">
        <v>0.15</v>
      </c>
    </row>
    <row r="117" spans="1:10" x14ac:dyDescent="0.25">
      <c r="A117" s="16">
        <v>106</v>
      </c>
      <c r="B117" s="22">
        <v>42547</v>
      </c>
      <c r="C117" s="16" t="s">
        <v>31</v>
      </c>
      <c r="D117" t="s">
        <v>22</v>
      </c>
      <c r="E117" t="s">
        <v>18</v>
      </c>
      <c r="F117" t="s">
        <v>32</v>
      </c>
      <c r="G117" t="s">
        <v>33</v>
      </c>
      <c r="H117" s="5">
        <v>1199</v>
      </c>
      <c r="I117" s="5">
        <v>887.26</v>
      </c>
      <c r="J117" s="2">
        <v>0</v>
      </c>
    </row>
    <row r="118" spans="1:10" x14ac:dyDescent="0.25">
      <c r="A118" s="16">
        <v>107</v>
      </c>
      <c r="B118" s="22">
        <v>42438</v>
      </c>
      <c r="C118" s="16" t="s">
        <v>11</v>
      </c>
      <c r="D118" t="s">
        <v>12</v>
      </c>
      <c r="E118" t="s">
        <v>13</v>
      </c>
      <c r="F118" t="s">
        <v>14</v>
      </c>
      <c r="G118" t="s">
        <v>15</v>
      </c>
      <c r="H118" s="5">
        <v>1299</v>
      </c>
      <c r="I118" s="5">
        <v>727.44</v>
      </c>
      <c r="J118" s="2">
        <v>0.15</v>
      </c>
    </row>
    <row r="119" spans="1:10" x14ac:dyDescent="0.25">
      <c r="A119" s="16">
        <v>108</v>
      </c>
      <c r="B119" s="22">
        <v>42684</v>
      </c>
      <c r="C119" s="16" t="s">
        <v>61</v>
      </c>
      <c r="D119" t="s">
        <v>26</v>
      </c>
      <c r="E119" t="s">
        <v>45</v>
      </c>
      <c r="F119" t="s">
        <v>62</v>
      </c>
      <c r="G119" t="s">
        <v>15</v>
      </c>
      <c r="H119" s="5">
        <v>799</v>
      </c>
      <c r="I119" s="5">
        <v>679.15</v>
      </c>
      <c r="J119" s="2">
        <v>0.2</v>
      </c>
    </row>
    <row r="120" spans="1:10" x14ac:dyDescent="0.25">
      <c r="A120" s="16">
        <v>109</v>
      </c>
      <c r="B120" s="22">
        <v>42479</v>
      </c>
      <c r="C120" s="16" t="s">
        <v>11</v>
      </c>
      <c r="D120" t="s">
        <v>12</v>
      </c>
      <c r="E120" t="s">
        <v>13</v>
      </c>
      <c r="F120" t="s">
        <v>14</v>
      </c>
      <c r="G120" t="s">
        <v>15</v>
      </c>
      <c r="H120" s="5">
        <v>1299</v>
      </c>
      <c r="I120" s="5">
        <v>727.44</v>
      </c>
      <c r="J120" s="2">
        <v>0.15</v>
      </c>
    </row>
    <row r="121" spans="1:10" x14ac:dyDescent="0.25">
      <c r="A121" s="16">
        <v>110</v>
      </c>
      <c r="B121" s="22">
        <v>42583</v>
      </c>
      <c r="C121" s="16" t="s">
        <v>41</v>
      </c>
      <c r="D121" t="s">
        <v>22</v>
      </c>
      <c r="E121" t="s">
        <v>18</v>
      </c>
      <c r="F121" t="s">
        <v>42</v>
      </c>
      <c r="G121" t="s">
        <v>43</v>
      </c>
      <c r="H121" s="5">
        <v>1149</v>
      </c>
      <c r="I121" s="5">
        <v>896.22</v>
      </c>
      <c r="J121" s="2">
        <v>0</v>
      </c>
    </row>
    <row r="122" spans="1:10" x14ac:dyDescent="0.25">
      <c r="A122" s="16">
        <v>111</v>
      </c>
      <c r="B122" s="22">
        <v>42404</v>
      </c>
      <c r="C122" s="16" t="s">
        <v>74</v>
      </c>
      <c r="D122" t="s">
        <v>12</v>
      </c>
      <c r="E122" t="s">
        <v>13</v>
      </c>
      <c r="F122" t="s">
        <v>75</v>
      </c>
      <c r="G122" t="s">
        <v>15</v>
      </c>
      <c r="H122" s="5">
        <v>2599</v>
      </c>
      <c r="I122" s="5">
        <v>1819.3</v>
      </c>
      <c r="J122" s="2">
        <v>0.15</v>
      </c>
    </row>
    <row r="123" spans="1:10" x14ac:dyDescent="0.25">
      <c r="A123" s="16">
        <v>112</v>
      </c>
      <c r="B123" s="22">
        <v>42753</v>
      </c>
      <c r="C123" s="16" t="s">
        <v>106</v>
      </c>
      <c r="D123" t="s">
        <v>22</v>
      </c>
      <c r="E123" t="s">
        <v>23</v>
      </c>
      <c r="F123" t="s">
        <v>107</v>
      </c>
      <c r="G123" t="s">
        <v>15</v>
      </c>
      <c r="H123" s="5">
        <v>259</v>
      </c>
      <c r="I123" s="5">
        <v>111.37</v>
      </c>
      <c r="J123" s="2">
        <v>0</v>
      </c>
    </row>
    <row r="124" spans="1:10" x14ac:dyDescent="0.25">
      <c r="A124" s="16">
        <v>113</v>
      </c>
      <c r="B124" s="22">
        <v>42643</v>
      </c>
      <c r="C124" s="16" t="s">
        <v>53</v>
      </c>
      <c r="D124" t="s">
        <v>22</v>
      </c>
      <c r="E124" t="s">
        <v>18</v>
      </c>
      <c r="F124" t="s">
        <v>54</v>
      </c>
      <c r="G124" t="s">
        <v>33</v>
      </c>
      <c r="H124" s="5">
        <v>1299</v>
      </c>
      <c r="I124" s="5">
        <v>766.41</v>
      </c>
      <c r="J124" s="2">
        <v>0.2</v>
      </c>
    </row>
    <row r="125" spans="1:10" x14ac:dyDescent="0.25">
      <c r="A125" s="16">
        <v>114</v>
      </c>
      <c r="B125" s="22">
        <v>42424</v>
      </c>
      <c r="C125" s="16" t="s">
        <v>90</v>
      </c>
      <c r="D125" t="s">
        <v>12</v>
      </c>
      <c r="E125" t="s">
        <v>35</v>
      </c>
      <c r="F125" t="s">
        <v>91</v>
      </c>
      <c r="G125" t="s">
        <v>15</v>
      </c>
      <c r="H125" s="5">
        <v>6999</v>
      </c>
      <c r="I125" s="5">
        <v>4829.3099999999995</v>
      </c>
      <c r="J125" s="2">
        <v>0.15</v>
      </c>
    </row>
    <row r="126" spans="1:10" x14ac:dyDescent="0.25">
      <c r="A126" s="16">
        <v>115</v>
      </c>
      <c r="B126" s="22">
        <v>42546</v>
      </c>
      <c r="C126" s="16" t="s">
        <v>16</v>
      </c>
      <c r="D126" t="s">
        <v>22</v>
      </c>
      <c r="E126" t="s">
        <v>18</v>
      </c>
      <c r="F126" t="s">
        <v>19</v>
      </c>
      <c r="G126" t="s">
        <v>20</v>
      </c>
      <c r="H126" s="5">
        <v>1149</v>
      </c>
      <c r="I126" s="5">
        <v>792.81</v>
      </c>
      <c r="J126" s="2">
        <v>0.2</v>
      </c>
    </row>
    <row r="127" spans="1:10" x14ac:dyDescent="0.25">
      <c r="A127" s="16">
        <v>116</v>
      </c>
      <c r="B127" s="22">
        <v>42506</v>
      </c>
      <c r="C127" s="16" t="s">
        <v>92</v>
      </c>
      <c r="D127" t="s">
        <v>22</v>
      </c>
      <c r="E127" t="s">
        <v>86</v>
      </c>
      <c r="F127" t="s">
        <v>93</v>
      </c>
      <c r="G127" t="s">
        <v>15</v>
      </c>
      <c r="H127" s="5">
        <v>11999</v>
      </c>
      <c r="I127" s="5">
        <v>4199.6499999999996</v>
      </c>
      <c r="J127" s="2">
        <v>0.3</v>
      </c>
    </row>
    <row r="128" spans="1:10" x14ac:dyDescent="0.25">
      <c r="A128" s="16">
        <v>117</v>
      </c>
      <c r="B128" s="22">
        <v>42731</v>
      </c>
      <c r="C128" s="16" t="s">
        <v>25</v>
      </c>
      <c r="D128" t="s">
        <v>26</v>
      </c>
      <c r="E128" t="s">
        <v>27</v>
      </c>
      <c r="F128" t="s">
        <v>28</v>
      </c>
      <c r="G128" t="s">
        <v>15</v>
      </c>
      <c r="H128" s="5">
        <v>1499</v>
      </c>
      <c r="I128" s="5">
        <v>794.47</v>
      </c>
      <c r="J128" s="2">
        <v>0</v>
      </c>
    </row>
    <row r="129" spans="1:10" x14ac:dyDescent="0.25">
      <c r="A129" s="16">
        <v>118</v>
      </c>
      <c r="B129" s="22">
        <v>42684</v>
      </c>
      <c r="C129" s="16" t="s">
        <v>63</v>
      </c>
      <c r="D129" t="s">
        <v>12</v>
      </c>
      <c r="E129" t="s">
        <v>35</v>
      </c>
      <c r="F129" t="s">
        <v>64</v>
      </c>
      <c r="G129" t="s">
        <v>15</v>
      </c>
      <c r="H129" s="5">
        <v>13999</v>
      </c>
      <c r="I129" s="5">
        <v>9659.31</v>
      </c>
      <c r="J129" s="2">
        <v>0.2</v>
      </c>
    </row>
    <row r="130" spans="1:10" x14ac:dyDescent="0.25">
      <c r="A130" s="16">
        <v>119</v>
      </c>
      <c r="B130" s="22">
        <v>42643</v>
      </c>
      <c r="C130" s="16" t="s">
        <v>65</v>
      </c>
      <c r="D130" t="s">
        <v>12</v>
      </c>
      <c r="E130" t="s">
        <v>13</v>
      </c>
      <c r="F130" t="s">
        <v>66</v>
      </c>
      <c r="G130" t="s">
        <v>15</v>
      </c>
      <c r="H130" s="5">
        <v>1499</v>
      </c>
      <c r="I130" s="5">
        <v>584.61</v>
      </c>
      <c r="J130" s="2">
        <v>0.2</v>
      </c>
    </row>
    <row r="131" spans="1:10" x14ac:dyDescent="0.25">
      <c r="A131" s="16">
        <v>120</v>
      </c>
      <c r="B131" s="22">
        <v>42657</v>
      </c>
      <c r="C131" s="16" t="s">
        <v>25</v>
      </c>
      <c r="D131" t="s">
        <v>26</v>
      </c>
      <c r="E131" t="s">
        <v>27</v>
      </c>
      <c r="F131" t="s">
        <v>28</v>
      </c>
      <c r="G131" t="s">
        <v>15</v>
      </c>
      <c r="H131" s="5">
        <v>1499</v>
      </c>
      <c r="I131" s="5">
        <v>794.47</v>
      </c>
      <c r="J131" s="2">
        <v>0.15</v>
      </c>
    </row>
    <row r="132" spans="1:10" x14ac:dyDescent="0.25">
      <c r="A132" s="16">
        <v>121</v>
      </c>
      <c r="B132" s="22">
        <v>42454</v>
      </c>
      <c r="C132" s="16" t="s">
        <v>108</v>
      </c>
      <c r="D132" t="s">
        <v>22</v>
      </c>
      <c r="E132" t="s">
        <v>23</v>
      </c>
      <c r="F132" t="s">
        <v>109</v>
      </c>
      <c r="G132" t="s">
        <v>15</v>
      </c>
      <c r="H132" s="5">
        <v>1899</v>
      </c>
      <c r="I132" s="5">
        <v>1177.3799999999999</v>
      </c>
      <c r="J132" s="2">
        <v>0.15</v>
      </c>
    </row>
    <row r="133" spans="1:10" x14ac:dyDescent="0.25">
      <c r="A133" s="16">
        <v>122</v>
      </c>
      <c r="B133" s="22">
        <v>42604</v>
      </c>
      <c r="C133" s="16" t="s">
        <v>108</v>
      </c>
      <c r="D133" t="s">
        <v>22</v>
      </c>
      <c r="E133" t="s">
        <v>23</v>
      </c>
      <c r="F133" t="s">
        <v>109</v>
      </c>
      <c r="G133" t="s">
        <v>15</v>
      </c>
      <c r="H133" s="5">
        <v>1899</v>
      </c>
      <c r="I133" s="5">
        <v>1177.3799999999999</v>
      </c>
      <c r="J133" s="2">
        <v>0</v>
      </c>
    </row>
    <row r="134" spans="1:10" x14ac:dyDescent="0.25">
      <c r="A134" s="16">
        <v>123</v>
      </c>
      <c r="B134" s="22">
        <v>42455</v>
      </c>
      <c r="C134" s="16" t="s">
        <v>110</v>
      </c>
      <c r="D134" t="s">
        <v>12</v>
      </c>
      <c r="E134" t="s">
        <v>35</v>
      </c>
      <c r="F134" t="s">
        <v>111</v>
      </c>
      <c r="G134" t="s">
        <v>15</v>
      </c>
      <c r="H134" s="5">
        <v>4599</v>
      </c>
      <c r="I134" s="5">
        <v>1747.6200000000001</v>
      </c>
      <c r="J134" s="2">
        <v>0.2</v>
      </c>
    </row>
    <row r="135" spans="1:10" x14ac:dyDescent="0.25">
      <c r="A135" s="16">
        <v>124</v>
      </c>
      <c r="B135" s="22">
        <v>42477</v>
      </c>
      <c r="C135" s="16" t="s">
        <v>41</v>
      </c>
      <c r="D135" t="s">
        <v>22</v>
      </c>
      <c r="E135" t="s">
        <v>18</v>
      </c>
      <c r="F135" t="s">
        <v>42</v>
      </c>
      <c r="G135" t="s">
        <v>43</v>
      </c>
      <c r="H135" s="5">
        <v>1149</v>
      </c>
      <c r="I135" s="5">
        <v>896.22</v>
      </c>
      <c r="J135" s="2">
        <v>0</v>
      </c>
    </row>
    <row r="136" spans="1:10" x14ac:dyDescent="0.25">
      <c r="A136" s="16">
        <v>125</v>
      </c>
      <c r="B136" s="22">
        <v>42479</v>
      </c>
      <c r="C136" s="16" t="s">
        <v>112</v>
      </c>
      <c r="D136" t="s">
        <v>22</v>
      </c>
      <c r="E136" t="s">
        <v>23</v>
      </c>
      <c r="F136" t="s">
        <v>113</v>
      </c>
      <c r="G136" t="s">
        <v>15</v>
      </c>
      <c r="H136" s="5">
        <v>459</v>
      </c>
      <c r="I136" s="5">
        <v>325.89</v>
      </c>
      <c r="J136" s="2">
        <v>0.15</v>
      </c>
    </row>
    <row r="137" spans="1:10" x14ac:dyDescent="0.25">
      <c r="A137" s="16">
        <v>126</v>
      </c>
      <c r="B137" s="22">
        <v>42520</v>
      </c>
      <c r="C137" s="16" t="s">
        <v>41</v>
      </c>
      <c r="D137" t="s">
        <v>22</v>
      </c>
      <c r="E137" t="s">
        <v>18</v>
      </c>
      <c r="F137" t="s">
        <v>42</v>
      </c>
      <c r="G137" t="s">
        <v>43</v>
      </c>
      <c r="H137" s="5">
        <v>1149</v>
      </c>
      <c r="I137" s="5">
        <v>896.22</v>
      </c>
      <c r="J137" s="2">
        <v>0.2</v>
      </c>
    </row>
    <row r="138" spans="1:10" x14ac:dyDescent="0.25">
      <c r="A138" s="16">
        <v>127</v>
      </c>
      <c r="B138" s="22">
        <v>42424</v>
      </c>
      <c r="C138" s="16" t="s">
        <v>11</v>
      </c>
      <c r="D138" t="s">
        <v>12</v>
      </c>
      <c r="E138" t="s">
        <v>13</v>
      </c>
      <c r="F138" t="s">
        <v>14</v>
      </c>
      <c r="G138" t="s">
        <v>15</v>
      </c>
      <c r="H138" s="5">
        <v>1299</v>
      </c>
      <c r="I138" s="5">
        <v>727.44</v>
      </c>
      <c r="J138" s="2">
        <v>0.15</v>
      </c>
    </row>
    <row r="139" spans="1:10" x14ac:dyDescent="0.25">
      <c r="A139" s="16">
        <v>128</v>
      </c>
      <c r="B139" s="22">
        <v>42455</v>
      </c>
      <c r="C139" s="16" t="s">
        <v>41</v>
      </c>
      <c r="D139" t="s">
        <v>22</v>
      </c>
      <c r="E139" t="s">
        <v>18</v>
      </c>
      <c r="F139" t="s">
        <v>42</v>
      </c>
      <c r="G139" t="s">
        <v>43</v>
      </c>
      <c r="H139" s="5">
        <v>1149</v>
      </c>
      <c r="I139" s="5">
        <v>896.22</v>
      </c>
      <c r="J139" s="2">
        <v>0.2</v>
      </c>
    </row>
    <row r="140" spans="1:10" x14ac:dyDescent="0.25">
      <c r="A140" s="16">
        <v>129</v>
      </c>
      <c r="B140" s="22">
        <v>42545</v>
      </c>
      <c r="C140" s="16" t="s">
        <v>25</v>
      </c>
      <c r="D140" t="s">
        <v>26</v>
      </c>
      <c r="E140" t="s">
        <v>27</v>
      </c>
      <c r="F140" t="s">
        <v>28</v>
      </c>
      <c r="G140" t="s">
        <v>15</v>
      </c>
      <c r="H140" s="5">
        <v>1499</v>
      </c>
      <c r="I140" s="5">
        <v>794.47</v>
      </c>
      <c r="J140" s="2">
        <v>0</v>
      </c>
    </row>
    <row r="141" spans="1:10" x14ac:dyDescent="0.25">
      <c r="A141" s="16">
        <v>130</v>
      </c>
      <c r="B141" s="22">
        <v>42591</v>
      </c>
      <c r="C141" s="16" t="s">
        <v>44</v>
      </c>
      <c r="D141" t="s">
        <v>26</v>
      </c>
      <c r="E141" t="s">
        <v>45</v>
      </c>
      <c r="F141" t="s">
        <v>46</v>
      </c>
      <c r="G141" t="s">
        <v>15</v>
      </c>
      <c r="H141" s="5">
        <v>699</v>
      </c>
      <c r="I141" s="5">
        <v>531.24</v>
      </c>
      <c r="J141" s="2">
        <v>0</v>
      </c>
    </row>
    <row r="142" spans="1:10" x14ac:dyDescent="0.25">
      <c r="A142" s="16">
        <v>131</v>
      </c>
      <c r="B142" s="22">
        <v>42402</v>
      </c>
      <c r="C142" s="16" t="s">
        <v>85</v>
      </c>
      <c r="D142" t="s">
        <v>22</v>
      </c>
      <c r="E142" t="s">
        <v>86</v>
      </c>
      <c r="F142" t="s">
        <v>87</v>
      </c>
      <c r="G142" t="s">
        <v>15</v>
      </c>
      <c r="H142" s="5">
        <v>3999</v>
      </c>
      <c r="I142" s="5">
        <v>1399.6499999999999</v>
      </c>
      <c r="J142" s="2">
        <v>0.2</v>
      </c>
    </row>
    <row r="143" spans="1:10" x14ac:dyDescent="0.25">
      <c r="A143" s="16">
        <v>132</v>
      </c>
      <c r="B143" s="22">
        <v>42402</v>
      </c>
      <c r="C143" s="16" t="s">
        <v>92</v>
      </c>
      <c r="D143" t="s">
        <v>22</v>
      </c>
      <c r="E143" t="s">
        <v>86</v>
      </c>
      <c r="F143" t="s">
        <v>93</v>
      </c>
      <c r="G143" t="s">
        <v>15</v>
      </c>
      <c r="H143" s="5">
        <v>11999</v>
      </c>
      <c r="I143" s="5">
        <v>4199.6499999999996</v>
      </c>
      <c r="J143" s="2">
        <v>0.2</v>
      </c>
    </row>
    <row r="144" spans="1:10" x14ac:dyDescent="0.25">
      <c r="A144" s="16">
        <v>133</v>
      </c>
      <c r="B144" s="22">
        <v>42792</v>
      </c>
      <c r="C144" s="16" t="s">
        <v>53</v>
      </c>
      <c r="D144" t="s">
        <v>22</v>
      </c>
      <c r="E144" t="s">
        <v>18</v>
      </c>
      <c r="F144" t="s">
        <v>54</v>
      </c>
      <c r="G144" t="s">
        <v>33</v>
      </c>
      <c r="H144" s="5">
        <v>1299</v>
      </c>
      <c r="I144" s="5">
        <v>766.41</v>
      </c>
      <c r="J144" s="2">
        <v>0.1</v>
      </c>
    </row>
    <row r="145" spans="1:10" x14ac:dyDescent="0.25">
      <c r="A145" s="16">
        <v>134</v>
      </c>
      <c r="B145" s="22">
        <v>42449</v>
      </c>
      <c r="C145" s="16" t="s">
        <v>44</v>
      </c>
      <c r="D145" t="s">
        <v>26</v>
      </c>
      <c r="E145" t="s">
        <v>45</v>
      </c>
      <c r="F145" t="s">
        <v>46</v>
      </c>
      <c r="G145" t="s">
        <v>15</v>
      </c>
      <c r="H145" s="5">
        <v>699</v>
      </c>
      <c r="I145" s="5">
        <v>531.24</v>
      </c>
      <c r="J145" s="2">
        <v>0</v>
      </c>
    </row>
    <row r="146" spans="1:10" x14ac:dyDescent="0.25">
      <c r="A146" s="16">
        <v>135</v>
      </c>
      <c r="B146" s="22">
        <v>42520</v>
      </c>
      <c r="C146" s="16" t="s">
        <v>21</v>
      </c>
      <c r="D146" t="s">
        <v>22</v>
      </c>
      <c r="E146" t="s">
        <v>23</v>
      </c>
      <c r="F146" t="s">
        <v>24</v>
      </c>
      <c r="G146" t="s">
        <v>15</v>
      </c>
      <c r="H146" s="5">
        <v>359</v>
      </c>
      <c r="I146" s="5">
        <v>244.12</v>
      </c>
      <c r="J146" s="2">
        <v>0.2</v>
      </c>
    </row>
    <row r="147" spans="1:10" x14ac:dyDescent="0.25">
      <c r="A147" s="16">
        <v>136</v>
      </c>
      <c r="B147" s="22">
        <v>42721</v>
      </c>
      <c r="C147" s="16" t="s">
        <v>41</v>
      </c>
      <c r="D147" t="s">
        <v>22</v>
      </c>
      <c r="E147" t="s">
        <v>18</v>
      </c>
      <c r="F147" t="s">
        <v>42</v>
      </c>
      <c r="G147" t="s">
        <v>43</v>
      </c>
      <c r="H147" s="5">
        <v>1149</v>
      </c>
      <c r="I147" s="5">
        <v>896.22</v>
      </c>
      <c r="J147" s="2">
        <v>0</v>
      </c>
    </row>
    <row r="148" spans="1:10" x14ac:dyDescent="0.25">
      <c r="A148" s="16">
        <v>137</v>
      </c>
      <c r="B148" s="22">
        <v>42742</v>
      </c>
      <c r="C148" s="16" t="s">
        <v>21</v>
      </c>
      <c r="D148" t="s">
        <v>22</v>
      </c>
      <c r="E148" t="s">
        <v>23</v>
      </c>
      <c r="F148" t="s">
        <v>24</v>
      </c>
      <c r="G148" t="s">
        <v>15</v>
      </c>
      <c r="H148" s="5">
        <v>359</v>
      </c>
      <c r="I148" s="5">
        <v>244.12</v>
      </c>
      <c r="J148" s="2">
        <v>0</v>
      </c>
    </row>
    <row r="149" spans="1:10" x14ac:dyDescent="0.25">
      <c r="A149" s="16">
        <v>138</v>
      </c>
      <c r="B149" s="22">
        <v>42520</v>
      </c>
      <c r="C149" s="16" t="s">
        <v>41</v>
      </c>
      <c r="D149" t="s">
        <v>22</v>
      </c>
      <c r="E149" t="s">
        <v>18</v>
      </c>
      <c r="F149" t="s">
        <v>42</v>
      </c>
      <c r="G149" t="s">
        <v>43</v>
      </c>
      <c r="H149" s="5">
        <v>1149</v>
      </c>
      <c r="I149" s="5">
        <v>896.22</v>
      </c>
      <c r="J149" s="2">
        <v>0.2</v>
      </c>
    </row>
    <row r="150" spans="1:10" x14ac:dyDescent="0.25">
      <c r="A150" s="16">
        <v>139</v>
      </c>
      <c r="B150" s="22">
        <v>42404</v>
      </c>
      <c r="C150" s="16" t="s">
        <v>114</v>
      </c>
      <c r="D150" t="s">
        <v>22</v>
      </c>
      <c r="E150" t="s">
        <v>86</v>
      </c>
      <c r="F150" t="s">
        <v>115</v>
      </c>
      <c r="G150" t="s">
        <v>15</v>
      </c>
      <c r="H150" s="5">
        <v>7999</v>
      </c>
      <c r="I150" s="5">
        <v>5039.37</v>
      </c>
      <c r="J150" s="2">
        <v>0.15</v>
      </c>
    </row>
    <row r="151" spans="1:10" x14ac:dyDescent="0.25">
      <c r="A151" s="16">
        <v>140</v>
      </c>
      <c r="B151" s="22">
        <v>42710</v>
      </c>
      <c r="C151" s="16" t="s">
        <v>11</v>
      </c>
      <c r="D151" t="s">
        <v>12</v>
      </c>
      <c r="E151" t="s">
        <v>13</v>
      </c>
      <c r="F151" t="s">
        <v>14</v>
      </c>
      <c r="G151" t="s">
        <v>15</v>
      </c>
      <c r="H151" s="5">
        <v>1299</v>
      </c>
      <c r="I151" s="5">
        <v>727.44</v>
      </c>
      <c r="J151" s="2">
        <v>0</v>
      </c>
    </row>
    <row r="152" spans="1:10" x14ac:dyDescent="0.25">
      <c r="A152" s="16">
        <v>141</v>
      </c>
      <c r="B152" s="22">
        <v>42699</v>
      </c>
      <c r="C152" s="16" t="s">
        <v>21</v>
      </c>
      <c r="D152" t="s">
        <v>22</v>
      </c>
      <c r="E152" t="s">
        <v>23</v>
      </c>
      <c r="F152" t="s">
        <v>24</v>
      </c>
      <c r="G152" t="s">
        <v>15</v>
      </c>
      <c r="H152" s="5">
        <v>359</v>
      </c>
      <c r="I152" s="5">
        <v>244.12</v>
      </c>
      <c r="J152" s="2">
        <v>0.15</v>
      </c>
    </row>
    <row r="153" spans="1:10" x14ac:dyDescent="0.25">
      <c r="A153" s="16">
        <v>142</v>
      </c>
      <c r="B153" s="22">
        <v>42787</v>
      </c>
      <c r="C153" s="16" t="s">
        <v>116</v>
      </c>
      <c r="D153" t="s">
        <v>22</v>
      </c>
      <c r="E153" t="s">
        <v>86</v>
      </c>
      <c r="F153" t="s">
        <v>117</v>
      </c>
      <c r="G153" t="s">
        <v>15</v>
      </c>
      <c r="H153" s="5">
        <v>5999</v>
      </c>
      <c r="I153" s="5">
        <v>3659.39</v>
      </c>
      <c r="J153" s="2">
        <v>0.1</v>
      </c>
    </row>
    <row r="154" spans="1:10" x14ac:dyDescent="0.25">
      <c r="A154" s="16">
        <v>143</v>
      </c>
      <c r="B154" s="22">
        <v>42608</v>
      </c>
      <c r="C154" s="16" t="s">
        <v>63</v>
      </c>
      <c r="D154" t="s">
        <v>12</v>
      </c>
      <c r="E154" t="s">
        <v>35</v>
      </c>
      <c r="F154" t="s">
        <v>64</v>
      </c>
      <c r="G154" t="s">
        <v>15</v>
      </c>
      <c r="H154" s="5">
        <v>13999</v>
      </c>
      <c r="I154" s="5">
        <v>9659.31</v>
      </c>
      <c r="J154" s="2">
        <v>0</v>
      </c>
    </row>
    <row r="155" spans="1:10" x14ac:dyDescent="0.25">
      <c r="A155" s="16">
        <v>144</v>
      </c>
      <c r="B155" s="22">
        <v>42737</v>
      </c>
      <c r="C155" s="16" t="s">
        <v>31</v>
      </c>
      <c r="D155" t="s">
        <v>22</v>
      </c>
      <c r="E155" t="s">
        <v>18</v>
      </c>
      <c r="F155" t="s">
        <v>32</v>
      </c>
      <c r="G155" t="s">
        <v>33</v>
      </c>
      <c r="H155" s="5">
        <v>1199</v>
      </c>
      <c r="I155" s="5">
        <v>887.26</v>
      </c>
      <c r="J155" s="2">
        <v>0</v>
      </c>
    </row>
    <row r="156" spans="1:10" x14ac:dyDescent="0.25">
      <c r="A156" s="16">
        <v>145</v>
      </c>
      <c r="B156" s="22">
        <v>42657</v>
      </c>
      <c r="C156" s="16" t="s">
        <v>118</v>
      </c>
      <c r="D156" t="s">
        <v>22</v>
      </c>
      <c r="E156" t="s">
        <v>18</v>
      </c>
      <c r="F156" t="s">
        <v>119</v>
      </c>
      <c r="G156" t="s">
        <v>43</v>
      </c>
      <c r="H156" s="5">
        <v>1299</v>
      </c>
      <c r="I156" s="5">
        <v>597.54000000000008</v>
      </c>
      <c r="J156" s="2">
        <v>0.15</v>
      </c>
    </row>
    <row r="157" spans="1:10" x14ac:dyDescent="0.25">
      <c r="A157" s="16">
        <v>146</v>
      </c>
      <c r="B157" s="22">
        <v>42800</v>
      </c>
      <c r="C157" s="16" t="s">
        <v>53</v>
      </c>
      <c r="D157" t="s">
        <v>22</v>
      </c>
      <c r="E157" t="s">
        <v>18</v>
      </c>
      <c r="F157" t="s">
        <v>54</v>
      </c>
      <c r="G157" t="s">
        <v>33</v>
      </c>
      <c r="H157" s="5">
        <v>1299</v>
      </c>
      <c r="I157" s="5">
        <v>766.41</v>
      </c>
      <c r="J157" s="2">
        <v>0</v>
      </c>
    </row>
    <row r="158" spans="1:10" x14ac:dyDescent="0.25">
      <c r="A158" s="16">
        <v>147</v>
      </c>
      <c r="B158" s="22">
        <v>42402</v>
      </c>
      <c r="C158" s="16" t="s">
        <v>102</v>
      </c>
      <c r="D158" t="s">
        <v>22</v>
      </c>
      <c r="E158" t="s">
        <v>18</v>
      </c>
      <c r="F158" t="s">
        <v>103</v>
      </c>
      <c r="G158" t="s">
        <v>33</v>
      </c>
      <c r="H158" s="5">
        <v>899</v>
      </c>
      <c r="I158" s="5">
        <v>440.51</v>
      </c>
      <c r="J158" s="2">
        <v>0.2</v>
      </c>
    </row>
    <row r="159" spans="1:10" x14ac:dyDescent="0.25">
      <c r="A159" s="16">
        <v>148</v>
      </c>
      <c r="B159" s="22">
        <v>42719</v>
      </c>
      <c r="C159" s="16" t="s">
        <v>120</v>
      </c>
      <c r="D159" t="s">
        <v>22</v>
      </c>
      <c r="E159" t="s">
        <v>23</v>
      </c>
      <c r="F159" t="s">
        <v>121</v>
      </c>
      <c r="G159" t="s">
        <v>15</v>
      </c>
      <c r="H159" s="5">
        <v>169</v>
      </c>
      <c r="I159" s="5">
        <v>130.13</v>
      </c>
      <c r="J159" s="2">
        <v>0</v>
      </c>
    </row>
    <row r="160" spans="1:10" x14ac:dyDescent="0.25">
      <c r="A160" s="16">
        <v>149</v>
      </c>
      <c r="B160" s="22">
        <v>42438</v>
      </c>
      <c r="C160" s="16" t="s">
        <v>16</v>
      </c>
      <c r="D160" t="s">
        <v>22</v>
      </c>
      <c r="E160" t="s">
        <v>18</v>
      </c>
      <c r="F160" t="s">
        <v>19</v>
      </c>
      <c r="G160" t="s">
        <v>20</v>
      </c>
      <c r="H160" s="5">
        <v>1149</v>
      </c>
      <c r="I160" s="5">
        <v>792.81</v>
      </c>
      <c r="J160" s="2">
        <v>0.15</v>
      </c>
    </row>
    <row r="161" spans="1:10" x14ac:dyDescent="0.25">
      <c r="A161" s="16">
        <v>150</v>
      </c>
      <c r="B161" s="22">
        <v>42479</v>
      </c>
      <c r="C161" s="16" t="s">
        <v>44</v>
      </c>
      <c r="D161" t="s">
        <v>26</v>
      </c>
      <c r="E161" t="s">
        <v>45</v>
      </c>
      <c r="F161" t="s">
        <v>46</v>
      </c>
      <c r="G161" t="s">
        <v>15</v>
      </c>
      <c r="H161" s="5">
        <v>699</v>
      </c>
      <c r="I161" s="5">
        <v>531.24</v>
      </c>
      <c r="J161" s="2">
        <v>0.15</v>
      </c>
    </row>
    <row r="162" spans="1:10" x14ac:dyDescent="0.25">
      <c r="A162" s="16">
        <v>151</v>
      </c>
      <c r="B162" s="22">
        <v>42762</v>
      </c>
      <c r="C162" s="16" t="s">
        <v>31</v>
      </c>
      <c r="D162" t="s">
        <v>22</v>
      </c>
      <c r="E162" t="s">
        <v>18</v>
      </c>
      <c r="F162" t="s">
        <v>32</v>
      </c>
      <c r="G162" t="s">
        <v>33</v>
      </c>
      <c r="H162" s="5">
        <v>1199</v>
      </c>
      <c r="I162" s="5">
        <v>887.26</v>
      </c>
      <c r="J162" s="2">
        <v>0.15</v>
      </c>
    </row>
    <row r="163" spans="1:10" x14ac:dyDescent="0.25">
      <c r="A163" s="16">
        <v>152</v>
      </c>
      <c r="B163" s="22">
        <v>42643</v>
      </c>
      <c r="C163" s="16" t="s">
        <v>61</v>
      </c>
      <c r="D163" t="s">
        <v>26</v>
      </c>
      <c r="E163" t="s">
        <v>45</v>
      </c>
      <c r="F163" t="s">
        <v>62</v>
      </c>
      <c r="G163" t="s">
        <v>15</v>
      </c>
      <c r="H163" s="5">
        <v>799</v>
      </c>
      <c r="I163" s="5">
        <v>679.15</v>
      </c>
      <c r="J163" s="2">
        <v>0.2</v>
      </c>
    </row>
    <row r="164" spans="1:10" x14ac:dyDescent="0.25">
      <c r="A164" s="16">
        <v>153</v>
      </c>
      <c r="B164" s="22">
        <v>42438</v>
      </c>
      <c r="C164" s="16" t="s">
        <v>94</v>
      </c>
      <c r="D164" t="s">
        <v>26</v>
      </c>
      <c r="E164" t="s">
        <v>45</v>
      </c>
      <c r="F164" t="s">
        <v>95</v>
      </c>
      <c r="G164" t="s">
        <v>15</v>
      </c>
      <c r="H164" s="5">
        <v>819</v>
      </c>
      <c r="I164" s="5">
        <v>319.41000000000003</v>
      </c>
      <c r="J164" s="2">
        <v>0.15</v>
      </c>
    </row>
    <row r="165" spans="1:10" x14ac:dyDescent="0.25">
      <c r="A165" s="16">
        <v>154</v>
      </c>
      <c r="B165" s="22">
        <v>42520</v>
      </c>
      <c r="C165" s="16" t="s">
        <v>98</v>
      </c>
      <c r="D165" t="s">
        <v>22</v>
      </c>
      <c r="E165" t="s">
        <v>86</v>
      </c>
      <c r="F165" t="s">
        <v>99</v>
      </c>
      <c r="G165" t="s">
        <v>15</v>
      </c>
      <c r="H165" s="5">
        <v>5999</v>
      </c>
      <c r="I165" s="5">
        <v>3419.43</v>
      </c>
      <c r="J165" s="2">
        <v>0.2</v>
      </c>
    </row>
    <row r="166" spans="1:10" x14ac:dyDescent="0.25">
      <c r="A166" s="16">
        <v>155</v>
      </c>
      <c r="B166" s="22">
        <v>42506</v>
      </c>
      <c r="C166" s="16" t="s">
        <v>76</v>
      </c>
      <c r="D166" t="s">
        <v>22</v>
      </c>
      <c r="E166" t="s">
        <v>18</v>
      </c>
      <c r="F166" t="s">
        <v>77</v>
      </c>
      <c r="G166" t="s">
        <v>78</v>
      </c>
      <c r="H166" s="5">
        <v>799</v>
      </c>
      <c r="I166" s="5">
        <v>631.21</v>
      </c>
      <c r="J166" s="2">
        <v>0.3</v>
      </c>
    </row>
    <row r="167" spans="1:10" x14ac:dyDescent="0.25">
      <c r="A167" s="16">
        <v>156</v>
      </c>
      <c r="B167" s="22">
        <v>42506</v>
      </c>
      <c r="C167" s="16" t="s">
        <v>96</v>
      </c>
      <c r="D167" t="s">
        <v>12</v>
      </c>
      <c r="E167" t="s">
        <v>35</v>
      </c>
      <c r="F167" t="s">
        <v>97</v>
      </c>
      <c r="G167" t="s">
        <v>15</v>
      </c>
      <c r="H167" s="5">
        <v>11999</v>
      </c>
      <c r="I167" s="5">
        <v>7799.35</v>
      </c>
      <c r="J167" s="2">
        <v>0.3</v>
      </c>
    </row>
    <row r="168" spans="1:10" x14ac:dyDescent="0.25">
      <c r="A168" s="16">
        <v>157</v>
      </c>
      <c r="B168" s="22">
        <v>42471</v>
      </c>
      <c r="C168" s="16" t="s">
        <v>25</v>
      </c>
      <c r="D168" t="s">
        <v>26</v>
      </c>
      <c r="E168" t="s">
        <v>27</v>
      </c>
      <c r="F168" t="s">
        <v>28</v>
      </c>
      <c r="G168" t="s">
        <v>15</v>
      </c>
      <c r="H168" s="5">
        <v>1499</v>
      </c>
      <c r="I168" s="5">
        <v>794.47</v>
      </c>
      <c r="J168" s="2">
        <v>0</v>
      </c>
    </row>
    <row r="169" spans="1:10" x14ac:dyDescent="0.25">
      <c r="A169" s="16">
        <v>158</v>
      </c>
      <c r="B169" s="22">
        <v>42664</v>
      </c>
      <c r="C169" s="16" t="s">
        <v>122</v>
      </c>
      <c r="D169" t="s">
        <v>22</v>
      </c>
      <c r="E169" t="s">
        <v>23</v>
      </c>
      <c r="F169" t="s">
        <v>123</v>
      </c>
      <c r="G169" t="s">
        <v>15</v>
      </c>
      <c r="H169" s="5">
        <v>999</v>
      </c>
      <c r="I169" s="5">
        <v>569.42999999999995</v>
      </c>
      <c r="J169" s="2">
        <v>0</v>
      </c>
    </row>
    <row r="170" spans="1:10" x14ac:dyDescent="0.25">
      <c r="A170" s="16">
        <v>159</v>
      </c>
      <c r="B170" s="22">
        <v>42764</v>
      </c>
      <c r="C170" s="16" t="s">
        <v>114</v>
      </c>
      <c r="D170" t="s">
        <v>22</v>
      </c>
      <c r="E170" t="s">
        <v>86</v>
      </c>
      <c r="F170" t="s">
        <v>115</v>
      </c>
      <c r="G170" t="s">
        <v>15</v>
      </c>
      <c r="H170" s="5">
        <v>7999</v>
      </c>
      <c r="I170" s="5">
        <v>5039.37</v>
      </c>
      <c r="J170" s="2">
        <v>0</v>
      </c>
    </row>
    <row r="171" spans="1:10" x14ac:dyDescent="0.25">
      <c r="A171" s="16">
        <v>160</v>
      </c>
      <c r="B171" s="22">
        <v>42402</v>
      </c>
      <c r="C171" s="16" t="s">
        <v>90</v>
      </c>
      <c r="D171" t="s">
        <v>12</v>
      </c>
      <c r="E171" t="s">
        <v>35</v>
      </c>
      <c r="F171" t="s">
        <v>91</v>
      </c>
      <c r="G171" t="s">
        <v>15</v>
      </c>
      <c r="H171" s="5">
        <v>6999</v>
      </c>
      <c r="I171" s="5">
        <v>4829.3099999999995</v>
      </c>
      <c r="J171" s="2">
        <v>0.2</v>
      </c>
    </row>
    <row r="172" spans="1:10" x14ac:dyDescent="0.25">
      <c r="A172" s="16">
        <v>161</v>
      </c>
      <c r="B172" s="22">
        <v>42645</v>
      </c>
      <c r="C172" s="16" t="s">
        <v>122</v>
      </c>
      <c r="D172" t="s">
        <v>22</v>
      </c>
      <c r="E172" t="s">
        <v>23</v>
      </c>
      <c r="F172" t="s">
        <v>123</v>
      </c>
      <c r="G172" t="s">
        <v>15</v>
      </c>
      <c r="H172" s="5">
        <v>999</v>
      </c>
      <c r="I172" s="5">
        <v>569.42999999999995</v>
      </c>
      <c r="J172" s="2">
        <v>0</v>
      </c>
    </row>
    <row r="173" spans="1:10" x14ac:dyDescent="0.25">
      <c r="A173" s="16">
        <v>162</v>
      </c>
      <c r="B173" s="22">
        <v>42376</v>
      </c>
      <c r="C173" s="16" t="s">
        <v>21</v>
      </c>
      <c r="D173" t="s">
        <v>22</v>
      </c>
      <c r="E173" t="s">
        <v>23</v>
      </c>
      <c r="F173" t="s">
        <v>24</v>
      </c>
      <c r="G173" t="s">
        <v>15</v>
      </c>
      <c r="H173" s="5">
        <v>359</v>
      </c>
      <c r="I173" s="5">
        <v>244.12</v>
      </c>
      <c r="J173" s="2">
        <v>0</v>
      </c>
    </row>
    <row r="174" spans="1:10" x14ac:dyDescent="0.25">
      <c r="A174" s="16">
        <v>163</v>
      </c>
      <c r="B174" s="22">
        <v>42454</v>
      </c>
      <c r="C174" s="16" t="s">
        <v>72</v>
      </c>
      <c r="D174" t="s">
        <v>22</v>
      </c>
      <c r="E174" t="s">
        <v>18</v>
      </c>
      <c r="F174" t="s">
        <v>73</v>
      </c>
      <c r="G174" t="s">
        <v>69</v>
      </c>
      <c r="H174" s="5">
        <v>799</v>
      </c>
      <c r="I174" s="5">
        <v>535.33000000000004</v>
      </c>
      <c r="J174" s="2">
        <v>0.15</v>
      </c>
    </row>
    <row r="175" spans="1:10" x14ac:dyDescent="0.25">
      <c r="A175" s="16">
        <v>164</v>
      </c>
      <c r="B175" s="22">
        <v>42424</v>
      </c>
      <c r="C175" s="16" t="s">
        <v>11</v>
      </c>
      <c r="D175" t="s">
        <v>12</v>
      </c>
      <c r="E175" t="s">
        <v>13</v>
      </c>
      <c r="F175" t="s">
        <v>14</v>
      </c>
      <c r="G175" t="s">
        <v>15</v>
      </c>
      <c r="H175" s="5">
        <v>1299</v>
      </c>
      <c r="I175" s="5">
        <v>727.44</v>
      </c>
      <c r="J175" s="2">
        <v>0.15</v>
      </c>
    </row>
    <row r="176" spans="1:10" x14ac:dyDescent="0.25">
      <c r="A176" s="16">
        <v>165</v>
      </c>
      <c r="B176" s="22">
        <v>42672</v>
      </c>
      <c r="C176" s="16" t="s">
        <v>74</v>
      </c>
      <c r="D176" t="s">
        <v>12</v>
      </c>
      <c r="E176" t="s">
        <v>13</v>
      </c>
      <c r="F176" t="s">
        <v>75</v>
      </c>
      <c r="G176" t="s">
        <v>15</v>
      </c>
      <c r="H176" s="5">
        <v>2599</v>
      </c>
      <c r="I176" s="5">
        <v>1819.3</v>
      </c>
      <c r="J176" s="2">
        <v>0.15</v>
      </c>
    </row>
    <row r="177" spans="1:10" x14ac:dyDescent="0.25">
      <c r="A177" s="16">
        <v>166</v>
      </c>
      <c r="B177" s="22">
        <v>42575</v>
      </c>
      <c r="C177" s="16" t="s">
        <v>59</v>
      </c>
      <c r="D177" t="s">
        <v>12</v>
      </c>
      <c r="E177" t="s">
        <v>35</v>
      </c>
      <c r="F177" t="s">
        <v>60</v>
      </c>
      <c r="G177" t="s">
        <v>15</v>
      </c>
      <c r="H177" s="5">
        <v>8999</v>
      </c>
      <c r="I177" s="5">
        <v>4499.5</v>
      </c>
      <c r="J177" s="2">
        <v>0.2</v>
      </c>
    </row>
    <row r="178" spans="1:10" x14ac:dyDescent="0.25">
      <c r="A178" s="16">
        <v>167</v>
      </c>
      <c r="B178" s="22">
        <v>42575</v>
      </c>
      <c r="C178" s="16" t="s">
        <v>16</v>
      </c>
      <c r="D178" t="s">
        <v>22</v>
      </c>
      <c r="E178" t="s">
        <v>18</v>
      </c>
      <c r="F178" t="s">
        <v>19</v>
      </c>
      <c r="G178" t="s">
        <v>20</v>
      </c>
      <c r="H178" s="5">
        <v>1149</v>
      </c>
      <c r="I178" s="5">
        <v>792.81</v>
      </c>
      <c r="J178" s="2">
        <v>0.2</v>
      </c>
    </row>
    <row r="179" spans="1:10" x14ac:dyDescent="0.25">
      <c r="A179" s="16">
        <v>168</v>
      </c>
      <c r="B179" s="22">
        <v>42506</v>
      </c>
      <c r="C179" s="16" t="s">
        <v>79</v>
      </c>
      <c r="D179" t="s">
        <v>26</v>
      </c>
      <c r="E179" t="s">
        <v>27</v>
      </c>
      <c r="F179" t="s">
        <v>80</v>
      </c>
      <c r="G179" t="s">
        <v>15</v>
      </c>
      <c r="H179" s="5">
        <v>499</v>
      </c>
      <c r="I179" s="5">
        <v>174.64999999999998</v>
      </c>
      <c r="J179" s="2">
        <v>0.3</v>
      </c>
    </row>
    <row r="180" spans="1:10" x14ac:dyDescent="0.25">
      <c r="A180" s="16">
        <v>169</v>
      </c>
      <c r="B180" s="22">
        <v>42643</v>
      </c>
      <c r="C180" s="16" t="s">
        <v>114</v>
      </c>
      <c r="D180" t="s">
        <v>22</v>
      </c>
      <c r="E180" t="s">
        <v>86</v>
      </c>
      <c r="F180" t="s">
        <v>115</v>
      </c>
      <c r="G180" t="s">
        <v>15</v>
      </c>
      <c r="H180" s="5">
        <v>7999</v>
      </c>
      <c r="I180" s="5">
        <v>5039.37</v>
      </c>
      <c r="J180" s="2">
        <v>0.2</v>
      </c>
    </row>
    <row r="181" spans="1:10" x14ac:dyDescent="0.25">
      <c r="A181" s="16">
        <v>170</v>
      </c>
      <c r="B181" s="22">
        <v>42438</v>
      </c>
      <c r="C181" s="16" t="s">
        <v>47</v>
      </c>
      <c r="D181" t="s">
        <v>26</v>
      </c>
      <c r="E181" t="s">
        <v>27</v>
      </c>
      <c r="F181" t="s">
        <v>48</v>
      </c>
      <c r="G181" t="s">
        <v>15</v>
      </c>
      <c r="H181" s="5">
        <v>699</v>
      </c>
      <c r="I181" s="5">
        <v>482.30999999999995</v>
      </c>
      <c r="J181" s="2">
        <v>0.15</v>
      </c>
    </row>
    <row r="182" spans="1:10" x14ac:dyDescent="0.25">
      <c r="A182" s="16">
        <v>171</v>
      </c>
      <c r="B182" s="22">
        <v>42530</v>
      </c>
      <c r="C182" s="16" t="s">
        <v>25</v>
      </c>
      <c r="D182" t="s">
        <v>26</v>
      </c>
      <c r="E182" t="s">
        <v>27</v>
      </c>
      <c r="F182" t="s">
        <v>28</v>
      </c>
      <c r="G182" t="s">
        <v>15</v>
      </c>
      <c r="H182" s="5">
        <v>1499</v>
      </c>
      <c r="I182" s="5">
        <v>794.47</v>
      </c>
      <c r="J182" s="2">
        <v>0</v>
      </c>
    </row>
    <row r="183" spans="1:10" x14ac:dyDescent="0.25">
      <c r="A183" s="16">
        <v>172</v>
      </c>
      <c r="B183" s="22">
        <v>42762</v>
      </c>
      <c r="C183" s="16" t="s">
        <v>61</v>
      </c>
      <c r="D183" t="s">
        <v>26</v>
      </c>
      <c r="E183" t="s">
        <v>45</v>
      </c>
      <c r="F183" t="s">
        <v>62</v>
      </c>
      <c r="G183" t="s">
        <v>15</v>
      </c>
      <c r="H183" s="5">
        <v>799</v>
      </c>
      <c r="I183" s="5">
        <v>679.15</v>
      </c>
      <c r="J183" s="2">
        <v>0.15</v>
      </c>
    </row>
    <row r="184" spans="1:10" x14ac:dyDescent="0.25">
      <c r="A184" s="16">
        <v>173</v>
      </c>
      <c r="B184" s="22">
        <v>42656</v>
      </c>
      <c r="C184" s="16" t="s">
        <v>124</v>
      </c>
      <c r="D184" t="s">
        <v>22</v>
      </c>
      <c r="E184" t="s">
        <v>86</v>
      </c>
      <c r="F184" t="s">
        <v>125</v>
      </c>
      <c r="G184" t="s">
        <v>15</v>
      </c>
      <c r="H184" s="5">
        <v>11999</v>
      </c>
      <c r="I184" s="5">
        <v>6119.49</v>
      </c>
      <c r="J184" s="2">
        <v>0</v>
      </c>
    </row>
    <row r="185" spans="1:10" x14ac:dyDescent="0.25">
      <c r="A185" s="16">
        <v>174</v>
      </c>
      <c r="B185" s="22">
        <v>42505</v>
      </c>
      <c r="C185" s="16" t="s">
        <v>21</v>
      </c>
      <c r="D185" t="s">
        <v>22</v>
      </c>
      <c r="E185" t="s">
        <v>23</v>
      </c>
      <c r="F185" t="s">
        <v>24</v>
      </c>
      <c r="G185" t="s">
        <v>15</v>
      </c>
      <c r="H185" s="5">
        <v>359</v>
      </c>
      <c r="I185" s="5">
        <v>244.12</v>
      </c>
      <c r="J185" s="2">
        <v>0</v>
      </c>
    </row>
    <row r="186" spans="1:10" x14ac:dyDescent="0.25">
      <c r="A186" s="16">
        <v>175</v>
      </c>
      <c r="B186" s="22">
        <v>42524</v>
      </c>
      <c r="C186" s="16" t="s">
        <v>11</v>
      </c>
      <c r="D186" t="s">
        <v>12</v>
      </c>
      <c r="E186" t="s">
        <v>13</v>
      </c>
      <c r="F186" t="s">
        <v>14</v>
      </c>
      <c r="G186" t="s">
        <v>15</v>
      </c>
      <c r="H186" s="5">
        <v>1299</v>
      </c>
      <c r="I186" s="5">
        <v>727.44</v>
      </c>
      <c r="J186" s="2">
        <v>0</v>
      </c>
    </row>
    <row r="187" spans="1:10" x14ac:dyDescent="0.25">
      <c r="A187" s="16">
        <v>176</v>
      </c>
      <c r="B187" s="22">
        <v>42407</v>
      </c>
      <c r="C187" s="16" t="s">
        <v>114</v>
      </c>
      <c r="D187" t="s">
        <v>17</v>
      </c>
      <c r="E187" t="s">
        <v>86</v>
      </c>
      <c r="F187" t="s">
        <v>115</v>
      </c>
      <c r="G187" t="s">
        <v>15</v>
      </c>
      <c r="H187" s="5">
        <v>7999</v>
      </c>
      <c r="I187" s="5">
        <v>5039.37</v>
      </c>
      <c r="J187" s="2">
        <v>0</v>
      </c>
    </row>
    <row r="188" spans="1:10" x14ac:dyDescent="0.25">
      <c r="A188" s="16">
        <v>177</v>
      </c>
      <c r="B188" s="22">
        <v>42645</v>
      </c>
      <c r="C188" s="16" t="s">
        <v>16</v>
      </c>
      <c r="D188" t="s">
        <v>22</v>
      </c>
      <c r="E188" t="s">
        <v>18</v>
      </c>
      <c r="F188" t="s">
        <v>19</v>
      </c>
      <c r="G188" t="s">
        <v>20</v>
      </c>
      <c r="H188" s="5">
        <v>1149</v>
      </c>
      <c r="I188" s="5">
        <v>792.81</v>
      </c>
      <c r="J188" s="2">
        <v>0</v>
      </c>
    </row>
    <row r="189" spans="1:10" x14ac:dyDescent="0.25">
      <c r="A189" s="16">
        <v>178</v>
      </c>
      <c r="B189" s="22">
        <v>42438</v>
      </c>
      <c r="C189" s="16" t="s">
        <v>108</v>
      </c>
      <c r="D189" t="s">
        <v>22</v>
      </c>
      <c r="E189" t="s">
        <v>23</v>
      </c>
      <c r="F189" t="s">
        <v>109</v>
      </c>
      <c r="G189" t="s">
        <v>15</v>
      </c>
      <c r="H189" s="5">
        <v>1899</v>
      </c>
      <c r="I189" s="5">
        <v>1177.3799999999999</v>
      </c>
      <c r="J189" s="2">
        <v>0.15</v>
      </c>
    </row>
    <row r="190" spans="1:10" x14ac:dyDescent="0.25">
      <c r="A190" s="16">
        <v>179</v>
      </c>
      <c r="B190" s="22">
        <v>42657</v>
      </c>
      <c r="C190" s="16" t="s">
        <v>126</v>
      </c>
      <c r="D190" t="s">
        <v>26</v>
      </c>
      <c r="E190" t="s">
        <v>27</v>
      </c>
      <c r="F190" t="s">
        <v>127</v>
      </c>
      <c r="G190" t="s">
        <v>15</v>
      </c>
      <c r="H190" s="5">
        <v>299</v>
      </c>
      <c r="I190" s="5">
        <v>179.4</v>
      </c>
      <c r="J190" s="2">
        <v>0.15</v>
      </c>
    </row>
    <row r="191" spans="1:10" x14ac:dyDescent="0.25">
      <c r="A191" s="16">
        <v>180</v>
      </c>
      <c r="B191" s="22">
        <v>42782</v>
      </c>
      <c r="C191" s="16" t="s">
        <v>51</v>
      </c>
      <c r="D191" t="s">
        <v>22</v>
      </c>
      <c r="E191" t="s">
        <v>23</v>
      </c>
      <c r="F191" t="s">
        <v>52</v>
      </c>
      <c r="G191" t="s">
        <v>15</v>
      </c>
      <c r="H191" s="5">
        <v>599</v>
      </c>
      <c r="I191" s="5">
        <v>455.24</v>
      </c>
      <c r="J191" s="2">
        <v>0</v>
      </c>
    </row>
    <row r="192" spans="1:10" x14ac:dyDescent="0.25">
      <c r="A192" s="16">
        <v>181</v>
      </c>
      <c r="B192" s="22">
        <v>42497</v>
      </c>
      <c r="C192" s="16" t="s">
        <v>11</v>
      </c>
      <c r="D192" t="s">
        <v>12</v>
      </c>
      <c r="E192" t="s">
        <v>13</v>
      </c>
      <c r="F192" t="s">
        <v>14</v>
      </c>
      <c r="G192" t="s">
        <v>15</v>
      </c>
      <c r="H192" s="5">
        <v>1299</v>
      </c>
      <c r="I192" s="5">
        <v>727.44</v>
      </c>
      <c r="J192" s="2">
        <v>0</v>
      </c>
    </row>
    <row r="193" spans="1:10" x14ac:dyDescent="0.25">
      <c r="A193" s="16">
        <v>182</v>
      </c>
      <c r="B193" s="22">
        <v>42520</v>
      </c>
      <c r="C193" s="16" t="s">
        <v>11</v>
      </c>
      <c r="D193" t="s">
        <v>12</v>
      </c>
      <c r="E193" t="s">
        <v>13</v>
      </c>
      <c r="F193" t="s">
        <v>14</v>
      </c>
      <c r="G193" t="s">
        <v>15</v>
      </c>
      <c r="H193" s="5">
        <v>1299</v>
      </c>
      <c r="I193" s="5">
        <v>727.44</v>
      </c>
      <c r="J193" s="2">
        <v>0.2</v>
      </c>
    </row>
    <row r="194" spans="1:10" x14ac:dyDescent="0.25">
      <c r="A194" s="16">
        <v>183</v>
      </c>
      <c r="B194" s="22">
        <v>42404</v>
      </c>
      <c r="C194" s="16" t="s">
        <v>21</v>
      </c>
      <c r="D194" t="s">
        <v>22</v>
      </c>
      <c r="E194" t="s">
        <v>23</v>
      </c>
      <c r="F194" t="s">
        <v>24</v>
      </c>
      <c r="G194" t="s">
        <v>15</v>
      </c>
      <c r="H194" s="5">
        <v>359</v>
      </c>
      <c r="I194" s="5">
        <v>244.12</v>
      </c>
      <c r="J194" s="2">
        <v>0.15</v>
      </c>
    </row>
    <row r="195" spans="1:10" x14ac:dyDescent="0.25">
      <c r="A195" s="16">
        <v>184</v>
      </c>
      <c r="B195" s="22">
        <v>42518</v>
      </c>
      <c r="C195" s="16" t="s">
        <v>11</v>
      </c>
      <c r="D195" t="s">
        <v>12</v>
      </c>
      <c r="E195" t="s">
        <v>13</v>
      </c>
      <c r="F195" t="s">
        <v>14</v>
      </c>
      <c r="G195" t="s">
        <v>15</v>
      </c>
      <c r="H195" s="5">
        <v>1299</v>
      </c>
      <c r="I195" s="5">
        <v>727.44</v>
      </c>
      <c r="J195" s="2">
        <v>0</v>
      </c>
    </row>
    <row r="196" spans="1:10" x14ac:dyDescent="0.25">
      <c r="A196" s="16">
        <v>185</v>
      </c>
      <c r="B196" s="22">
        <v>42391</v>
      </c>
      <c r="C196" s="16" t="s">
        <v>31</v>
      </c>
      <c r="D196" t="s">
        <v>22</v>
      </c>
      <c r="E196" t="s">
        <v>18</v>
      </c>
      <c r="F196" t="s">
        <v>32</v>
      </c>
      <c r="G196" t="s">
        <v>33</v>
      </c>
      <c r="H196" s="5">
        <v>1199</v>
      </c>
      <c r="I196" s="5">
        <v>887.26</v>
      </c>
      <c r="J196" s="2">
        <v>0</v>
      </c>
    </row>
    <row r="197" spans="1:10" x14ac:dyDescent="0.25">
      <c r="A197" s="16">
        <v>186</v>
      </c>
      <c r="B197" s="22">
        <v>42424</v>
      </c>
      <c r="C197" s="16" t="s">
        <v>63</v>
      </c>
      <c r="D197" t="s">
        <v>12</v>
      </c>
      <c r="E197" t="s">
        <v>35</v>
      </c>
      <c r="F197" t="s">
        <v>64</v>
      </c>
      <c r="G197" t="s">
        <v>15</v>
      </c>
      <c r="H197" s="5">
        <v>13999</v>
      </c>
      <c r="I197" s="5">
        <v>9659.31</v>
      </c>
      <c r="J197" s="2">
        <v>0.15</v>
      </c>
    </row>
    <row r="198" spans="1:10" x14ac:dyDescent="0.25">
      <c r="A198" s="16">
        <v>187</v>
      </c>
      <c r="B198" s="22">
        <v>42506</v>
      </c>
      <c r="C198" s="16" t="s">
        <v>72</v>
      </c>
      <c r="D198" t="s">
        <v>22</v>
      </c>
      <c r="E198" t="s">
        <v>18</v>
      </c>
      <c r="F198" t="s">
        <v>73</v>
      </c>
      <c r="G198" t="s">
        <v>69</v>
      </c>
      <c r="H198" s="5">
        <v>799</v>
      </c>
      <c r="I198" s="5">
        <v>535.33000000000004</v>
      </c>
      <c r="J198" s="2">
        <v>0.3</v>
      </c>
    </row>
    <row r="199" spans="1:10" x14ac:dyDescent="0.25">
      <c r="A199" s="16">
        <v>188</v>
      </c>
      <c r="B199" s="22">
        <v>42741</v>
      </c>
      <c r="C199" s="16" t="s">
        <v>128</v>
      </c>
      <c r="D199" t="s">
        <v>26</v>
      </c>
      <c r="E199" t="s">
        <v>45</v>
      </c>
      <c r="F199" t="s">
        <v>129</v>
      </c>
      <c r="G199" t="s">
        <v>15</v>
      </c>
      <c r="H199" s="5">
        <v>399</v>
      </c>
      <c r="I199" s="5">
        <v>323.19</v>
      </c>
      <c r="J199" s="2">
        <v>0</v>
      </c>
    </row>
    <row r="200" spans="1:10" x14ac:dyDescent="0.25">
      <c r="A200" s="16">
        <v>189</v>
      </c>
      <c r="B200" s="22">
        <v>42455</v>
      </c>
      <c r="C200" s="16" t="s">
        <v>63</v>
      </c>
      <c r="D200" t="s">
        <v>12</v>
      </c>
      <c r="E200" t="s">
        <v>35</v>
      </c>
      <c r="F200" t="s">
        <v>64</v>
      </c>
      <c r="G200" t="s">
        <v>15</v>
      </c>
      <c r="H200" s="5">
        <v>13999</v>
      </c>
      <c r="I200" s="5">
        <v>9659.31</v>
      </c>
      <c r="J200" s="2">
        <v>0.2</v>
      </c>
    </row>
    <row r="201" spans="1:10" x14ac:dyDescent="0.25">
      <c r="A201" s="16">
        <v>190</v>
      </c>
      <c r="B201" s="22">
        <v>42643</v>
      </c>
      <c r="C201" s="16" t="s">
        <v>130</v>
      </c>
      <c r="D201" t="s">
        <v>12</v>
      </c>
      <c r="E201" t="s">
        <v>13</v>
      </c>
      <c r="F201" t="s">
        <v>131</v>
      </c>
      <c r="G201" t="s">
        <v>15</v>
      </c>
      <c r="H201" s="5">
        <v>999</v>
      </c>
      <c r="I201" s="5">
        <v>569.42999999999995</v>
      </c>
      <c r="J201" s="2">
        <v>0.2</v>
      </c>
    </row>
    <row r="202" spans="1:10" x14ac:dyDescent="0.25">
      <c r="A202" s="16">
        <v>191</v>
      </c>
      <c r="B202" s="22">
        <v>42388</v>
      </c>
      <c r="C202" s="16" t="s">
        <v>102</v>
      </c>
      <c r="D202" t="s">
        <v>22</v>
      </c>
      <c r="E202" t="s">
        <v>18</v>
      </c>
      <c r="F202" t="s">
        <v>103</v>
      </c>
      <c r="G202" t="s">
        <v>33</v>
      </c>
      <c r="H202" s="5">
        <v>899</v>
      </c>
      <c r="I202" s="5">
        <v>440.51</v>
      </c>
      <c r="J202" s="2">
        <v>0.15</v>
      </c>
    </row>
    <row r="203" spans="1:10" x14ac:dyDescent="0.25">
      <c r="A203" s="16">
        <v>192</v>
      </c>
      <c r="B203" s="22">
        <v>42643</v>
      </c>
      <c r="C203" s="16" t="s">
        <v>132</v>
      </c>
      <c r="D203" t="s">
        <v>26</v>
      </c>
      <c r="E203" t="s">
        <v>45</v>
      </c>
      <c r="F203" t="s">
        <v>133</v>
      </c>
      <c r="G203" t="s">
        <v>15</v>
      </c>
      <c r="H203" s="5">
        <v>299</v>
      </c>
      <c r="I203" s="5">
        <v>248.17</v>
      </c>
      <c r="J203" s="2">
        <v>0.2</v>
      </c>
    </row>
    <row r="204" spans="1:10" x14ac:dyDescent="0.25">
      <c r="A204" s="16">
        <v>193</v>
      </c>
      <c r="B204" s="22">
        <v>42575</v>
      </c>
      <c r="C204" s="16" t="s">
        <v>63</v>
      </c>
      <c r="D204" t="s">
        <v>12</v>
      </c>
      <c r="E204" t="s">
        <v>35</v>
      </c>
      <c r="F204" t="s">
        <v>64</v>
      </c>
      <c r="G204" t="s">
        <v>15</v>
      </c>
      <c r="H204" s="5">
        <v>13999</v>
      </c>
      <c r="I204" s="5">
        <v>9659.31</v>
      </c>
      <c r="J204" s="2">
        <v>0.2</v>
      </c>
    </row>
    <row r="205" spans="1:10" x14ac:dyDescent="0.25">
      <c r="A205" s="16">
        <v>194</v>
      </c>
      <c r="B205" s="22">
        <v>42631</v>
      </c>
      <c r="C205" s="16" t="s">
        <v>63</v>
      </c>
      <c r="D205" t="s">
        <v>12</v>
      </c>
      <c r="E205" t="s">
        <v>35</v>
      </c>
      <c r="F205" t="s">
        <v>64</v>
      </c>
      <c r="G205" t="s">
        <v>15</v>
      </c>
      <c r="H205" s="5">
        <v>13999</v>
      </c>
      <c r="I205" s="5">
        <v>9659.31</v>
      </c>
      <c r="J205" s="2">
        <v>0.1</v>
      </c>
    </row>
    <row r="206" spans="1:10" x14ac:dyDescent="0.25">
      <c r="A206" s="16">
        <v>195</v>
      </c>
      <c r="B206" s="22">
        <v>42525</v>
      </c>
      <c r="C206" s="16" t="s">
        <v>25</v>
      </c>
      <c r="D206" t="s">
        <v>26</v>
      </c>
      <c r="E206" t="s">
        <v>27</v>
      </c>
      <c r="F206" t="s">
        <v>28</v>
      </c>
      <c r="G206" t="s">
        <v>15</v>
      </c>
      <c r="H206" s="5">
        <v>1499</v>
      </c>
      <c r="I206" s="5">
        <v>794.47</v>
      </c>
      <c r="J206" s="2">
        <v>0</v>
      </c>
    </row>
    <row r="207" spans="1:10" x14ac:dyDescent="0.25">
      <c r="A207" s="16">
        <v>196</v>
      </c>
      <c r="B207" s="22">
        <v>42457</v>
      </c>
      <c r="C207" s="16" t="s">
        <v>114</v>
      </c>
      <c r="D207" t="s">
        <v>22</v>
      </c>
      <c r="E207" t="s">
        <v>86</v>
      </c>
      <c r="F207" t="s">
        <v>115</v>
      </c>
      <c r="G207" t="s">
        <v>15</v>
      </c>
      <c r="H207" s="5">
        <v>7999</v>
      </c>
      <c r="I207" s="5">
        <v>5039.37</v>
      </c>
      <c r="J207" s="2">
        <v>0</v>
      </c>
    </row>
    <row r="208" spans="1:10" x14ac:dyDescent="0.25">
      <c r="A208" s="16">
        <v>197</v>
      </c>
      <c r="B208" s="22">
        <v>42402</v>
      </c>
      <c r="C208" s="16" t="s">
        <v>134</v>
      </c>
      <c r="D208" t="s">
        <v>22</v>
      </c>
      <c r="E208" t="s">
        <v>18</v>
      </c>
      <c r="F208" t="s">
        <v>135</v>
      </c>
      <c r="G208" t="s">
        <v>33</v>
      </c>
      <c r="H208" s="5">
        <v>409</v>
      </c>
      <c r="I208" s="5">
        <v>237.21999999999997</v>
      </c>
      <c r="J208" s="2">
        <v>0.2</v>
      </c>
    </row>
    <row r="209" spans="1:10" x14ac:dyDescent="0.25">
      <c r="A209" s="16">
        <v>198</v>
      </c>
      <c r="B209" s="22">
        <v>42455</v>
      </c>
      <c r="C209" s="16" t="s">
        <v>136</v>
      </c>
      <c r="D209" t="s">
        <v>12</v>
      </c>
      <c r="E209" t="s">
        <v>35</v>
      </c>
      <c r="F209" t="s">
        <v>137</v>
      </c>
      <c r="G209" t="s">
        <v>15</v>
      </c>
      <c r="H209" s="5">
        <v>7599</v>
      </c>
      <c r="I209" s="5">
        <v>2735.64</v>
      </c>
      <c r="J209" s="2">
        <v>0.2</v>
      </c>
    </row>
    <row r="210" spans="1:10" x14ac:dyDescent="0.25">
      <c r="A210" s="16">
        <v>199</v>
      </c>
      <c r="B210" s="22">
        <v>42506</v>
      </c>
      <c r="C210" s="16" t="s">
        <v>51</v>
      </c>
      <c r="D210" t="s">
        <v>22</v>
      </c>
      <c r="E210" t="s">
        <v>23</v>
      </c>
      <c r="F210" t="s">
        <v>52</v>
      </c>
      <c r="G210" t="s">
        <v>15</v>
      </c>
      <c r="H210" s="5">
        <v>599</v>
      </c>
      <c r="I210" s="5">
        <v>455.24</v>
      </c>
      <c r="J210" s="2">
        <v>0.3</v>
      </c>
    </row>
    <row r="211" spans="1:10" x14ac:dyDescent="0.25">
      <c r="A211" s="16">
        <v>200</v>
      </c>
      <c r="B211" s="22">
        <v>42479</v>
      </c>
      <c r="C211" s="16" t="s">
        <v>90</v>
      </c>
      <c r="D211" t="s">
        <v>12</v>
      </c>
      <c r="E211" t="s">
        <v>35</v>
      </c>
      <c r="F211" t="s">
        <v>91</v>
      </c>
      <c r="G211" t="s">
        <v>15</v>
      </c>
      <c r="H211" s="5">
        <v>6999</v>
      </c>
      <c r="I211" s="5">
        <v>4829.3099999999995</v>
      </c>
      <c r="J211" s="2">
        <v>0.15</v>
      </c>
    </row>
    <row r="212" spans="1:10" x14ac:dyDescent="0.25">
      <c r="A212" s="16">
        <v>201</v>
      </c>
      <c r="B212" s="22">
        <v>42632</v>
      </c>
      <c r="C212" s="16" t="s">
        <v>79</v>
      </c>
      <c r="D212" t="s">
        <v>26</v>
      </c>
      <c r="E212" t="s">
        <v>27</v>
      </c>
      <c r="F212" t="s">
        <v>80</v>
      </c>
      <c r="G212" t="s">
        <v>15</v>
      </c>
      <c r="H212" s="5">
        <v>499</v>
      </c>
      <c r="I212" s="5">
        <v>174.64999999999998</v>
      </c>
      <c r="J212" s="2">
        <v>0</v>
      </c>
    </row>
    <row r="213" spans="1:10" x14ac:dyDescent="0.25">
      <c r="A213" s="16">
        <v>202</v>
      </c>
      <c r="B213" s="22">
        <v>42404</v>
      </c>
      <c r="C213" s="16" t="s">
        <v>138</v>
      </c>
      <c r="D213" t="s">
        <v>22</v>
      </c>
      <c r="E213" t="s">
        <v>86</v>
      </c>
      <c r="F213" t="s">
        <v>139</v>
      </c>
      <c r="G213" t="s">
        <v>15</v>
      </c>
      <c r="H213" s="5">
        <v>14399</v>
      </c>
      <c r="I213" s="5">
        <v>11375.210000000001</v>
      </c>
      <c r="J213" s="2">
        <v>0.15</v>
      </c>
    </row>
    <row r="214" spans="1:10" x14ac:dyDescent="0.25">
      <c r="A214" s="16">
        <v>203</v>
      </c>
      <c r="B214" s="22">
        <v>42601</v>
      </c>
      <c r="C214" s="16" t="s">
        <v>21</v>
      </c>
      <c r="D214" t="s">
        <v>22</v>
      </c>
      <c r="E214" t="s">
        <v>23</v>
      </c>
      <c r="F214" t="s">
        <v>24</v>
      </c>
      <c r="G214" t="s">
        <v>15</v>
      </c>
      <c r="H214" s="5">
        <v>359</v>
      </c>
      <c r="I214" s="5">
        <v>244.12</v>
      </c>
      <c r="J214" s="2">
        <v>0.15</v>
      </c>
    </row>
    <row r="215" spans="1:10" x14ac:dyDescent="0.25">
      <c r="A215" s="16">
        <v>204</v>
      </c>
      <c r="B215" s="22">
        <v>42506</v>
      </c>
      <c r="C215" s="16" t="s">
        <v>21</v>
      </c>
      <c r="D215" t="s">
        <v>22</v>
      </c>
      <c r="E215" t="s">
        <v>23</v>
      </c>
      <c r="F215" t="s">
        <v>24</v>
      </c>
      <c r="G215" t="s">
        <v>15</v>
      </c>
      <c r="H215" s="5">
        <v>359</v>
      </c>
      <c r="I215" s="5">
        <v>244.12</v>
      </c>
      <c r="J215" s="2">
        <v>0.3</v>
      </c>
    </row>
    <row r="216" spans="1:10" x14ac:dyDescent="0.25">
      <c r="A216" s="16">
        <v>205</v>
      </c>
      <c r="B216" s="22">
        <v>42520</v>
      </c>
      <c r="C216" s="16" t="s">
        <v>140</v>
      </c>
      <c r="D216" t="s">
        <v>22</v>
      </c>
      <c r="E216" t="s">
        <v>18</v>
      </c>
      <c r="F216" t="s">
        <v>141</v>
      </c>
      <c r="G216" t="s">
        <v>43</v>
      </c>
      <c r="H216" s="5">
        <v>999</v>
      </c>
      <c r="I216" s="5">
        <v>809.19</v>
      </c>
      <c r="J216" s="2">
        <v>0.2</v>
      </c>
    </row>
    <row r="217" spans="1:10" x14ac:dyDescent="0.25">
      <c r="A217" s="16">
        <v>206</v>
      </c>
      <c r="B217" s="22">
        <v>42418</v>
      </c>
      <c r="C217" s="16" t="s">
        <v>41</v>
      </c>
      <c r="D217" t="s">
        <v>22</v>
      </c>
      <c r="E217" t="s">
        <v>18</v>
      </c>
      <c r="F217" t="s">
        <v>42</v>
      </c>
      <c r="G217" t="s">
        <v>43</v>
      </c>
      <c r="H217" s="5">
        <v>1149</v>
      </c>
      <c r="I217" s="5">
        <v>896.22</v>
      </c>
      <c r="J217" s="2">
        <v>0</v>
      </c>
    </row>
    <row r="218" spans="1:10" x14ac:dyDescent="0.25">
      <c r="A218" s="16">
        <v>207</v>
      </c>
      <c r="B218" s="22">
        <v>42787</v>
      </c>
      <c r="C218" s="16" t="s">
        <v>142</v>
      </c>
      <c r="D218" t="s">
        <v>12</v>
      </c>
      <c r="E218" t="s">
        <v>35</v>
      </c>
      <c r="F218" t="s">
        <v>143</v>
      </c>
      <c r="G218" t="s">
        <v>15</v>
      </c>
      <c r="H218" s="5">
        <v>2299</v>
      </c>
      <c r="I218" s="5">
        <v>1218.47</v>
      </c>
      <c r="J218" s="2">
        <v>0.1</v>
      </c>
    </row>
    <row r="219" spans="1:10" x14ac:dyDescent="0.25">
      <c r="A219" s="16">
        <v>208</v>
      </c>
      <c r="B219" s="22">
        <v>42508</v>
      </c>
      <c r="C219" s="16" t="s">
        <v>41</v>
      </c>
      <c r="D219" t="s">
        <v>22</v>
      </c>
      <c r="E219" t="s">
        <v>18</v>
      </c>
      <c r="F219" t="s">
        <v>42</v>
      </c>
      <c r="G219" t="s">
        <v>43</v>
      </c>
      <c r="H219" s="5">
        <v>1149</v>
      </c>
      <c r="I219" s="5">
        <v>896.22</v>
      </c>
      <c r="J219" s="2">
        <v>0</v>
      </c>
    </row>
    <row r="220" spans="1:10" x14ac:dyDescent="0.25">
      <c r="A220" s="16">
        <v>209</v>
      </c>
      <c r="B220" s="22">
        <v>42438</v>
      </c>
      <c r="C220" s="16" t="s">
        <v>59</v>
      </c>
      <c r="D220" t="s">
        <v>12</v>
      </c>
      <c r="E220" t="s">
        <v>35</v>
      </c>
      <c r="F220" t="s">
        <v>60</v>
      </c>
      <c r="G220" t="s">
        <v>15</v>
      </c>
      <c r="H220" s="5">
        <v>8999</v>
      </c>
      <c r="I220" s="5">
        <v>4499.5</v>
      </c>
      <c r="J220" s="2">
        <v>0.15</v>
      </c>
    </row>
    <row r="221" spans="1:10" x14ac:dyDescent="0.25">
      <c r="A221" s="16">
        <v>210</v>
      </c>
      <c r="B221" s="22">
        <v>42546</v>
      </c>
      <c r="C221" s="16" t="s">
        <v>98</v>
      </c>
      <c r="D221" t="s">
        <v>22</v>
      </c>
      <c r="E221" t="s">
        <v>86</v>
      </c>
      <c r="F221" t="s">
        <v>99</v>
      </c>
      <c r="G221" t="s">
        <v>15</v>
      </c>
      <c r="H221" s="5">
        <v>5999</v>
      </c>
      <c r="I221" s="5">
        <v>3419.43</v>
      </c>
      <c r="J221" s="2">
        <v>0.2</v>
      </c>
    </row>
    <row r="222" spans="1:10" x14ac:dyDescent="0.25">
      <c r="A222" s="16">
        <v>211</v>
      </c>
      <c r="B222" s="22">
        <v>42672</v>
      </c>
      <c r="C222" s="16" t="s">
        <v>21</v>
      </c>
      <c r="D222" t="s">
        <v>22</v>
      </c>
      <c r="E222" t="s">
        <v>23</v>
      </c>
      <c r="F222" t="s">
        <v>24</v>
      </c>
      <c r="G222" t="s">
        <v>15</v>
      </c>
      <c r="H222" s="5">
        <v>359</v>
      </c>
      <c r="I222" s="5">
        <v>244.12</v>
      </c>
      <c r="J222" s="2">
        <v>0.15</v>
      </c>
    </row>
    <row r="223" spans="1:10" x14ac:dyDescent="0.25">
      <c r="A223" s="16">
        <v>212</v>
      </c>
      <c r="B223" s="22">
        <v>42388</v>
      </c>
      <c r="C223" s="16" t="s">
        <v>37</v>
      </c>
      <c r="D223" t="s">
        <v>26</v>
      </c>
      <c r="E223" t="s">
        <v>27</v>
      </c>
      <c r="F223" t="s">
        <v>38</v>
      </c>
      <c r="G223" t="s">
        <v>15</v>
      </c>
      <c r="H223" s="5">
        <v>229</v>
      </c>
      <c r="I223" s="5">
        <v>153.43</v>
      </c>
      <c r="J223" s="2">
        <v>0.15</v>
      </c>
    </row>
    <row r="224" spans="1:10" x14ac:dyDescent="0.25">
      <c r="A224" s="16">
        <v>213</v>
      </c>
      <c r="B224" s="22">
        <v>42405</v>
      </c>
      <c r="C224" s="16" t="s">
        <v>41</v>
      </c>
      <c r="D224" t="s">
        <v>22</v>
      </c>
      <c r="E224" t="s">
        <v>18</v>
      </c>
      <c r="F224" t="s">
        <v>42</v>
      </c>
      <c r="G224" t="s">
        <v>43</v>
      </c>
      <c r="H224" s="5">
        <v>1149</v>
      </c>
      <c r="I224" s="5">
        <v>896.22</v>
      </c>
      <c r="J224" s="2">
        <v>0</v>
      </c>
    </row>
    <row r="225" spans="1:10" x14ac:dyDescent="0.25">
      <c r="A225" s="16">
        <v>214</v>
      </c>
      <c r="B225" s="22">
        <v>42506</v>
      </c>
      <c r="C225" s="16" t="s">
        <v>31</v>
      </c>
      <c r="D225" t="s">
        <v>22</v>
      </c>
      <c r="E225" t="s">
        <v>18</v>
      </c>
      <c r="F225" t="s">
        <v>32</v>
      </c>
      <c r="G225" t="s">
        <v>33</v>
      </c>
      <c r="H225" s="5">
        <v>1199</v>
      </c>
      <c r="I225" s="5">
        <v>887.26</v>
      </c>
      <c r="J225" s="2">
        <v>0.3</v>
      </c>
    </row>
    <row r="226" spans="1:10" x14ac:dyDescent="0.25">
      <c r="A226" s="16">
        <v>215</v>
      </c>
      <c r="B226" s="22">
        <v>42575</v>
      </c>
      <c r="C226" s="16" t="s">
        <v>44</v>
      </c>
      <c r="D226" t="s">
        <v>26</v>
      </c>
      <c r="E226" t="s">
        <v>45</v>
      </c>
      <c r="F226" t="s">
        <v>46</v>
      </c>
      <c r="G226" t="s">
        <v>15</v>
      </c>
      <c r="H226" s="5">
        <v>699</v>
      </c>
      <c r="I226" s="5">
        <v>531.24</v>
      </c>
      <c r="J226" s="2">
        <v>0.2</v>
      </c>
    </row>
    <row r="227" spans="1:10" x14ac:dyDescent="0.25">
      <c r="A227" s="16">
        <v>216</v>
      </c>
      <c r="B227" s="22">
        <v>42720</v>
      </c>
      <c r="C227" s="16" t="s">
        <v>25</v>
      </c>
      <c r="D227" t="s">
        <v>26</v>
      </c>
      <c r="E227" t="s">
        <v>27</v>
      </c>
      <c r="F227" t="s">
        <v>28</v>
      </c>
      <c r="G227" t="s">
        <v>15</v>
      </c>
      <c r="H227" s="5">
        <v>1499</v>
      </c>
      <c r="I227" s="5">
        <v>794.47</v>
      </c>
      <c r="J227" s="2">
        <v>0.2</v>
      </c>
    </row>
    <row r="228" spans="1:10" x14ac:dyDescent="0.25">
      <c r="A228" s="16">
        <v>217</v>
      </c>
      <c r="B228" s="22">
        <v>42703</v>
      </c>
      <c r="C228" s="16" t="s">
        <v>120</v>
      </c>
      <c r="D228" t="s">
        <v>22</v>
      </c>
      <c r="E228" t="s">
        <v>23</v>
      </c>
      <c r="F228" t="s">
        <v>121</v>
      </c>
      <c r="G228" t="s">
        <v>15</v>
      </c>
      <c r="H228" s="5">
        <v>169</v>
      </c>
      <c r="I228" s="5">
        <v>130.13</v>
      </c>
      <c r="J228" s="2">
        <v>0</v>
      </c>
    </row>
    <row r="229" spans="1:10" x14ac:dyDescent="0.25">
      <c r="A229" s="16">
        <v>218</v>
      </c>
      <c r="B229" s="22">
        <v>42718</v>
      </c>
      <c r="C229" s="16" t="s">
        <v>11</v>
      </c>
      <c r="D229" t="s">
        <v>12</v>
      </c>
      <c r="E229" t="s">
        <v>13</v>
      </c>
      <c r="F229" t="s">
        <v>14</v>
      </c>
      <c r="G229" t="s">
        <v>15</v>
      </c>
      <c r="H229" s="5">
        <v>1299</v>
      </c>
      <c r="I229" s="5">
        <v>727.44</v>
      </c>
      <c r="J229" s="2">
        <v>0</v>
      </c>
    </row>
    <row r="230" spans="1:10" x14ac:dyDescent="0.25">
      <c r="A230" s="16">
        <v>219</v>
      </c>
      <c r="B230" s="22">
        <v>42765</v>
      </c>
      <c r="C230" s="16" t="s">
        <v>41</v>
      </c>
      <c r="D230" t="s">
        <v>22</v>
      </c>
      <c r="E230" t="s">
        <v>18</v>
      </c>
      <c r="F230" t="s">
        <v>42</v>
      </c>
      <c r="G230" t="s">
        <v>43</v>
      </c>
      <c r="H230" s="5">
        <v>1149</v>
      </c>
      <c r="I230" s="5">
        <v>896.22</v>
      </c>
      <c r="J230" s="2">
        <v>0</v>
      </c>
    </row>
    <row r="231" spans="1:10" x14ac:dyDescent="0.25">
      <c r="A231" s="16">
        <v>220</v>
      </c>
      <c r="B231" s="22">
        <v>42787</v>
      </c>
      <c r="C231" s="16" t="s">
        <v>72</v>
      </c>
      <c r="D231" t="s">
        <v>22</v>
      </c>
      <c r="E231" t="s">
        <v>18</v>
      </c>
      <c r="F231" t="s">
        <v>73</v>
      </c>
      <c r="G231" t="s">
        <v>69</v>
      </c>
      <c r="H231" s="5">
        <v>799</v>
      </c>
      <c r="I231" s="5">
        <v>535.33000000000004</v>
      </c>
      <c r="J231" s="2">
        <v>0.1</v>
      </c>
    </row>
    <row r="232" spans="1:10" x14ac:dyDescent="0.25">
      <c r="A232" s="16">
        <v>221</v>
      </c>
      <c r="B232" s="22">
        <v>42522</v>
      </c>
      <c r="C232" s="16" t="s">
        <v>31</v>
      </c>
      <c r="D232" t="s">
        <v>22</v>
      </c>
      <c r="E232" t="s">
        <v>18</v>
      </c>
      <c r="F232" t="s">
        <v>32</v>
      </c>
      <c r="G232" t="s">
        <v>33</v>
      </c>
      <c r="H232" s="5">
        <v>1199</v>
      </c>
      <c r="I232" s="5">
        <v>887.26</v>
      </c>
      <c r="J232" s="2">
        <v>0</v>
      </c>
    </row>
    <row r="233" spans="1:10" x14ac:dyDescent="0.25">
      <c r="A233" s="16">
        <v>222</v>
      </c>
      <c r="B233" s="22">
        <v>42506</v>
      </c>
      <c r="C233" s="16" t="s">
        <v>63</v>
      </c>
      <c r="D233" t="s">
        <v>12</v>
      </c>
      <c r="E233" t="s">
        <v>35</v>
      </c>
      <c r="F233" t="s">
        <v>64</v>
      </c>
      <c r="G233" t="s">
        <v>15</v>
      </c>
      <c r="H233" s="5">
        <v>13999</v>
      </c>
      <c r="I233" s="5">
        <v>9659.31</v>
      </c>
      <c r="J233" s="2">
        <v>0.3</v>
      </c>
    </row>
    <row r="234" spans="1:10" x14ac:dyDescent="0.25">
      <c r="A234" s="16">
        <v>223</v>
      </c>
      <c r="B234" s="22">
        <v>42371</v>
      </c>
      <c r="C234" s="16" t="s">
        <v>11</v>
      </c>
      <c r="D234" t="s">
        <v>12</v>
      </c>
      <c r="E234" t="s">
        <v>13</v>
      </c>
      <c r="F234" t="s">
        <v>14</v>
      </c>
      <c r="G234" t="s">
        <v>15</v>
      </c>
      <c r="H234" s="5">
        <v>1299</v>
      </c>
      <c r="I234" s="5">
        <v>727.44</v>
      </c>
      <c r="J234" s="2">
        <v>0</v>
      </c>
    </row>
    <row r="235" spans="1:10" x14ac:dyDescent="0.25">
      <c r="A235" s="16">
        <v>224</v>
      </c>
      <c r="B235" s="22">
        <v>42643</v>
      </c>
      <c r="C235" s="16" t="s">
        <v>144</v>
      </c>
      <c r="D235" t="s">
        <v>12</v>
      </c>
      <c r="E235" t="s">
        <v>35</v>
      </c>
      <c r="F235" t="s">
        <v>145</v>
      </c>
      <c r="G235" t="s">
        <v>15</v>
      </c>
      <c r="H235" s="5">
        <v>8999</v>
      </c>
      <c r="I235" s="5">
        <v>6839.24</v>
      </c>
      <c r="J235" s="2">
        <v>0.2</v>
      </c>
    </row>
    <row r="236" spans="1:10" x14ac:dyDescent="0.25">
      <c r="A236" s="16">
        <v>225</v>
      </c>
      <c r="B236" s="22">
        <v>42575</v>
      </c>
      <c r="C236" s="16" t="s">
        <v>144</v>
      </c>
      <c r="D236" t="s">
        <v>12</v>
      </c>
      <c r="E236" t="s">
        <v>35</v>
      </c>
      <c r="F236" t="s">
        <v>145</v>
      </c>
      <c r="G236" t="s">
        <v>15</v>
      </c>
      <c r="H236" s="5">
        <v>8999</v>
      </c>
      <c r="I236" s="5">
        <v>6839.24</v>
      </c>
      <c r="J236" s="2">
        <v>0.2</v>
      </c>
    </row>
    <row r="237" spans="1:10" x14ac:dyDescent="0.25">
      <c r="A237" s="16">
        <v>226</v>
      </c>
      <c r="B237" s="22">
        <v>42575</v>
      </c>
      <c r="C237" s="16" t="s">
        <v>146</v>
      </c>
      <c r="D237" t="s">
        <v>12</v>
      </c>
      <c r="E237" t="s">
        <v>35</v>
      </c>
      <c r="F237" t="s">
        <v>147</v>
      </c>
      <c r="G237" t="s">
        <v>15</v>
      </c>
      <c r="H237" s="5">
        <v>3599</v>
      </c>
      <c r="I237" s="5">
        <v>2663.2599999999998</v>
      </c>
      <c r="J237" s="2">
        <v>0.2</v>
      </c>
    </row>
    <row r="238" spans="1:10" x14ac:dyDescent="0.25">
      <c r="A238" s="16">
        <v>227</v>
      </c>
      <c r="B238" s="22">
        <v>42705</v>
      </c>
      <c r="C238" s="16" t="s">
        <v>79</v>
      </c>
      <c r="D238" t="s">
        <v>26</v>
      </c>
      <c r="E238" t="s">
        <v>27</v>
      </c>
      <c r="F238" t="s">
        <v>80</v>
      </c>
      <c r="G238" t="s">
        <v>15</v>
      </c>
      <c r="H238" s="5">
        <v>499</v>
      </c>
      <c r="I238" s="5">
        <v>174.64999999999998</v>
      </c>
      <c r="J238" s="2">
        <v>0</v>
      </c>
    </row>
    <row r="239" spans="1:10" x14ac:dyDescent="0.25">
      <c r="A239" s="16">
        <v>228</v>
      </c>
      <c r="B239" s="22">
        <v>42422</v>
      </c>
      <c r="C239" s="16" t="s">
        <v>63</v>
      </c>
      <c r="D239" t="s">
        <v>12</v>
      </c>
      <c r="E239" t="s">
        <v>35</v>
      </c>
      <c r="F239" t="s">
        <v>64</v>
      </c>
      <c r="G239" t="s">
        <v>15</v>
      </c>
      <c r="H239" s="5">
        <v>13999</v>
      </c>
      <c r="I239" s="5">
        <v>9659.31</v>
      </c>
      <c r="J239" s="2">
        <v>0</v>
      </c>
    </row>
    <row r="240" spans="1:10" x14ac:dyDescent="0.25">
      <c r="A240" s="16">
        <v>229</v>
      </c>
      <c r="B240" s="22">
        <v>42762</v>
      </c>
      <c r="C240" s="16" t="s">
        <v>21</v>
      </c>
      <c r="D240" t="s">
        <v>22</v>
      </c>
      <c r="E240" t="s">
        <v>23</v>
      </c>
      <c r="F240" t="s">
        <v>24</v>
      </c>
      <c r="G240" t="s">
        <v>15</v>
      </c>
      <c r="H240" s="5">
        <v>359</v>
      </c>
      <c r="I240" s="5">
        <v>244.12</v>
      </c>
      <c r="J240" s="2">
        <v>0.15</v>
      </c>
    </row>
    <row r="241" spans="1:10" x14ac:dyDescent="0.25">
      <c r="A241" s="16">
        <v>230</v>
      </c>
      <c r="B241" s="22">
        <v>42643</v>
      </c>
      <c r="C241" s="16" t="s">
        <v>41</v>
      </c>
      <c r="D241" t="s">
        <v>22</v>
      </c>
      <c r="E241" t="s">
        <v>18</v>
      </c>
      <c r="F241" t="s">
        <v>42</v>
      </c>
      <c r="G241" t="s">
        <v>43</v>
      </c>
      <c r="H241" s="5">
        <v>1149</v>
      </c>
      <c r="I241" s="5">
        <v>896.22</v>
      </c>
      <c r="J241" s="2">
        <v>0.2</v>
      </c>
    </row>
    <row r="242" spans="1:10" x14ac:dyDescent="0.25">
      <c r="A242" s="16">
        <v>231</v>
      </c>
      <c r="B242" s="22">
        <v>42506</v>
      </c>
      <c r="C242" s="16" t="s">
        <v>148</v>
      </c>
      <c r="D242" t="s">
        <v>22</v>
      </c>
      <c r="E242" t="s">
        <v>18</v>
      </c>
      <c r="F242" t="s">
        <v>149</v>
      </c>
      <c r="G242" t="s">
        <v>33</v>
      </c>
      <c r="H242" s="5">
        <v>899</v>
      </c>
      <c r="I242" s="5">
        <v>719.2</v>
      </c>
      <c r="J242" s="2">
        <v>0.3</v>
      </c>
    </row>
    <row r="243" spans="1:10" x14ac:dyDescent="0.25">
      <c r="A243" s="16">
        <v>232</v>
      </c>
      <c r="B243" s="22">
        <v>42402</v>
      </c>
      <c r="C243" s="16" t="s">
        <v>44</v>
      </c>
      <c r="D243" t="s">
        <v>26</v>
      </c>
      <c r="E243" t="s">
        <v>45</v>
      </c>
      <c r="F243" t="s">
        <v>46</v>
      </c>
      <c r="G243" t="s">
        <v>15</v>
      </c>
      <c r="H243" s="5">
        <v>699</v>
      </c>
      <c r="I243" s="5">
        <v>531.24</v>
      </c>
      <c r="J243" s="2">
        <v>0.2</v>
      </c>
    </row>
    <row r="244" spans="1:10" x14ac:dyDescent="0.25">
      <c r="A244" s="16">
        <v>233</v>
      </c>
      <c r="B244" s="22">
        <v>42575</v>
      </c>
      <c r="C244" s="16" t="s">
        <v>11</v>
      </c>
      <c r="D244" t="s">
        <v>12</v>
      </c>
      <c r="E244" t="s">
        <v>13</v>
      </c>
      <c r="F244" t="s">
        <v>14</v>
      </c>
      <c r="G244" t="s">
        <v>15</v>
      </c>
      <c r="H244" s="5">
        <v>1299</v>
      </c>
      <c r="I244" s="5">
        <v>727.44</v>
      </c>
      <c r="J244" s="2">
        <v>0.2</v>
      </c>
    </row>
    <row r="245" spans="1:10" x14ac:dyDescent="0.25">
      <c r="A245" s="16">
        <v>234</v>
      </c>
      <c r="B245" s="22">
        <v>42438</v>
      </c>
      <c r="C245" s="16" t="s">
        <v>55</v>
      </c>
      <c r="D245" t="s">
        <v>26</v>
      </c>
      <c r="E245" t="s">
        <v>45</v>
      </c>
      <c r="F245" t="s">
        <v>56</v>
      </c>
      <c r="G245" t="s">
        <v>15</v>
      </c>
      <c r="H245" s="5">
        <v>499</v>
      </c>
      <c r="I245" s="5">
        <v>279.44000000000005</v>
      </c>
      <c r="J245" s="2">
        <v>0.15</v>
      </c>
    </row>
    <row r="246" spans="1:10" x14ac:dyDescent="0.25">
      <c r="A246" s="16">
        <v>235</v>
      </c>
      <c r="B246" s="22">
        <v>42749</v>
      </c>
      <c r="C246" s="16" t="s">
        <v>136</v>
      </c>
      <c r="D246" t="s">
        <v>12</v>
      </c>
      <c r="E246" t="s">
        <v>35</v>
      </c>
      <c r="F246" t="s">
        <v>137</v>
      </c>
      <c r="G246" t="s">
        <v>15</v>
      </c>
      <c r="H246" s="5">
        <v>7599</v>
      </c>
      <c r="I246" s="5">
        <v>2735.64</v>
      </c>
      <c r="J246" s="2">
        <v>0</v>
      </c>
    </row>
    <row r="247" spans="1:10" x14ac:dyDescent="0.25">
      <c r="A247" s="16">
        <v>236</v>
      </c>
      <c r="B247" s="22">
        <v>42459</v>
      </c>
      <c r="C247" s="16" t="s">
        <v>122</v>
      </c>
      <c r="D247" t="s">
        <v>22</v>
      </c>
      <c r="E247" t="s">
        <v>23</v>
      </c>
      <c r="F247" t="s">
        <v>123</v>
      </c>
      <c r="G247" t="s">
        <v>15</v>
      </c>
      <c r="H247" s="5">
        <v>999</v>
      </c>
      <c r="I247" s="5">
        <v>569.42999999999995</v>
      </c>
      <c r="J247" s="2">
        <v>0</v>
      </c>
    </row>
    <row r="248" spans="1:10" x14ac:dyDescent="0.25">
      <c r="A248" s="16">
        <v>237</v>
      </c>
      <c r="B248" s="22">
        <v>42728</v>
      </c>
      <c r="C248" s="16" t="s">
        <v>150</v>
      </c>
      <c r="D248" t="s">
        <v>26</v>
      </c>
      <c r="E248" t="s">
        <v>27</v>
      </c>
      <c r="F248" t="s">
        <v>151</v>
      </c>
      <c r="G248" t="s">
        <v>15</v>
      </c>
      <c r="H248" s="5">
        <v>299</v>
      </c>
      <c r="I248" s="5">
        <v>152.49</v>
      </c>
      <c r="J248" s="2">
        <v>0</v>
      </c>
    </row>
    <row r="249" spans="1:10" x14ac:dyDescent="0.25">
      <c r="A249" s="16">
        <v>238</v>
      </c>
      <c r="B249" s="22">
        <v>42631</v>
      </c>
      <c r="C249" s="16" t="s">
        <v>83</v>
      </c>
      <c r="D249" t="s">
        <v>26</v>
      </c>
      <c r="E249" t="s">
        <v>45</v>
      </c>
      <c r="F249" t="s">
        <v>84</v>
      </c>
      <c r="G249" t="s">
        <v>15</v>
      </c>
      <c r="H249" s="5">
        <v>999</v>
      </c>
      <c r="I249" s="5">
        <v>509.49</v>
      </c>
      <c r="J249" s="2">
        <v>0.1</v>
      </c>
    </row>
    <row r="250" spans="1:10" x14ac:dyDescent="0.25">
      <c r="A250" s="16">
        <v>239</v>
      </c>
      <c r="B250" s="22">
        <v>42511</v>
      </c>
      <c r="C250" s="16" t="s">
        <v>16</v>
      </c>
      <c r="D250" t="s">
        <v>22</v>
      </c>
      <c r="E250" t="s">
        <v>18</v>
      </c>
      <c r="F250" t="s">
        <v>19</v>
      </c>
      <c r="G250" t="s">
        <v>20</v>
      </c>
      <c r="H250" s="5">
        <v>1149</v>
      </c>
      <c r="I250" s="5">
        <v>792.81</v>
      </c>
      <c r="J250" s="2">
        <v>0</v>
      </c>
    </row>
    <row r="251" spans="1:10" x14ac:dyDescent="0.25">
      <c r="A251" s="16">
        <v>240</v>
      </c>
      <c r="B251" s="22">
        <v>42506</v>
      </c>
      <c r="C251" s="16" t="s">
        <v>72</v>
      </c>
      <c r="D251" t="s">
        <v>22</v>
      </c>
      <c r="E251" t="s">
        <v>18</v>
      </c>
      <c r="F251" t="s">
        <v>73</v>
      </c>
      <c r="G251" t="s">
        <v>69</v>
      </c>
      <c r="H251" s="5">
        <v>799</v>
      </c>
      <c r="I251" s="5">
        <v>535.33000000000004</v>
      </c>
      <c r="J251" s="2">
        <v>0.3</v>
      </c>
    </row>
    <row r="252" spans="1:10" x14ac:dyDescent="0.25">
      <c r="A252" s="16">
        <v>241</v>
      </c>
      <c r="B252" s="22">
        <v>42388</v>
      </c>
      <c r="C252" s="16" t="s">
        <v>16</v>
      </c>
      <c r="D252" t="s">
        <v>22</v>
      </c>
      <c r="E252" t="s">
        <v>18</v>
      </c>
      <c r="F252" t="s">
        <v>19</v>
      </c>
      <c r="G252" t="s">
        <v>20</v>
      </c>
      <c r="H252" s="5">
        <v>1149</v>
      </c>
      <c r="I252" s="5">
        <v>792.81</v>
      </c>
      <c r="J252" s="2">
        <v>0.15</v>
      </c>
    </row>
    <row r="253" spans="1:10" x14ac:dyDescent="0.25">
      <c r="A253" s="16">
        <v>242</v>
      </c>
      <c r="B253" s="22">
        <v>42404</v>
      </c>
      <c r="C253" s="16" t="s">
        <v>85</v>
      </c>
      <c r="D253" t="s">
        <v>22</v>
      </c>
      <c r="E253" t="s">
        <v>86</v>
      </c>
      <c r="F253" t="s">
        <v>87</v>
      </c>
      <c r="G253" t="s">
        <v>15</v>
      </c>
      <c r="H253" s="5">
        <v>3999</v>
      </c>
      <c r="I253" s="5">
        <v>1399.6499999999999</v>
      </c>
      <c r="J253" s="2">
        <v>0.15</v>
      </c>
    </row>
    <row r="254" spans="1:10" x14ac:dyDescent="0.25">
      <c r="A254" s="16">
        <v>243</v>
      </c>
      <c r="B254" s="22">
        <v>42404</v>
      </c>
      <c r="C254" s="16" t="s">
        <v>51</v>
      </c>
      <c r="D254" t="s">
        <v>22</v>
      </c>
      <c r="E254" t="s">
        <v>23</v>
      </c>
      <c r="F254" t="s">
        <v>52</v>
      </c>
      <c r="G254" t="s">
        <v>15</v>
      </c>
      <c r="H254" s="5">
        <v>599</v>
      </c>
      <c r="I254" s="5">
        <v>455.24</v>
      </c>
      <c r="J254" s="2">
        <v>0.15</v>
      </c>
    </row>
    <row r="255" spans="1:10" x14ac:dyDescent="0.25">
      <c r="A255" s="16">
        <v>244</v>
      </c>
      <c r="B255" s="22">
        <v>42392</v>
      </c>
      <c r="C255" s="16" t="s">
        <v>85</v>
      </c>
      <c r="D255" t="s">
        <v>22</v>
      </c>
      <c r="E255" t="s">
        <v>86</v>
      </c>
      <c r="F255" t="s">
        <v>87</v>
      </c>
      <c r="G255" t="s">
        <v>15</v>
      </c>
      <c r="H255" s="5">
        <v>3999</v>
      </c>
      <c r="I255" s="5">
        <v>1399.6499999999999</v>
      </c>
      <c r="J255" s="2">
        <v>0</v>
      </c>
    </row>
    <row r="256" spans="1:10" x14ac:dyDescent="0.25">
      <c r="A256" s="16">
        <v>245</v>
      </c>
      <c r="B256" s="22">
        <v>42546</v>
      </c>
      <c r="C256" s="16" t="s">
        <v>130</v>
      </c>
      <c r="D256" t="s">
        <v>12</v>
      </c>
      <c r="E256" t="s">
        <v>13</v>
      </c>
      <c r="F256" t="s">
        <v>131</v>
      </c>
      <c r="G256" t="s">
        <v>15</v>
      </c>
      <c r="H256" s="5">
        <v>999</v>
      </c>
      <c r="I256" s="5">
        <v>569.42999999999995</v>
      </c>
      <c r="J256" s="2">
        <v>0.2</v>
      </c>
    </row>
    <row r="257" spans="1:10" x14ac:dyDescent="0.25">
      <c r="A257" s="16">
        <v>246</v>
      </c>
      <c r="B257" s="22">
        <v>42391</v>
      </c>
      <c r="C257" s="16" t="s">
        <v>25</v>
      </c>
      <c r="D257" t="s">
        <v>26</v>
      </c>
      <c r="E257" t="s">
        <v>27</v>
      </c>
      <c r="F257" t="s">
        <v>28</v>
      </c>
      <c r="G257" t="s">
        <v>15</v>
      </c>
      <c r="H257" s="5">
        <v>1499</v>
      </c>
      <c r="I257" s="5">
        <v>794.47</v>
      </c>
      <c r="J257" s="2">
        <v>0</v>
      </c>
    </row>
    <row r="258" spans="1:10" x14ac:dyDescent="0.25">
      <c r="A258" s="16">
        <v>247</v>
      </c>
      <c r="B258" s="22">
        <v>42722</v>
      </c>
      <c r="C258" s="16" t="s">
        <v>11</v>
      </c>
      <c r="D258" t="s">
        <v>12</v>
      </c>
      <c r="E258" t="s">
        <v>13</v>
      </c>
      <c r="F258" t="s">
        <v>14</v>
      </c>
      <c r="G258" t="s">
        <v>15</v>
      </c>
      <c r="H258" s="5">
        <v>1299</v>
      </c>
      <c r="I258" s="5">
        <v>727.44</v>
      </c>
      <c r="J258" s="2">
        <v>0</v>
      </c>
    </row>
    <row r="259" spans="1:10" x14ac:dyDescent="0.25">
      <c r="A259" s="16">
        <v>248</v>
      </c>
      <c r="B259" s="22">
        <v>42703</v>
      </c>
      <c r="C259" s="16" t="s">
        <v>152</v>
      </c>
      <c r="D259" t="s">
        <v>22</v>
      </c>
      <c r="E259" t="s">
        <v>23</v>
      </c>
      <c r="F259" t="s">
        <v>153</v>
      </c>
      <c r="G259" t="s">
        <v>15</v>
      </c>
      <c r="H259" s="5">
        <v>2199</v>
      </c>
      <c r="I259" s="5">
        <v>1825.1699999999998</v>
      </c>
      <c r="J259" s="2">
        <v>0</v>
      </c>
    </row>
    <row r="260" spans="1:10" x14ac:dyDescent="0.25">
      <c r="A260" s="16">
        <v>249</v>
      </c>
      <c r="B260" s="22">
        <v>42404</v>
      </c>
      <c r="C260" s="16" t="s">
        <v>41</v>
      </c>
      <c r="D260" t="s">
        <v>22</v>
      </c>
      <c r="E260" t="s">
        <v>18</v>
      </c>
      <c r="F260" t="s">
        <v>42</v>
      </c>
      <c r="G260" t="s">
        <v>43</v>
      </c>
      <c r="H260" s="5">
        <v>1149</v>
      </c>
      <c r="I260" s="5">
        <v>896.22</v>
      </c>
      <c r="J260" s="2">
        <v>0.15</v>
      </c>
    </row>
    <row r="261" spans="1:10" x14ac:dyDescent="0.25">
      <c r="A261" s="16">
        <v>250</v>
      </c>
      <c r="B261" s="22">
        <v>42601</v>
      </c>
      <c r="C261" s="16" t="s">
        <v>90</v>
      </c>
      <c r="D261" t="s">
        <v>12</v>
      </c>
      <c r="E261" t="s">
        <v>35</v>
      </c>
      <c r="F261" t="s">
        <v>91</v>
      </c>
      <c r="G261" t="s">
        <v>15</v>
      </c>
      <c r="H261" s="5">
        <v>6999</v>
      </c>
      <c r="I261" s="5">
        <v>4829.3099999999995</v>
      </c>
      <c r="J261" s="2">
        <v>0.15</v>
      </c>
    </row>
    <row r="262" spans="1:10" x14ac:dyDescent="0.25">
      <c r="A262" s="16">
        <v>251</v>
      </c>
      <c r="B262" s="22">
        <v>42575</v>
      </c>
      <c r="C262" s="16" t="s">
        <v>31</v>
      </c>
      <c r="D262" t="s">
        <v>22</v>
      </c>
      <c r="E262" t="s">
        <v>18</v>
      </c>
      <c r="F262" t="s">
        <v>32</v>
      </c>
      <c r="G262" t="s">
        <v>33</v>
      </c>
      <c r="H262" s="5">
        <v>1199</v>
      </c>
      <c r="I262" s="5">
        <v>887.26</v>
      </c>
      <c r="J262" s="2">
        <v>0.2</v>
      </c>
    </row>
    <row r="263" spans="1:10" x14ac:dyDescent="0.25">
      <c r="A263" s="16">
        <v>252</v>
      </c>
      <c r="B263" s="22">
        <v>42455</v>
      </c>
      <c r="C263" s="16" t="s">
        <v>51</v>
      </c>
      <c r="D263" t="s">
        <v>22</v>
      </c>
      <c r="E263" t="s">
        <v>23</v>
      </c>
      <c r="F263" t="s">
        <v>52</v>
      </c>
      <c r="G263" t="s">
        <v>15</v>
      </c>
      <c r="H263" s="5">
        <v>599</v>
      </c>
      <c r="I263" s="5">
        <v>455.24</v>
      </c>
      <c r="J263" s="2">
        <v>0.2</v>
      </c>
    </row>
    <row r="264" spans="1:10" x14ac:dyDescent="0.25">
      <c r="A264" s="16">
        <v>253</v>
      </c>
      <c r="B264" s="22">
        <v>42598</v>
      </c>
      <c r="C264" s="16" t="s">
        <v>51</v>
      </c>
      <c r="D264" t="s">
        <v>22</v>
      </c>
      <c r="E264" t="s">
        <v>23</v>
      </c>
      <c r="F264" t="s">
        <v>52</v>
      </c>
      <c r="G264" t="s">
        <v>15</v>
      </c>
      <c r="H264" s="5">
        <v>599</v>
      </c>
      <c r="I264" s="5">
        <v>455.24</v>
      </c>
      <c r="J264" s="2">
        <v>0</v>
      </c>
    </row>
    <row r="265" spans="1:10" x14ac:dyDescent="0.25">
      <c r="A265" s="16">
        <v>254</v>
      </c>
      <c r="B265" s="22">
        <v>42631</v>
      </c>
      <c r="C265" s="16" t="s">
        <v>51</v>
      </c>
      <c r="D265" t="s">
        <v>22</v>
      </c>
      <c r="E265" t="s">
        <v>23</v>
      </c>
      <c r="F265" t="s">
        <v>52</v>
      </c>
      <c r="G265" t="s">
        <v>15</v>
      </c>
      <c r="H265" s="5">
        <v>599</v>
      </c>
      <c r="I265" s="5">
        <v>455.24</v>
      </c>
      <c r="J265" s="2">
        <v>0.1</v>
      </c>
    </row>
    <row r="266" spans="1:10" x14ac:dyDescent="0.25">
      <c r="A266" s="16">
        <v>255</v>
      </c>
      <c r="B266" s="22">
        <v>42455</v>
      </c>
      <c r="C266" s="16" t="s">
        <v>74</v>
      </c>
      <c r="D266" t="s">
        <v>12</v>
      </c>
      <c r="E266" t="s">
        <v>13</v>
      </c>
      <c r="F266" t="s">
        <v>75</v>
      </c>
      <c r="G266" t="s">
        <v>15</v>
      </c>
      <c r="H266" s="5">
        <v>2599</v>
      </c>
      <c r="I266" s="5">
        <v>1819.3</v>
      </c>
      <c r="J266" s="2">
        <v>0.2</v>
      </c>
    </row>
    <row r="267" spans="1:10" x14ac:dyDescent="0.25">
      <c r="A267" s="16">
        <v>256</v>
      </c>
      <c r="B267" s="22">
        <v>42575</v>
      </c>
      <c r="C267" s="16" t="s">
        <v>70</v>
      </c>
      <c r="D267" t="s">
        <v>26</v>
      </c>
      <c r="E267" t="s">
        <v>45</v>
      </c>
      <c r="F267" t="s">
        <v>71</v>
      </c>
      <c r="G267" t="s">
        <v>15</v>
      </c>
      <c r="H267" s="5">
        <v>449</v>
      </c>
      <c r="I267" s="5">
        <v>161.63999999999999</v>
      </c>
      <c r="J267" s="2">
        <v>0.2</v>
      </c>
    </row>
    <row r="268" spans="1:10" x14ac:dyDescent="0.25">
      <c r="A268" s="16">
        <v>257</v>
      </c>
      <c r="B268" s="22">
        <v>42597</v>
      </c>
      <c r="C268" s="16" t="s">
        <v>25</v>
      </c>
      <c r="D268" t="s">
        <v>26</v>
      </c>
      <c r="E268" t="s">
        <v>27</v>
      </c>
      <c r="F268" t="s">
        <v>28</v>
      </c>
      <c r="G268" t="s">
        <v>15</v>
      </c>
      <c r="H268" s="5">
        <v>1499</v>
      </c>
      <c r="I268" s="5">
        <v>794.47</v>
      </c>
      <c r="J268" s="2">
        <v>0</v>
      </c>
    </row>
    <row r="269" spans="1:10" x14ac:dyDescent="0.25">
      <c r="A269" s="16">
        <v>258</v>
      </c>
      <c r="B269" s="22">
        <v>42454</v>
      </c>
      <c r="C269" s="16" t="s">
        <v>41</v>
      </c>
      <c r="D269" t="s">
        <v>22</v>
      </c>
      <c r="E269" t="s">
        <v>18</v>
      </c>
      <c r="F269" t="s">
        <v>42</v>
      </c>
      <c r="G269" t="s">
        <v>43</v>
      </c>
      <c r="H269" s="5">
        <v>1149</v>
      </c>
      <c r="I269" s="5">
        <v>896.22</v>
      </c>
      <c r="J269" s="2">
        <v>0.15</v>
      </c>
    </row>
    <row r="270" spans="1:10" x14ac:dyDescent="0.25">
      <c r="A270" s="16">
        <v>259</v>
      </c>
      <c r="B270" s="22">
        <v>42506</v>
      </c>
      <c r="C270" s="16" t="s">
        <v>85</v>
      </c>
      <c r="D270" t="s">
        <v>22</v>
      </c>
      <c r="E270" t="s">
        <v>86</v>
      </c>
      <c r="F270" t="s">
        <v>87</v>
      </c>
      <c r="G270" t="s">
        <v>15</v>
      </c>
      <c r="H270" s="5">
        <v>3999</v>
      </c>
      <c r="I270" s="5">
        <v>1399.6499999999999</v>
      </c>
      <c r="J270" s="2">
        <v>0.3</v>
      </c>
    </row>
    <row r="271" spans="1:10" x14ac:dyDescent="0.25">
      <c r="A271" s="16">
        <v>260</v>
      </c>
      <c r="B271" s="22">
        <v>42424</v>
      </c>
      <c r="C271" s="16" t="s">
        <v>61</v>
      </c>
      <c r="D271" t="s">
        <v>26</v>
      </c>
      <c r="E271" t="s">
        <v>45</v>
      </c>
      <c r="F271" t="s">
        <v>62</v>
      </c>
      <c r="G271" t="s">
        <v>15</v>
      </c>
      <c r="H271" s="5">
        <v>799</v>
      </c>
      <c r="I271" s="5">
        <v>679.15</v>
      </c>
      <c r="J271" s="2">
        <v>0.15</v>
      </c>
    </row>
    <row r="272" spans="1:10" x14ac:dyDescent="0.25">
      <c r="A272" s="16">
        <v>261</v>
      </c>
      <c r="B272" s="22">
        <v>42402</v>
      </c>
      <c r="C272" s="16" t="s">
        <v>154</v>
      </c>
      <c r="D272" t="s">
        <v>26</v>
      </c>
      <c r="E272" t="s">
        <v>27</v>
      </c>
      <c r="F272" t="s">
        <v>155</v>
      </c>
      <c r="G272" t="s">
        <v>15</v>
      </c>
      <c r="H272" s="5">
        <v>219</v>
      </c>
      <c r="I272" s="5">
        <v>170.82</v>
      </c>
      <c r="J272" s="2">
        <v>0.2</v>
      </c>
    </row>
    <row r="273" spans="1:10" x14ac:dyDescent="0.25">
      <c r="A273" s="16">
        <v>262</v>
      </c>
      <c r="B273" s="22">
        <v>42782</v>
      </c>
      <c r="C273" s="16" t="s">
        <v>61</v>
      </c>
      <c r="D273" t="s">
        <v>26</v>
      </c>
      <c r="E273" t="s">
        <v>45</v>
      </c>
      <c r="F273" t="s">
        <v>62</v>
      </c>
      <c r="G273" t="s">
        <v>15</v>
      </c>
      <c r="H273" s="5">
        <v>799</v>
      </c>
      <c r="I273" s="5">
        <v>679.15</v>
      </c>
      <c r="J273" s="2">
        <v>0</v>
      </c>
    </row>
    <row r="274" spans="1:10" x14ac:dyDescent="0.25">
      <c r="A274" s="16">
        <v>263</v>
      </c>
      <c r="B274" s="22">
        <v>42454</v>
      </c>
      <c r="C274" s="16" t="s">
        <v>41</v>
      </c>
      <c r="D274" t="s">
        <v>22</v>
      </c>
      <c r="E274" t="s">
        <v>18</v>
      </c>
      <c r="F274" t="s">
        <v>42</v>
      </c>
      <c r="G274" t="s">
        <v>43</v>
      </c>
      <c r="H274" s="5">
        <v>1149</v>
      </c>
      <c r="I274" s="5">
        <v>896.22</v>
      </c>
      <c r="J274" s="2">
        <v>0.15</v>
      </c>
    </row>
    <row r="275" spans="1:10" x14ac:dyDescent="0.25">
      <c r="A275" s="16">
        <v>264</v>
      </c>
      <c r="B275" s="22">
        <v>42428</v>
      </c>
      <c r="C275" s="16" t="s">
        <v>31</v>
      </c>
      <c r="D275" t="s">
        <v>22</v>
      </c>
      <c r="E275" t="s">
        <v>18</v>
      </c>
      <c r="F275" t="s">
        <v>32</v>
      </c>
      <c r="G275" t="s">
        <v>33</v>
      </c>
      <c r="H275" s="5">
        <v>1199</v>
      </c>
      <c r="I275" s="5">
        <v>887.26</v>
      </c>
      <c r="J275" s="2">
        <v>0</v>
      </c>
    </row>
    <row r="276" spans="1:10" x14ac:dyDescent="0.25">
      <c r="A276" s="16">
        <v>265</v>
      </c>
      <c r="B276" s="22">
        <v>42479</v>
      </c>
      <c r="C276" s="16" t="s">
        <v>25</v>
      </c>
      <c r="D276" t="s">
        <v>26</v>
      </c>
      <c r="E276" t="s">
        <v>27</v>
      </c>
      <c r="F276" t="s">
        <v>28</v>
      </c>
      <c r="G276" t="s">
        <v>15</v>
      </c>
      <c r="H276" s="5">
        <v>1499</v>
      </c>
      <c r="I276" s="5">
        <v>794.47</v>
      </c>
      <c r="J276" s="2">
        <v>0.15</v>
      </c>
    </row>
    <row r="277" spans="1:10" x14ac:dyDescent="0.25">
      <c r="A277" s="16">
        <v>266</v>
      </c>
      <c r="B277" s="22">
        <v>42455</v>
      </c>
      <c r="C277" s="16" t="s">
        <v>31</v>
      </c>
      <c r="D277" t="s">
        <v>22</v>
      </c>
      <c r="E277" t="s">
        <v>18</v>
      </c>
      <c r="F277" t="s">
        <v>32</v>
      </c>
      <c r="G277" t="s">
        <v>33</v>
      </c>
      <c r="H277" s="5">
        <v>1199</v>
      </c>
      <c r="I277" s="5">
        <v>887.26</v>
      </c>
      <c r="J277" s="2">
        <v>0.2</v>
      </c>
    </row>
    <row r="278" spans="1:10" x14ac:dyDescent="0.25">
      <c r="A278" s="16">
        <v>267</v>
      </c>
      <c r="B278" s="22">
        <v>42642</v>
      </c>
      <c r="C278" s="16" t="s">
        <v>61</v>
      </c>
      <c r="D278" t="s">
        <v>26</v>
      </c>
      <c r="E278" t="s">
        <v>45</v>
      </c>
      <c r="F278" t="s">
        <v>62</v>
      </c>
      <c r="G278" t="s">
        <v>15</v>
      </c>
      <c r="H278" s="5">
        <v>799</v>
      </c>
      <c r="I278" s="5">
        <v>679.15</v>
      </c>
      <c r="J278" s="2">
        <v>0</v>
      </c>
    </row>
    <row r="279" spans="1:10" x14ac:dyDescent="0.25">
      <c r="A279" s="16">
        <v>268</v>
      </c>
      <c r="B279" s="22">
        <v>42479</v>
      </c>
      <c r="C279" s="16" t="s">
        <v>25</v>
      </c>
      <c r="D279" t="s">
        <v>26</v>
      </c>
      <c r="E279" t="s">
        <v>27</v>
      </c>
      <c r="F279" t="s">
        <v>28</v>
      </c>
      <c r="G279" t="s">
        <v>15</v>
      </c>
      <c r="H279" s="5">
        <v>1499</v>
      </c>
      <c r="I279" s="5">
        <v>794.47</v>
      </c>
      <c r="J279" s="2">
        <v>0.15</v>
      </c>
    </row>
    <row r="280" spans="1:10" x14ac:dyDescent="0.25">
      <c r="A280" s="16">
        <v>269</v>
      </c>
      <c r="B280" s="22">
        <v>42479</v>
      </c>
      <c r="C280" s="16" t="s">
        <v>41</v>
      </c>
      <c r="D280" t="s">
        <v>22</v>
      </c>
      <c r="E280" t="s">
        <v>18</v>
      </c>
      <c r="F280" t="s">
        <v>42</v>
      </c>
      <c r="G280" t="s">
        <v>43</v>
      </c>
      <c r="H280" s="5">
        <v>1149</v>
      </c>
      <c r="I280" s="5">
        <v>896.22</v>
      </c>
      <c r="J280" s="2">
        <v>0.15</v>
      </c>
    </row>
    <row r="281" spans="1:10" x14ac:dyDescent="0.25">
      <c r="A281" s="16">
        <v>270</v>
      </c>
      <c r="B281" s="22">
        <v>42404</v>
      </c>
      <c r="C281" s="16" t="s">
        <v>41</v>
      </c>
      <c r="D281" t="s">
        <v>22</v>
      </c>
      <c r="E281" t="s">
        <v>18</v>
      </c>
      <c r="F281" t="s">
        <v>42</v>
      </c>
      <c r="G281" t="s">
        <v>43</v>
      </c>
      <c r="H281" s="5">
        <v>1149</v>
      </c>
      <c r="I281" s="5">
        <v>896.22</v>
      </c>
      <c r="J281" s="2">
        <v>0.15</v>
      </c>
    </row>
    <row r="282" spans="1:10" x14ac:dyDescent="0.25">
      <c r="A282" s="16">
        <v>271</v>
      </c>
      <c r="B282" s="22">
        <v>42643</v>
      </c>
      <c r="C282" s="16" t="s">
        <v>41</v>
      </c>
      <c r="D282" t="s">
        <v>22</v>
      </c>
      <c r="E282" t="s">
        <v>18</v>
      </c>
      <c r="F282" t="s">
        <v>42</v>
      </c>
      <c r="G282" t="s">
        <v>43</v>
      </c>
      <c r="H282" s="5">
        <v>1149</v>
      </c>
      <c r="I282" s="5">
        <v>896.22</v>
      </c>
      <c r="J282" s="2">
        <v>0.2</v>
      </c>
    </row>
    <row r="283" spans="1:10" x14ac:dyDescent="0.25">
      <c r="A283" s="16">
        <v>272</v>
      </c>
      <c r="B283" s="22">
        <v>42422</v>
      </c>
      <c r="C283" s="16" t="s">
        <v>41</v>
      </c>
      <c r="D283" t="s">
        <v>22</v>
      </c>
      <c r="E283" t="s">
        <v>18</v>
      </c>
      <c r="F283" t="s">
        <v>42</v>
      </c>
      <c r="G283" t="s">
        <v>43</v>
      </c>
      <c r="H283" s="5">
        <v>1149</v>
      </c>
      <c r="I283" s="5">
        <v>896.22</v>
      </c>
      <c r="J283" s="2">
        <v>0</v>
      </c>
    </row>
    <row r="284" spans="1:10" x14ac:dyDescent="0.25">
      <c r="A284" s="16">
        <v>273</v>
      </c>
      <c r="B284" s="22">
        <v>42402</v>
      </c>
      <c r="C284" s="16" t="s">
        <v>49</v>
      </c>
      <c r="D284" t="s">
        <v>26</v>
      </c>
      <c r="E284" t="s">
        <v>27</v>
      </c>
      <c r="F284" t="s">
        <v>50</v>
      </c>
      <c r="G284" t="s">
        <v>15</v>
      </c>
      <c r="H284" s="5">
        <v>259</v>
      </c>
      <c r="I284" s="5">
        <v>106.19</v>
      </c>
      <c r="J284" s="2">
        <v>0.2</v>
      </c>
    </row>
    <row r="285" spans="1:10" x14ac:dyDescent="0.25">
      <c r="A285" s="16">
        <v>274</v>
      </c>
      <c r="B285" s="22">
        <v>42657</v>
      </c>
      <c r="C285" s="16" t="s">
        <v>31</v>
      </c>
      <c r="D285" t="s">
        <v>22</v>
      </c>
      <c r="E285" t="s">
        <v>18</v>
      </c>
      <c r="F285" t="s">
        <v>32</v>
      </c>
      <c r="G285" t="s">
        <v>33</v>
      </c>
      <c r="H285" s="5">
        <v>1199</v>
      </c>
      <c r="I285" s="5">
        <v>887.26</v>
      </c>
      <c r="J285" s="2">
        <v>0.15</v>
      </c>
    </row>
    <row r="286" spans="1:10" x14ac:dyDescent="0.25">
      <c r="A286" s="16">
        <v>275</v>
      </c>
      <c r="B286" s="22">
        <v>42601</v>
      </c>
      <c r="C286" s="16" t="s">
        <v>29</v>
      </c>
      <c r="D286" t="s">
        <v>26</v>
      </c>
      <c r="E286" t="s">
        <v>27</v>
      </c>
      <c r="F286" t="s">
        <v>30</v>
      </c>
      <c r="G286" t="s">
        <v>15</v>
      </c>
      <c r="H286" s="5">
        <v>259</v>
      </c>
      <c r="I286" s="5">
        <v>220.15</v>
      </c>
      <c r="J286" s="2">
        <v>0.15</v>
      </c>
    </row>
    <row r="287" spans="1:10" x14ac:dyDescent="0.25">
      <c r="A287" s="16">
        <v>276</v>
      </c>
      <c r="B287" s="22">
        <v>42597</v>
      </c>
      <c r="C287" s="16" t="s">
        <v>41</v>
      </c>
      <c r="D287" t="s">
        <v>22</v>
      </c>
      <c r="E287" t="s">
        <v>18</v>
      </c>
      <c r="F287" t="s">
        <v>42</v>
      </c>
      <c r="G287" t="s">
        <v>43</v>
      </c>
      <c r="H287" s="5">
        <v>1149</v>
      </c>
      <c r="I287" s="5">
        <v>896.22</v>
      </c>
      <c r="J287" s="2">
        <v>0</v>
      </c>
    </row>
    <row r="288" spans="1:10" x14ac:dyDescent="0.25">
      <c r="A288" s="16">
        <v>277</v>
      </c>
      <c r="B288" s="22">
        <v>42546</v>
      </c>
      <c r="C288" s="16" t="s">
        <v>61</v>
      </c>
      <c r="D288" t="s">
        <v>26</v>
      </c>
      <c r="E288" t="s">
        <v>45</v>
      </c>
      <c r="F288" t="s">
        <v>62</v>
      </c>
      <c r="G288" t="s">
        <v>15</v>
      </c>
      <c r="H288" s="5">
        <v>799</v>
      </c>
      <c r="I288" s="5">
        <v>679.15</v>
      </c>
      <c r="J288" s="2">
        <v>0.2</v>
      </c>
    </row>
    <row r="289" spans="1:10" x14ac:dyDescent="0.25">
      <c r="A289" s="16">
        <v>278</v>
      </c>
      <c r="B289" s="22">
        <v>42744</v>
      </c>
      <c r="C289" s="16" t="s">
        <v>41</v>
      </c>
      <c r="D289" t="s">
        <v>22</v>
      </c>
      <c r="E289" t="s">
        <v>18</v>
      </c>
      <c r="F289" t="s">
        <v>42</v>
      </c>
      <c r="G289" t="s">
        <v>43</v>
      </c>
      <c r="H289" s="5">
        <v>1149</v>
      </c>
      <c r="I289" s="5">
        <v>896.22</v>
      </c>
      <c r="J289" s="2">
        <v>0</v>
      </c>
    </row>
    <row r="290" spans="1:10" x14ac:dyDescent="0.25">
      <c r="A290" s="16">
        <v>279</v>
      </c>
      <c r="B290" s="22">
        <v>42402</v>
      </c>
      <c r="C290" s="16" t="s">
        <v>85</v>
      </c>
      <c r="D290" t="s">
        <v>22</v>
      </c>
      <c r="E290" t="s">
        <v>86</v>
      </c>
      <c r="F290" t="s">
        <v>87</v>
      </c>
      <c r="G290" t="s">
        <v>15</v>
      </c>
      <c r="H290" s="5">
        <v>3999</v>
      </c>
      <c r="I290" s="5">
        <v>1399.6499999999999</v>
      </c>
      <c r="J290" s="2">
        <v>0.2</v>
      </c>
    </row>
    <row r="291" spans="1:10" x14ac:dyDescent="0.25">
      <c r="A291" s="16">
        <v>280</v>
      </c>
      <c r="B291" s="22">
        <v>42424</v>
      </c>
      <c r="C291" s="16" t="s">
        <v>39</v>
      </c>
      <c r="D291" t="s">
        <v>22</v>
      </c>
      <c r="E291" t="s">
        <v>23</v>
      </c>
      <c r="F291" t="s">
        <v>40</v>
      </c>
      <c r="G291" t="s">
        <v>15</v>
      </c>
      <c r="H291" s="5">
        <v>2499</v>
      </c>
      <c r="I291" s="5">
        <v>1349.46</v>
      </c>
      <c r="J291" s="2">
        <v>0.15</v>
      </c>
    </row>
    <row r="292" spans="1:10" x14ac:dyDescent="0.25">
      <c r="A292" s="16">
        <v>281</v>
      </c>
      <c r="B292" s="22">
        <v>42402</v>
      </c>
      <c r="C292" s="16" t="s">
        <v>65</v>
      </c>
      <c r="D292" t="s">
        <v>12</v>
      </c>
      <c r="E292" t="s">
        <v>13</v>
      </c>
      <c r="F292" t="s">
        <v>66</v>
      </c>
      <c r="G292" t="s">
        <v>15</v>
      </c>
      <c r="H292" s="5">
        <v>1499</v>
      </c>
      <c r="I292" s="5">
        <v>584.61</v>
      </c>
      <c r="J292" s="2">
        <v>0.2</v>
      </c>
    </row>
    <row r="293" spans="1:10" x14ac:dyDescent="0.25">
      <c r="A293" s="16">
        <v>282</v>
      </c>
      <c r="B293" s="22">
        <v>42506</v>
      </c>
      <c r="C293" s="16" t="s">
        <v>96</v>
      </c>
      <c r="D293" t="s">
        <v>12</v>
      </c>
      <c r="E293" t="s">
        <v>35</v>
      </c>
      <c r="F293" t="s">
        <v>97</v>
      </c>
      <c r="G293" t="s">
        <v>15</v>
      </c>
      <c r="H293" s="5">
        <v>11999</v>
      </c>
      <c r="I293" s="5">
        <v>7799.35</v>
      </c>
      <c r="J293" s="2">
        <v>0.3</v>
      </c>
    </row>
    <row r="294" spans="1:10" x14ac:dyDescent="0.25">
      <c r="A294" s="16">
        <v>283</v>
      </c>
      <c r="B294" s="22">
        <v>42691</v>
      </c>
      <c r="C294" s="16" t="s">
        <v>41</v>
      </c>
      <c r="D294" t="s">
        <v>22</v>
      </c>
      <c r="E294" t="s">
        <v>18</v>
      </c>
      <c r="F294" t="s">
        <v>42</v>
      </c>
      <c r="G294" t="s">
        <v>43</v>
      </c>
      <c r="H294" s="5">
        <v>1149</v>
      </c>
      <c r="I294" s="5">
        <v>896.22</v>
      </c>
      <c r="J294" s="2">
        <v>0</v>
      </c>
    </row>
    <row r="295" spans="1:10" x14ac:dyDescent="0.25">
      <c r="A295" s="16">
        <v>284</v>
      </c>
      <c r="B295" s="22">
        <v>42794</v>
      </c>
      <c r="C295" s="16" t="s">
        <v>51</v>
      </c>
      <c r="D295" t="s">
        <v>22</v>
      </c>
      <c r="E295" t="s">
        <v>23</v>
      </c>
      <c r="F295" t="s">
        <v>52</v>
      </c>
      <c r="G295" t="s">
        <v>15</v>
      </c>
      <c r="H295" s="5">
        <v>599</v>
      </c>
      <c r="I295" s="5">
        <v>455.24</v>
      </c>
      <c r="J295" s="2">
        <v>0</v>
      </c>
    </row>
    <row r="296" spans="1:10" x14ac:dyDescent="0.25">
      <c r="A296" s="16">
        <v>285</v>
      </c>
      <c r="B296" s="22">
        <v>42672</v>
      </c>
      <c r="C296" s="16" t="s">
        <v>74</v>
      </c>
      <c r="D296" t="s">
        <v>12</v>
      </c>
      <c r="E296" t="s">
        <v>13</v>
      </c>
      <c r="F296" t="s">
        <v>75</v>
      </c>
      <c r="G296" t="s">
        <v>15</v>
      </c>
      <c r="H296" s="5">
        <v>2599</v>
      </c>
      <c r="I296" s="5">
        <v>1819.3</v>
      </c>
      <c r="J296" s="2">
        <v>0.15</v>
      </c>
    </row>
    <row r="297" spans="1:10" x14ac:dyDescent="0.25">
      <c r="A297" s="16">
        <v>286</v>
      </c>
      <c r="B297" s="22">
        <v>42575</v>
      </c>
      <c r="C297" s="16" t="s">
        <v>96</v>
      </c>
      <c r="D297" t="s">
        <v>12</v>
      </c>
      <c r="E297" t="s">
        <v>35</v>
      </c>
      <c r="F297" t="s">
        <v>97</v>
      </c>
      <c r="G297" t="s">
        <v>15</v>
      </c>
      <c r="H297" s="5">
        <v>11999</v>
      </c>
      <c r="I297" s="5">
        <v>7799.35</v>
      </c>
      <c r="J297" s="2">
        <v>0.2</v>
      </c>
    </row>
    <row r="298" spans="1:10" x14ac:dyDescent="0.25">
      <c r="A298" s="16">
        <v>287</v>
      </c>
      <c r="B298" s="22">
        <v>42479</v>
      </c>
      <c r="C298" s="16" t="s">
        <v>29</v>
      </c>
      <c r="D298" t="s">
        <v>26</v>
      </c>
      <c r="E298" t="s">
        <v>27</v>
      </c>
      <c r="F298" t="s">
        <v>30</v>
      </c>
      <c r="G298" t="s">
        <v>15</v>
      </c>
      <c r="H298" s="5">
        <v>259</v>
      </c>
      <c r="I298" s="5">
        <v>220.15</v>
      </c>
      <c r="J298" s="2">
        <v>0.15</v>
      </c>
    </row>
    <row r="299" spans="1:10" x14ac:dyDescent="0.25">
      <c r="A299" s="16">
        <v>288</v>
      </c>
      <c r="B299" s="22">
        <v>42479</v>
      </c>
      <c r="C299" s="16" t="s">
        <v>47</v>
      </c>
      <c r="D299" t="s">
        <v>26</v>
      </c>
      <c r="E299" t="s">
        <v>27</v>
      </c>
      <c r="F299" t="s">
        <v>48</v>
      </c>
      <c r="G299" t="s">
        <v>15</v>
      </c>
      <c r="H299" s="5">
        <v>699</v>
      </c>
      <c r="I299" s="5">
        <v>482.30999999999995</v>
      </c>
      <c r="J299" s="2">
        <v>0.15</v>
      </c>
    </row>
    <row r="300" spans="1:10" x14ac:dyDescent="0.25">
      <c r="A300" s="16">
        <v>289</v>
      </c>
      <c r="B300" s="22">
        <v>42455</v>
      </c>
      <c r="C300" s="16" t="s">
        <v>34</v>
      </c>
      <c r="D300" t="s">
        <v>12</v>
      </c>
      <c r="E300" t="s">
        <v>35</v>
      </c>
      <c r="F300" t="s">
        <v>36</v>
      </c>
      <c r="G300" t="s">
        <v>15</v>
      </c>
      <c r="H300" s="5">
        <v>7999</v>
      </c>
      <c r="I300" s="5">
        <v>3199.6000000000004</v>
      </c>
      <c r="J300" s="2">
        <v>0.2</v>
      </c>
    </row>
    <row r="301" spans="1:10" x14ac:dyDescent="0.25">
      <c r="A301" s="16">
        <v>290</v>
      </c>
      <c r="B301" s="22">
        <v>42520</v>
      </c>
      <c r="C301" s="16" t="s">
        <v>156</v>
      </c>
      <c r="D301" t="s">
        <v>22</v>
      </c>
      <c r="E301" t="s">
        <v>23</v>
      </c>
      <c r="F301" t="s">
        <v>157</v>
      </c>
      <c r="G301" t="s">
        <v>15</v>
      </c>
      <c r="H301" s="5">
        <v>399</v>
      </c>
      <c r="I301" s="5">
        <v>239.39999999999998</v>
      </c>
      <c r="J301" s="2">
        <v>0.2</v>
      </c>
    </row>
    <row r="302" spans="1:10" x14ac:dyDescent="0.25">
      <c r="A302" s="16">
        <v>291</v>
      </c>
      <c r="B302" s="22">
        <v>42388</v>
      </c>
      <c r="C302" s="16" t="s">
        <v>31</v>
      </c>
      <c r="D302" t="s">
        <v>22</v>
      </c>
      <c r="E302" t="s">
        <v>18</v>
      </c>
      <c r="F302" t="s">
        <v>32</v>
      </c>
      <c r="G302" t="s">
        <v>33</v>
      </c>
      <c r="H302" s="5">
        <v>1199</v>
      </c>
      <c r="I302" s="5">
        <v>887.26</v>
      </c>
      <c r="J302" s="2">
        <v>0.15</v>
      </c>
    </row>
    <row r="303" spans="1:10" x14ac:dyDescent="0.25">
      <c r="A303" s="16">
        <v>292</v>
      </c>
      <c r="B303" s="22">
        <v>42518</v>
      </c>
      <c r="C303" s="16" t="s">
        <v>16</v>
      </c>
      <c r="D303" t="s">
        <v>22</v>
      </c>
      <c r="E303" t="s">
        <v>18</v>
      </c>
      <c r="F303" t="s">
        <v>19</v>
      </c>
      <c r="G303" t="s">
        <v>20</v>
      </c>
      <c r="H303" s="5">
        <v>1149</v>
      </c>
      <c r="I303" s="5">
        <v>792.81</v>
      </c>
      <c r="J303" s="2">
        <v>0</v>
      </c>
    </row>
    <row r="304" spans="1:10" x14ac:dyDescent="0.25">
      <c r="A304" s="16">
        <v>293</v>
      </c>
      <c r="B304" s="22">
        <v>42404</v>
      </c>
      <c r="C304" s="16" t="s">
        <v>106</v>
      </c>
      <c r="D304" t="s">
        <v>22</v>
      </c>
      <c r="E304" t="s">
        <v>23</v>
      </c>
      <c r="F304" t="s">
        <v>107</v>
      </c>
      <c r="G304" t="s">
        <v>15</v>
      </c>
      <c r="H304" s="5">
        <v>259</v>
      </c>
      <c r="I304" s="5">
        <v>111.37</v>
      </c>
      <c r="J304" s="2">
        <v>0.15</v>
      </c>
    </row>
    <row r="305" spans="1:10" x14ac:dyDescent="0.25">
      <c r="A305" s="16">
        <v>294</v>
      </c>
      <c r="B305" s="22">
        <v>42520</v>
      </c>
      <c r="C305" s="16" t="s">
        <v>120</v>
      </c>
      <c r="D305" t="s">
        <v>22</v>
      </c>
      <c r="E305" t="s">
        <v>23</v>
      </c>
      <c r="F305" t="s">
        <v>121</v>
      </c>
      <c r="G305" t="s">
        <v>15</v>
      </c>
      <c r="H305" s="5">
        <v>169</v>
      </c>
      <c r="I305" s="5">
        <v>130.13</v>
      </c>
      <c r="J305" s="2">
        <v>0.2</v>
      </c>
    </row>
    <row r="306" spans="1:10" x14ac:dyDescent="0.25">
      <c r="A306" s="16">
        <v>295</v>
      </c>
      <c r="B306" s="22">
        <v>42402</v>
      </c>
      <c r="C306" s="16" t="s">
        <v>21</v>
      </c>
      <c r="D306" t="s">
        <v>22</v>
      </c>
      <c r="E306" t="s">
        <v>23</v>
      </c>
      <c r="F306" t="s">
        <v>24</v>
      </c>
      <c r="G306" t="s">
        <v>15</v>
      </c>
      <c r="H306" s="5">
        <v>359</v>
      </c>
      <c r="I306" s="5">
        <v>244.12</v>
      </c>
      <c r="J306" s="2">
        <v>0.2</v>
      </c>
    </row>
    <row r="307" spans="1:10" x14ac:dyDescent="0.25">
      <c r="A307" s="16">
        <v>296</v>
      </c>
      <c r="B307" s="22">
        <v>42506</v>
      </c>
      <c r="C307" s="16" t="s">
        <v>21</v>
      </c>
      <c r="D307" t="s">
        <v>22</v>
      </c>
      <c r="E307" t="s">
        <v>23</v>
      </c>
      <c r="F307" t="s">
        <v>24</v>
      </c>
      <c r="G307" t="s">
        <v>15</v>
      </c>
      <c r="H307" s="5">
        <v>359</v>
      </c>
      <c r="I307" s="5">
        <v>244.12</v>
      </c>
      <c r="J307" s="2">
        <v>0.3</v>
      </c>
    </row>
    <row r="308" spans="1:10" x14ac:dyDescent="0.25">
      <c r="A308" s="16">
        <v>297</v>
      </c>
      <c r="B308" s="22">
        <v>42438</v>
      </c>
      <c r="C308" s="16" t="s">
        <v>128</v>
      </c>
      <c r="D308" t="s">
        <v>26</v>
      </c>
      <c r="E308" t="s">
        <v>45</v>
      </c>
      <c r="F308" t="s">
        <v>129</v>
      </c>
      <c r="G308" t="s">
        <v>15</v>
      </c>
      <c r="H308" s="5">
        <v>399</v>
      </c>
      <c r="I308" s="5">
        <v>323.19</v>
      </c>
      <c r="J308" s="2">
        <v>0.15</v>
      </c>
    </row>
    <row r="309" spans="1:10" x14ac:dyDescent="0.25">
      <c r="A309" s="16">
        <v>298</v>
      </c>
      <c r="B309" s="22">
        <v>42479</v>
      </c>
      <c r="C309" s="16" t="s">
        <v>41</v>
      </c>
      <c r="D309" t="s">
        <v>17</v>
      </c>
      <c r="E309" t="s">
        <v>18</v>
      </c>
      <c r="F309" t="s">
        <v>42</v>
      </c>
      <c r="G309" t="s">
        <v>43</v>
      </c>
      <c r="H309" s="5">
        <v>1149</v>
      </c>
      <c r="I309" s="5">
        <v>896.22</v>
      </c>
      <c r="J309" s="2">
        <v>0.15</v>
      </c>
    </row>
    <row r="310" spans="1:10" x14ac:dyDescent="0.25">
      <c r="A310" s="16">
        <v>299</v>
      </c>
      <c r="B310" s="22">
        <v>42643</v>
      </c>
      <c r="C310" s="16" t="s">
        <v>11</v>
      </c>
      <c r="D310" t="s">
        <v>12</v>
      </c>
      <c r="E310" t="s">
        <v>13</v>
      </c>
      <c r="F310" t="s">
        <v>14</v>
      </c>
      <c r="G310" t="s">
        <v>15</v>
      </c>
      <c r="H310" s="5">
        <v>1299</v>
      </c>
      <c r="I310" s="5">
        <v>727.44</v>
      </c>
      <c r="J310" s="2">
        <v>0.2</v>
      </c>
    </row>
    <row r="311" spans="1:10" x14ac:dyDescent="0.25">
      <c r="A311" s="16">
        <v>300</v>
      </c>
      <c r="B311" s="22">
        <v>42402</v>
      </c>
      <c r="C311" s="16" t="s">
        <v>63</v>
      </c>
      <c r="D311" t="s">
        <v>12</v>
      </c>
      <c r="E311" t="s">
        <v>35</v>
      </c>
      <c r="F311" t="s">
        <v>64</v>
      </c>
      <c r="G311" t="s">
        <v>15</v>
      </c>
      <c r="H311" s="5">
        <v>13999</v>
      </c>
      <c r="I311" s="5">
        <v>9659.31</v>
      </c>
      <c r="J311" s="2">
        <v>0.2</v>
      </c>
    </row>
    <row r="312" spans="1:10" x14ac:dyDescent="0.25">
      <c r="A312" s="16">
        <v>301</v>
      </c>
      <c r="B312" s="22">
        <v>42601</v>
      </c>
      <c r="C312" s="16" t="s">
        <v>51</v>
      </c>
      <c r="D312" t="s">
        <v>22</v>
      </c>
      <c r="E312" t="s">
        <v>23</v>
      </c>
      <c r="F312" t="s">
        <v>52</v>
      </c>
      <c r="G312" t="s">
        <v>15</v>
      </c>
      <c r="H312" s="5">
        <v>599</v>
      </c>
      <c r="I312" s="5">
        <v>455.24</v>
      </c>
      <c r="J312" s="2">
        <v>0.15</v>
      </c>
    </row>
    <row r="313" spans="1:10" x14ac:dyDescent="0.25">
      <c r="A313" s="16">
        <v>302</v>
      </c>
      <c r="B313" s="22">
        <v>42674</v>
      </c>
      <c r="C313" s="16" t="s">
        <v>134</v>
      </c>
      <c r="D313" t="s">
        <v>22</v>
      </c>
      <c r="E313" t="s">
        <v>18</v>
      </c>
      <c r="F313" t="s">
        <v>135</v>
      </c>
      <c r="G313" t="s">
        <v>33</v>
      </c>
      <c r="H313" s="5">
        <v>409</v>
      </c>
      <c r="I313" s="5">
        <v>237.21999999999997</v>
      </c>
      <c r="J313" s="2">
        <v>0</v>
      </c>
    </row>
    <row r="314" spans="1:10" x14ac:dyDescent="0.25">
      <c r="A314" s="16">
        <v>303</v>
      </c>
      <c r="B314" s="22">
        <v>42375</v>
      </c>
      <c r="C314" s="16" t="s">
        <v>29</v>
      </c>
      <c r="D314" t="s">
        <v>26</v>
      </c>
      <c r="E314" t="s">
        <v>27</v>
      </c>
      <c r="F314" t="s">
        <v>30</v>
      </c>
      <c r="G314" t="s">
        <v>15</v>
      </c>
      <c r="H314" s="5">
        <v>259</v>
      </c>
      <c r="I314" s="5">
        <v>220.15</v>
      </c>
      <c r="J314" s="2">
        <v>0</v>
      </c>
    </row>
    <row r="315" spans="1:10" x14ac:dyDescent="0.25">
      <c r="A315" s="16">
        <v>304</v>
      </c>
      <c r="B315" s="22">
        <v>42438</v>
      </c>
      <c r="C315" s="16" t="s">
        <v>90</v>
      </c>
      <c r="D315" t="s">
        <v>12</v>
      </c>
      <c r="E315" t="s">
        <v>35</v>
      </c>
      <c r="F315" t="s">
        <v>91</v>
      </c>
      <c r="G315" t="s">
        <v>15</v>
      </c>
      <c r="H315" s="5">
        <v>6999</v>
      </c>
      <c r="I315" s="5">
        <v>4829.3099999999995</v>
      </c>
      <c r="J315" s="2">
        <v>0.15</v>
      </c>
    </row>
    <row r="316" spans="1:10" x14ac:dyDescent="0.25">
      <c r="A316" s="16">
        <v>305</v>
      </c>
      <c r="B316" s="22">
        <v>42631</v>
      </c>
      <c r="C316" s="16" t="s">
        <v>29</v>
      </c>
      <c r="D316" t="s">
        <v>26</v>
      </c>
      <c r="E316" t="s">
        <v>27</v>
      </c>
      <c r="F316" t="s">
        <v>30</v>
      </c>
      <c r="G316" t="s">
        <v>15</v>
      </c>
      <c r="H316" s="5">
        <v>259</v>
      </c>
      <c r="I316" s="5">
        <v>220.15</v>
      </c>
      <c r="J316" s="2">
        <v>0.1</v>
      </c>
    </row>
    <row r="317" spans="1:10" x14ac:dyDescent="0.25">
      <c r="A317" s="16">
        <v>306</v>
      </c>
      <c r="B317" s="22">
        <v>42388</v>
      </c>
      <c r="C317" s="16" t="s">
        <v>158</v>
      </c>
      <c r="D317" t="s">
        <v>22</v>
      </c>
      <c r="E317" t="s">
        <v>86</v>
      </c>
      <c r="F317" t="s">
        <v>159</v>
      </c>
      <c r="G317" t="s">
        <v>15</v>
      </c>
      <c r="H317" s="5">
        <v>4599</v>
      </c>
      <c r="I317" s="5">
        <v>3817.1699999999996</v>
      </c>
      <c r="J317" s="2">
        <v>0.15</v>
      </c>
    </row>
    <row r="318" spans="1:10" x14ac:dyDescent="0.25">
      <c r="A318" s="16">
        <v>307</v>
      </c>
      <c r="B318" s="22">
        <v>42573</v>
      </c>
      <c r="C318" s="16" t="s">
        <v>122</v>
      </c>
      <c r="D318" t="s">
        <v>22</v>
      </c>
      <c r="E318" t="s">
        <v>23</v>
      </c>
      <c r="F318" t="s">
        <v>123</v>
      </c>
      <c r="G318" t="s">
        <v>15</v>
      </c>
      <c r="H318" s="5">
        <v>999</v>
      </c>
      <c r="I318" s="5">
        <v>569.42999999999995</v>
      </c>
      <c r="J318" s="2">
        <v>0.15</v>
      </c>
    </row>
    <row r="319" spans="1:10" x14ac:dyDescent="0.25">
      <c r="A319" s="16">
        <v>308</v>
      </c>
      <c r="B319" s="22">
        <v>42590</v>
      </c>
      <c r="C319" s="16" t="s">
        <v>11</v>
      </c>
      <c r="D319" t="s">
        <v>12</v>
      </c>
      <c r="E319" t="s">
        <v>13</v>
      </c>
      <c r="F319" t="s">
        <v>14</v>
      </c>
      <c r="G319" t="s">
        <v>15</v>
      </c>
      <c r="H319" s="5">
        <v>1299</v>
      </c>
      <c r="I319" s="5">
        <v>727.44</v>
      </c>
      <c r="J319" s="2">
        <v>0</v>
      </c>
    </row>
    <row r="320" spans="1:10" x14ac:dyDescent="0.25">
      <c r="A320" s="16">
        <v>309</v>
      </c>
      <c r="B320" s="22">
        <v>42608</v>
      </c>
      <c r="C320" s="16" t="s">
        <v>85</v>
      </c>
      <c r="D320" t="s">
        <v>22</v>
      </c>
      <c r="E320" t="s">
        <v>86</v>
      </c>
      <c r="F320" t="s">
        <v>87</v>
      </c>
      <c r="G320" t="s">
        <v>15</v>
      </c>
      <c r="H320" s="5">
        <v>3999</v>
      </c>
      <c r="I320" s="5">
        <v>1399.6499999999999</v>
      </c>
      <c r="J320" s="2">
        <v>0</v>
      </c>
    </row>
    <row r="321" spans="1:10" x14ac:dyDescent="0.25">
      <c r="A321" s="16">
        <v>310</v>
      </c>
      <c r="B321" s="22">
        <v>42672</v>
      </c>
      <c r="C321" s="16" t="s">
        <v>31</v>
      </c>
      <c r="D321" t="s">
        <v>22</v>
      </c>
      <c r="E321" t="s">
        <v>18</v>
      </c>
      <c r="F321" t="s">
        <v>32</v>
      </c>
      <c r="G321" t="s">
        <v>33</v>
      </c>
      <c r="H321" s="5">
        <v>1199</v>
      </c>
      <c r="I321" s="5">
        <v>887.26</v>
      </c>
      <c r="J321" s="2">
        <v>0.15</v>
      </c>
    </row>
    <row r="322" spans="1:10" x14ac:dyDescent="0.25">
      <c r="A322" s="16">
        <v>311</v>
      </c>
      <c r="B322" s="22">
        <v>42736</v>
      </c>
      <c r="C322" s="16" t="s">
        <v>114</v>
      </c>
      <c r="D322" t="s">
        <v>22</v>
      </c>
      <c r="E322" t="s">
        <v>86</v>
      </c>
      <c r="F322" t="s">
        <v>115</v>
      </c>
      <c r="G322" t="s">
        <v>15</v>
      </c>
      <c r="H322" s="5">
        <v>7999</v>
      </c>
      <c r="I322" s="5">
        <v>5039.37</v>
      </c>
      <c r="J322" s="2">
        <v>0.15</v>
      </c>
    </row>
    <row r="323" spans="1:10" x14ac:dyDescent="0.25">
      <c r="A323" s="16">
        <v>312</v>
      </c>
      <c r="B323" s="22">
        <v>42657</v>
      </c>
      <c r="C323" s="16" t="s">
        <v>79</v>
      </c>
      <c r="D323" t="s">
        <v>26</v>
      </c>
      <c r="E323" t="s">
        <v>27</v>
      </c>
      <c r="F323" t="s">
        <v>80</v>
      </c>
      <c r="G323" t="s">
        <v>15</v>
      </c>
      <c r="H323" s="5">
        <v>499</v>
      </c>
      <c r="I323" s="5">
        <v>174.64999999999998</v>
      </c>
      <c r="J323" s="2">
        <v>0.15</v>
      </c>
    </row>
    <row r="324" spans="1:10" x14ac:dyDescent="0.25">
      <c r="A324" s="16">
        <v>313</v>
      </c>
      <c r="B324" s="22">
        <v>42560</v>
      </c>
      <c r="C324" s="16" t="s">
        <v>51</v>
      </c>
      <c r="D324" t="s">
        <v>22</v>
      </c>
      <c r="E324" t="s">
        <v>23</v>
      </c>
      <c r="F324" t="s">
        <v>52</v>
      </c>
      <c r="G324" t="s">
        <v>15</v>
      </c>
      <c r="H324" s="5">
        <v>599</v>
      </c>
      <c r="I324" s="5">
        <v>455.24</v>
      </c>
      <c r="J324" s="2">
        <v>0</v>
      </c>
    </row>
    <row r="325" spans="1:10" x14ac:dyDescent="0.25">
      <c r="A325" s="16">
        <v>314</v>
      </c>
      <c r="B325" s="22">
        <v>42689</v>
      </c>
      <c r="C325" s="16" t="s">
        <v>31</v>
      </c>
      <c r="D325" t="s">
        <v>22</v>
      </c>
      <c r="E325" t="s">
        <v>18</v>
      </c>
      <c r="F325" t="s">
        <v>32</v>
      </c>
      <c r="G325" t="s">
        <v>33</v>
      </c>
      <c r="H325" s="5">
        <v>1199</v>
      </c>
      <c r="I325" s="5">
        <v>887.26</v>
      </c>
      <c r="J325" s="2">
        <v>0</v>
      </c>
    </row>
    <row r="326" spans="1:10" x14ac:dyDescent="0.25">
      <c r="A326" s="16">
        <v>315</v>
      </c>
      <c r="B326" s="22">
        <v>42781</v>
      </c>
      <c r="C326" s="16" t="s">
        <v>63</v>
      </c>
      <c r="D326" t="s">
        <v>12</v>
      </c>
      <c r="E326" t="s">
        <v>35</v>
      </c>
      <c r="F326" t="s">
        <v>64</v>
      </c>
      <c r="G326" t="s">
        <v>15</v>
      </c>
      <c r="H326" s="5">
        <v>13999</v>
      </c>
      <c r="I326" s="5">
        <v>9659.31</v>
      </c>
      <c r="J326" s="2">
        <v>0</v>
      </c>
    </row>
    <row r="327" spans="1:10" x14ac:dyDescent="0.25">
      <c r="A327" s="16">
        <v>316</v>
      </c>
      <c r="B327" s="22">
        <v>42424</v>
      </c>
      <c r="C327" s="16" t="s">
        <v>144</v>
      </c>
      <c r="D327" t="s">
        <v>12</v>
      </c>
      <c r="E327" t="s">
        <v>35</v>
      </c>
      <c r="F327" t="s">
        <v>145</v>
      </c>
      <c r="G327" t="s">
        <v>15</v>
      </c>
      <c r="H327" s="5">
        <v>8999</v>
      </c>
      <c r="I327" s="5">
        <v>6839.24</v>
      </c>
      <c r="J327" s="2">
        <v>0.15</v>
      </c>
    </row>
    <row r="328" spans="1:10" x14ac:dyDescent="0.25">
      <c r="A328" s="16">
        <v>317</v>
      </c>
      <c r="B328" s="22">
        <v>42506</v>
      </c>
      <c r="C328" s="16" t="s">
        <v>116</v>
      </c>
      <c r="D328" t="s">
        <v>22</v>
      </c>
      <c r="E328" t="s">
        <v>86</v>
      </c>
      <c r="F328" t="s">
        <v>117</v>
      </c>
      <c r="G328" t="s">
        <v>15</v>
      </c>
      <c r="H328" s="5">
        <v>5999</v>
      </c>
      <c r="I328" s="5">
        <v>3659.39</v>
      </c>
      <c r="J328" s="2">
        <v>0.3</v>
      </c>
    </row>
    <row r="329" spans="1:10" x14ac:dyDescent="0.25">
      <c r="A329" s="16">
        <v>318</v>
      </c>
      <c r="B329" s="22">
        <v>42416</v>
      </c>
      <c r="C329" s="16" t="s">
        <v>142</v>
      </c>
      <c r="D329" t="s">
        <v>12</v>
      </c>
      <c r="E329" t="s">
        <v>35</v>
      </c>
      <c r="F329" t="s">
        <v>143</v>
      </c>
      <c r="G329" t="s">
        <v>15</v>
      </c>
      <c r="H329" s="5">
        <v>2299</v>
      </c>
      <c r="I329" s="5">
        <v>1218.47</v>
      </c>
      <c r="J329" s="2">
        <v>0</v>
      </c>
    </row>
    <row r="330" spans="1:10" x14ac:dyDescent="0.25">
      <c r="A330" s="16">
        <v>319</v>
      </c>
      <c r="B330" s="22">
        <v>42736</v>
      </c>
      <c r="C330" s="16" t="s">
        <v>31</v>
      </c>
      <c r="D330" t="s">
        <v>22</v>
      </c>
      <c r="E330" t="s">
        <v>18</v>
      </c>
      <c r="F330" t="s">
        <v>32</v>
      </c>
      <c r="G330" t="s">
        <v>33</v>
      </c>
      <c r="H330" s="5">
        <v>1199</v>
      </c>
      <c r="I330" s="5">
        <v>887.26</v>
      </c>
      <c r="J330" s="2">
        <v>0.15</v>
      </c>
    </row>
    <row r="331" spans="1:10" x14ac:dyDescent="0.25">
      <c r="A331" s="16">
        <v>320</v>
      </c>
      <c r="B331" s="22">
        <v>42506</v>
      </c>
      <c r="C331" s="16" t="s">
        <v>136</v>
      </c>
      <c r="D331" t="s">
        <v>12</v>
      </c>
      <c r="E331" t="s">
        <v>35</v>
      </c>
      <c r="F331" t="s">
        <v>137</v>
      </c>
      <c r="G331" t="s">
        <v>15</v>
      </c>
      <c r="H331" s="5">
        <v>7599</v>
      </c>
      <c r="I331" s="5">
        <v>2735.64</v>
      </c>
      <c r="J331" s="2">
        <v>0.3</v>
      </c>
    </row>
    <row r="332" spans="1:10" x14ac:dyDescent="0.25">
      <c r="A332" s="16">
        <v>321</v>
      </c>
      <c r="B332" s="22">
        <v>42455</v>
      </c>
      <c r="C332" s="16" t="s">
        <v>25</v>
      </c>
      <c r="D332" t="s">
        <v>26</v>
      </c>
      <c r="E332" t="s">
        <v>27</v>
      </c>
      <c r="F332" t="s">
        <v>28</v>
      </c>
      <c r="G332" t="s">
        <v>15</v>
      </c>
      <c r="H332" s="5">
        <v>1499</v>
      </c>
      <c r="I332" s="5">
        <v>794.47</v>
      </c>
      <c r="J332" s="2">
        <v>0.2</v>
      </c>
    </row>
    <row r="333" spans="1:10" x14ac:dyDescent="0.25">
      <c r="A333" s="16">
        <v>322</v>
      </c>
      <c r="B333" s="22">
        <v>42672</v>
      </c>
      <c r="C333" s="16" t="s">
        <v>41</v>
      </c>
      <c r="D333" t="s">
        <v>22</v>
      </c>
      <c r="E333" t="s">
        <v>18</v>
      </c>
      <c r="F333" t="s">
        <v>42</v>
      </c>
      <c r="G333" t="s">
        <v>43</v>
      </c>
      <c r="H333" s="5">
        <v>1149</v>
      </c>
      <c r="I333" s="5">
        <v>896.22</v>
      </c>
      <c r="J333" s="2">
        <v>0.15</v>
      </c>
    </row>
    <row r="334" spans="1:10" x14ac:dyDescent="0.25">
      <c r="A334" s="16">
        <v>323</v>
      </c>
      <c r="B334" s="22">
        <v>42697</v>
      </c>
      <c r="C334" s="16" t="s">
        <v>21</v>
      </c>
      <c r="D334" t="s">
        <v>22</v>
      </c>
      <c r="E334" t="s">
        <v>23</v>
      </c>
      <c r="F334" t="s">
        <v>24</v>
      </c>
      <c r="G334" t="s">
        <v>15</v>
      </c>
      <c r="H334" s="5">
        <v>359</v>
      </c>
      <c r="I334" s="5">
        <v>244.12</v>
      </c>
      <c r="J334" s="2">
        <v>0</v>
      </c>
    </row>
    <row r="335" spans="1:10" x14ac:dyDescent="0.25">
      <c r="A335" s="16">
        <v>324</v>
      </c>
      <c r="B335" s="22">
        <v>42487</v>
      </c>
      <c r="C335" s="16" t="s">
        <v>41</v>
      </c>
      <c r="D335" t="s">
        <v>22</v>
      </c>
      <c r="E335" t="s">
        <v>18</v>
      </c>
      <c r="F335" t="s">
        <v>42</v>
      </c>
      <c r="G335" t="s">
        <v>43</v>
      </c>
      <c r="H335" s="5">
        <v>1149</v>
      </c>
      <c r="I335" s="5">
        <v>896.22</v>
      </c>
      <c r="J335" s="2">
        <v>0</v>
      </c>
    </row>
    <row r="336" spans="1:10" x14ac:dyDescent="0.25">
      <c r="A336" s="16">
        <v>325</v>
      </c>
      <c r="B336" s="22">
        <v>42455</v>
      </c>
      <c r="C336" s="16" t="s">
        <v>41</v>
      </c>
      <c r="D336" t="s">
        <v>22</v>
      </c>
      <c r="E336" t="s">
        <v>18</v>
      </c>
      <c r="F336" t="s">
        <v>42</v>
      </c>
      <c r="G336" t="s">
        <v>43</v>
      </c>
      <c r="H336" s="5">
        <v>1149</v>
      </c>
      <c r="I336" s="5">
        <v>896.22</v>
      </c>
      <c r="J336" s="2">
        <v>0.2</v>
      </c>
    </row>
    <row r="337" spans="1:10" x14ac:dyDescent="0.25">
      <c r="A337" s="16">
        <v>326</v>
      </c>
      <c r="B337" s="22">
        <v>42400</v>
      </c>
      <c r="C337" s="16" t="s">
        <v>11</v>
      </c>
      <c r="D337" t="s">
        <v>12</v>
      </c>
      <c r="E337" t="s">
        <v>13</v>
      </c>
      <c r="F337" t="s">
        <v>14</v>
      </c>
      <c r="G337" t="s">
        <v>15</v>
      </c>
      <c r="H337" s="5">
        <v>1299</v>
      </c>
      <c r="I337" s="5">
        <v>727.44</v>
      </c>
      <c r="J337" s="2">
        <v>0</v>
      </c>
    </row>
    <row r="338" spans="1:10" x14ac:dyDescent="0.25">
      <c r="A338" s="16">
        <v>327</v>
      </c>
      <c r="B338" s="22">
        <v>42546</v>
      </c>
      <c r="C338" s="16" t="s">
        <v>11</v>
      </c>
      <c r="D338" t="s">
        <v>12</v>
      </c>
      <c r="E338" t="s">
        <v>13</v>
      </c>
      <c r="F338" t="s">
        <v>14</v>
      </c>
      <c r="G338" t="s">
        <v>15</v>
      </c>
      <c r="H338" s="5">
        <v>1299</v>
      </c>
      <c r="I338" s="5">
        <v>727.44</v>
      </c>
      <c r="J338" s="2">
        <v>0.2</v>
      </c>
    </row>
    <row r="339" spans="1:10" x14ac:dyDescent="0.25">
      <c r="A339" s="16">
        <v>328</v>
      </c>
      <c r="B339" s="22">
        <v>42640</v>
      </c>
      <c r="C339" s="16" t="s">
        <v>11</v>
      </c>
      <c r="D339" t="s">
        <v>12</v>
      </c>
      <c r="E339" t="s">
        <v>13</v>
      </c>
      <c r="F339" t="s">
        <v>14</v>
      </c>
      <c r="G339" t="s">
        <v>15</v>
      </c>
      <c r="H339" s="5">
        <v>1299</v>
      </c>
      <c r="I339" s="5">
        <v>727.44</v>
      </c>
      <c r="J339" s="2">
        <v>0</v>
      </c>
    </row>
    <row r="340" spans="1:10" x14ac:dyDescent="0.25">
      <c r="A340" s="16">
        <v>329</v>
      </c>
      <c r="B340" s="22">
        <v>42404</v>
      </c>
      <c r="C340" s="16" t="s">
        <v>72</v>
      </c>
      <c r="D340" t="s">
        <v>22</v>
      </c>
      <c r="E340" t="s">
        <v>18</v>
      </c>
      <c r="F340" t="s">
        <v>73</v>
      </c>
      <c r="G340" t="s">
        <v>69</v>
      </c>
      <c r="H340" s="5">
        <v>799</v>
      </c>
      <c r="I340" s="5">
        <v>535.33000000000004</v>
      </c>
      <c r="J340" s="2">
        <v>0.15</v>
      </c>
    </row>
    <row r="341" spans="1:10" x14ac:dyDescent="0.25">
      <c r="A341" s="16">
        <v>330</v>
      </c>
      <c r="B341" s="22">
        <v>42673</v>
      </c>
      <c r="C341" s="16" t="s">
        <v>85</v>
      </c>
      <c r="D341" t="s">
        <v>22</v>
      </c>
      <c r="E341" t="s">
        <v>86</v>
      </c>
      <c r="F341" t="s">
        <v>87</v>
      </c>
      <c r="G341" t="s">
        <v>15</v>
      </c>
      <c r="H341" s="5">
        <v>3999</v>
      </c>
      <c r="I341" s="5">
        <v>1399.6499999999999</v>
      </c>
      <c r="J341" s="2">
        <v>0</v>
      </c>
    </row>
    <row r="342" spans="1:10" x14ac:dyDescent="0.25">
      <c r="A342" s="16">
        <v>331</v>
      </c>
      <c r="B342" s="22">
        <v>42685</v>
      </c>
      <c r="C342" s="16" t="s">
        <v>106</v>
      </c>
      <c r="D342" t="s">
        <v>22</v>
      </c>
      <c r="E342" t="s">
        <v>23</v>
      </c>
      <c r="F342" t="s">
        <v>107</v>
      </c>
      <c r="G342" t="s">
        <v>15</v>
      </c>
      <c r="H342" s="5">
        <v>259</v>
      </c>
      <c r="I342" s="5">
        <v>111.37</v>
      </c>
      <c r="J342" s="2">
        <v>0</v>
      </c>
    </row>
    <row r="343" spans="1:10" x14ac:dyDescent="0.25">
      <c r="A343" s="16">
        <v>332</v>
      </c>
      <c r="B343" s="22">
        <v>42601</v>
      </c>
      <c r="C343" s="16" t="s">
        <v>90</v>
      </c>
      <c r="D343" t="s">
        <v>12</v>
      </c>
      <c r="E343" t="s">
        <v>35</v>
      </c>
      <c r="F343" t="s">
        <v>91</v>
      </c>
      <c r="G343" t="s">
        <v>15</v>
      </c>
      <c r="H343" s="5">
        <v>6999</v>
      </c>
      <c r="I343" s="5">
        <v>4829.3099999999995</v>
      </c>
      <c r="J343" s="2">
        <v>0.15</v>
      </c>
    </row>
    <row r="344" spans="1:10" x14ac:dyDescent="0.25">
      <c r="A344" s="16">
        <v>333</v>
      </c>
      <c r="B344" s="22">
        <v>42404</v>
      </c>
      <c r="C344" s="16" t="s">
        <v>114</v>
      </c>
      <c r="D344" t="s">
        <v>22</v>
      </c>
      <c r="E344" t="s">
        <v>86</v>
      </c>
      <c r="F344" t="s">
        <v>115</v>
      </c>
      <c r="G344" t="s">
        <v>15</v>
      </c>
      <c r="H344" s="5">
        <v>7999</v>
      </c>
      <c r="I344" s="5">
        <v>5039.37</v>
      </c>
      <c r="J344" s="2">
        <v>0.15</v>
      </c>
    </row>
    <row r="345" spans="1:10" x14ac:dyDescent="0.25">
      <c r="A345" s="16">
        <v>334</v>
      </c>
      <c r="B345" s="22">
        <v>42720</v>
      </c>
      <c r="C345" s="16" t="s">
        <v>29</v>
      </c>
      <c r="D345" t="s">
        <v>26</v>
      </c>
      <c r="E345" t="s">
        <v>27</v>
      </c>
      <c r="F345" t="s">
        <v>30</v>
      </c>
      <c r="G345" t="s">
        <v>15</v>
      </c>
      <c r="H345" s="5">
        <v>259</v>
      </c>
      <c r="I345" s="5">
        <v>220.15</v>
      </c>
      <c r="J345" s="2">
        <v>0.2</v>
      </c>
    </row>
    <row r="346" spans="1:10" x14ac:dyDescent="0.25">
      <c r="A346" s="16">
        <v>335</v>
      </c>
      <c r="B346" s="22">
        <v>42454</v>
      </c>
      <c r="C346" s="16" t="s">
        <v>21</v>
      </c>
      <c r="D346" t="s">
        <v>22</v>
      </c>
      <c r="E346" t="s">
        <v>23</v>
      </c>
      <c r="F346" t="s">
        <v>24</v>
      </c>
      <c r="G346" t="s">
        <v>15</v>
      </c>
      <c r="H346" s="5">
        <v>359</v>
      </c>
      <c r="I346" s="5">
        <v>244.12</v>
      </c>
      <c r="J346" s="2">
        <v>0.15</v>
      </c>
    </row>
    <row r="347" spans="1:10" x14ac:dyDescent="0.25">
      <c r="A347" s="16">
        <v>336</v>
      </c>
      <c r="B347" s="22">
        <v>42402</v>
      </c>
      <c r="C347" s="16" t="s">
        <v>31</v>
      </c>
      <c r="D347" t="s">
        <v>22</v>
      </c>
      <c r="E347" t="s">
        <v>18</v>
      </c>
      <c r="F347" t="s">
        <v>32</v>
      </c>
      <c r="G347" t="s">
        <v>33</v>
      </c>
      <c r="H347" s="5">
        <v>1199</v>
      </c>
      <c r="I347" s="5">
        <v>887.26</v>
      </c>
      <c r="J347" s="2">
        <v>0.2</v>
      </c>
    </row>
    <row r="348" spans="1:10" x14ac:dyDescent="0.25">
      <c r="A348" s="16">
        <v>337</v>
      </c>
      <c r="B348" s="22">
        <v>42520</v>
      </c>
      <c r="C348" s="16" t="s">
        <v>41</v>
      </c>
      <c r="D348" t="s">
        <v>22</v>
      </c>
      <c r="E348" t="s">
        <v>18</v>
      </c>
      <c r="F348" t="s">
        <v>42</v>
      </c>
      <c r="G348" t="s">
        <v>43</v>
      </c>
      <c r="H348" s="5">
        <v>1149</v>
      </c>
      <c r="I348" s="5">
        <v>896.22</v>
      </c>
      <c r="J348" s="2">
        <v>0.2</v>
      </c>
    </row>
    <row r="349" spans="1:10" x14ac:dyDescent="0.25">
      <c r="A349" s="16">
        <v>338</v>
      </c>
      <c r="B349" s="22">
        <v>42675</v>
      </c>
      <c r="C349" s="16" t="s">
        <v>61</v>
      </c>
      <c r="D349" t="s">
        <v>26</v>
      </c>
      <c r="E349" t="s">
        <v>45</v>
      </c>
      <c r="F349" t="s">
        <v>62</v>
      </c>
      <c r="G349" t="s">
        <v>15</v>
      </c>
      <c r="H349" s="5">
        <v>799</v>
      </c>
      <c r="I349" s="5">
        <v>679.15</v>
      </c>
      <c r="J349" s="2">
        <v>0</v>
      </c>
    </row>
    <row r="350" spans="1:10" x14ac:dyDescent="0.25">
      <c r="A350" s="16">
        <v>339</v>
      </c>
      <c r="B350" s="22">
        <v>42706</v>
      </c>
      <c r="C350" s="16" t="s">
        <v>85</v>
      </c>
      <c r="D350" t="s">
        <v>22</v>
      </c>
      <c r="E350" t="s">
        <v>86</v>
      </c>
      <c r="F350" t="s">
        <v>87</v>
      </c>
      <c r="G350" t="s">
        <v>15</v>
      </c>
      <c r="H350" s="5">
        <v>3999</v>
      </c>
      <c r="I350" s="5">
        <v>1399.6499999999999</v>
      </c>
      <c r="J350" s="2">
        <v>0</v>
      </c>
    </row>
    <row r="351" spans="1:10" x14ac:dyDescent="0.25">
      <c r="A351" s="16">
        <v>340</v>
      </c>
      <c r="B351" s="22">
        <v>42404</v>
      </c>
      <c r="C351" s="16" t="s">
        <v>31</v>
      </c>
      <c r="D351" t="s">
        <v>22</v>
      </c>
      <c r="E351" t="s">
        <v>18</v>
      </c>
      <c r="F351" t="s">
        <v>32</v>
      </c>
      <c r="G351" t="s">
        <v>33</v>
      </c>
      <c r="H351" s="5">
        <v>1199</v>
      </c>
      <c r="I351" s="5">
        <v>887.26</v>
      </c>
      <c r="J351" s="2">
        <v>0.15</v>
      </c>
    </row>
    <row r="352" spans="1:10" x14ac:dyDescent="0.25">
      <c r="A352" s="16">
        <v>341</v>
      </c>
      <c r="B352" s="22">
        <v>42584</v>
      </c>
      <c r="C352" s="16" t="s">
        <v>74</v>
      </c>
      <c r="D352" t="s">
        <v>12</v>
      </c>
      <c r="E352" t="s">
        <v>13</v>
      </c>
      <c r="F352" t="s">
        <v>75</v>
      </c>
      <c r="G352" t="s">
        <v>15</v>
      </c>
      <c r="H352" s="5">
        <v>2599</v>
      </c>
      <c r="I352" s="5">
        <v>1819.3</v>
      </c>
      <c r="J352" s="2">
        <v>0</v>
      </c>
    </row>
    <row r="353" spans="1:10" x14ac:dyDescent="0.25">
      <c r="A353" s="16">
        <v>342</v>
      </c>
      <c r="B353" s="22">
        <v>42802</v>
      </c>
      <c r="C353" s="16" t="s">
        <v>116</v>
      </c>
      <c r="D353" t="s">
        <v>22</v>
      </c>
      <c r="E353" t="s">
        <v>86</v>
      </c>
      <c r="F353" t="s">
        <v>117</v>
      </c>
      <c r="G353" t="s">
        <v>15</v>
      </c>
      <c r="H353" s="5">
        <v>5999</v>
      </c>
      <c r="I353" s="5">
        <v>3659.39</v>
      </c>
      <c r="J353" s="2">
        <v>0</v>
      </c>
    </row>
    <row r="354" spans="1:10" x14ac:dyDescent="0.25">
      <c r="A354" s="16">
        <v>343</v>
      </c>
      <c r="B354" s="22">
        <v>42520</v>
      </c>
      <c r="C354" s="16" t="s">
        <v>11</v>
      </c>
      <c r="D354" t="s">
        <v>12</v>
      </c>
      <c r="E354" t="s">
        <v>13</v>
      </c>
      <c r="F354" t="s">
        <v>14</v>
      </c>
      <c r="G354" t="s">
        <v>15</v>
      </c>
      <c r="H354" s="5">
        <v>1299</v>
      </c>
      <c r="I354" s="5">
        <v>727.44</v>
      </c>
      <c r="J354" s="2">
        <v>0.2</v>
      </c>
    </row>
    <row r="355" spans="1:10" x14ac:dyDescent="0.25">
      <c r="A355" s="16">
        <v>344</v>
      </c>
      <c r="B355" s="22">
        <v>42631</v>
      </c>
      <c r="C355" s="16" t="s">
        <v>41</v>
      </c>
      <c r="D355" t="s">
        <v>22</v>
      </c>
      <c r="E355" t="s">
        <v>18</v>
      </c>
      <c r="F355" t="s">
        <v>42</v>
      </c>
      <c r="G355" t="s">
        <v>43</v>
      </c>
      <c r="H355" s="5">
        <v>1149</v>
      </c>
      <c r="I355" s="5">
        <v>896.22</v>
      </c>
      <c r="J355" s="2">
        <v>0.1</v>
      </c>
    </row>
    <row r="356" spans="1:10" x14ac:dyDescent="0.25">
      <c r="A356" s="16">
        <v>345</v>
      </c>
      <c r="B356" s="22">
        <v>42643</v>
      </c>
      <c r="C356" s="16" t="s">
        <v>41</v>
      </c>
      <c r="D356" t="s">
        <v>22</v>
      </c>
      <c r="E356" t="s">
        <v>18</v>
      </c>
      <c r="F356" t="s">
        <v>42</v>
      </c>
      <c r="G356" t="s">
        <v>43</v>
      </c>
      <c r="H356" s="5">
        <v>1149</v>
      </c>
      <c r="I356" s="5">
        <v>896.22</v>
      </c>
      <c r="J356" s="2">
        <v>0.2</v>
      </c>
    </row>
    <row r="357" spans="1:10" x14ac:dyDescent="0.25">
      <c r="A357" s="16">
        <v>346</v>
      </c>
      <c r="B357" s="22">
        <v>42684</v>
      </c>
      <c r="C357" s="16" t="s">
        <v>31</v>
      </c>
      <c r="D357" t="s">
        <v>22</v>
      </c>
      <c r="E357" t="s">
        <v>18</v>
      </c>
      <c r="F357" t="s">
        <v>32</v>
      </c>
      <c r="G357" t="s">
        <v>33</v>
      </c>
      <c r="H357" s="5">
        <v>1199</v>
      </c>
      <c r="I357" s="5">
        <v>887.26</v>
      </c>
      <c r="J357" s="2">
        <v>0.2</v>
      </c>
    </row>
    <row r="358" spans="1:10" x14ac:dyDescent="0.25">
      <c r="A358" s="16">
        <v>347</v>
      </c>
      <c r="B358" s="22">
        <v>42438</v>
      </c>
      <c r="C358" s="16" t="s">
        <v>85</v>
      </c>
      <c r="D358" t="s">
        <v>22</v>
      </c>
      <c r="E358" t="s">
        <v>86</v>
      </c>
      <c r="F358" t="s">
        <v>87</v>
      </c>
      <c r="G358" t="s">
        <v>15</v>
      </c>
      <c r="H358" s="5">
        <v>3999</v>
      </c>
      <c r="I358" s="5">
        <v>1399.6499999999999</v>
      </c>
      <c r="J358" s="2">
        <v>0.15</v>
      </c>
    </row>
    <row r="359" spans="1:10" x14ac:dyDescent="0.25">
      <c r="A359" s="16">
        <v>348</v>
      </c>
      <c r="B359" s="22">
        <v>42383</v>
      </c>
      <c r="C359" s="16" t="s">
        <v>41</v>
      </c>
      <c r="D359" t="s">
        <v>22</v>
      </c>
      <c r="E359" t="s">
        <v>18</v>
      </c>
      <c r="F359" t="s">
        <v>42</v>
      </c>
      <c r="G359" t="s">
        <v>43</v>
      </c>
      <c r="H359" s="5">
        <v>1149</v>
      </c>
      <c r="I359" s="5">
        <v>896.22</v>
      </c>
      <c r="J359" s="2">
        <v>0</v>
      </c>
    </row>
    <row r="360" spans="1:10" x14ac:dyDescent="0.25">
      <c r="A360" s="16">
        <v>349</v>
      </c>
      <c r="B360" s="22">
        <v>42408</v>
      </c>
      <c r="C360" s="16" t="s">
        <v>44</v>
      </c>
      <c r="D360" t="s">
        <v>26</v>
      </c>
      <c r="E360" t="s">
        <v>45</v>
      </c>
      <c r="F360" t="s">
        <v>46</v>
      </c>
      <c r="G360" t="s">
        <v>15</v>
      </c>
      <c r="H360" s="5">
        <v>699</v>
      </c>
      <c r="I360" s="5">
        <v>531.24</v>
      </c>
      <c r="J360" s="2">
        <v>0</v>
      </c>
    </row>
    <row r="361" spans="1:10" x14ac:dyDescent="0.25">
      <c r="A361" s="16">
        <v>350</v>
      </c>
      <c r="B361" s="22">
        <v>42575</v>
      </c>
      <c r="C361" s="16" t="s">
        <v>25</v>
      </c>
      <c r="D361" t="s">
        <v>26</v>
      </c>
      <c r="E361" t="s">
        <v>27</v>
      </c>
      <c r="F361" t="s">
        <v>28</v>
      </c>
      <c r="G361" t="s">
        <v>15</v>
      </c>
      <c r="H361" s="5">
        <v>1499</v>
      </c>
      <c r="I361" s="5">
        <v>794.47</v>
      </c>
      <c r="J361" s="2">
        <v>0.2</v>
      </c>
    </row>
    <row r="362" spans="1:10" x14ac:dyDescent="0.25">
      <c r="A362" s="16">
        <v>351</v>
      </c>
      <c r="B362" s="22">
        <v>42520</v>
      </c>
      <c r="C362" s="16" t="s">
        <v>74</v>
      </c>
      <c r="D362" t="s">
        <v>12</v>
      </c>
      <c r="E362" t="s">
        <v>13</v>
      </c>
      <c r="F362" t="s">
        <v>75</v>
      </c>
      <c r="G362" t="s">
        <v>15</v>
      </c>
      <c r="H362" s="5">
        <v>2599</v>
      </c>
      <c r="I362" s="5">
        <v>1819.3</v>
      </c>
      <c r="J362" s="2">
        <v>0.2</v>
      </c>
    </row>
    <row r="363" spans="1:10" x14ac:dyDescent="0.25">
      <c r="A363" s="16">
        <v>352</v>
      </c>
      <c r="B363" s="22">
        <v>42685</v>
      </c>
      <c r="C363" s="16" t="s">
        <v>41</v>
      </c>
      <c r="D363" t="s">
        <v>22</v>
      </c>
      <c r="E363" t="s">
        <v>18</v>
      </c>
      <c r="F363" t="s">
        <v>42</v>
      </c>
      <c r="G363" t="s">
        <v>43</v>
      </c>
      <c r="H363" s="5">
        <v>1149</v>
      </c>
      <c r="I363" s="5">
        <v>896.22</v>
      </c>
      <c r="J363" s="2">
        <v>0</v>
      </c>
    </row>
    <row r="364" spans="1:10" x14ac:dyDescent="0.25">
      <c r="A364" s="16">
        <v>353</v>
      </c>
      <c r="B364" s="22">
        <v>42778</v>
      </c>
      <c r="C364" s="16" t="s">
        <v>11</v>
      </c>
      <c r="D364" t="s">
        <v>12</v>
      </c>
      <c r="E364" t="s">
        <v>13</v>
      </c>
      <c r="F364" t="s">
        <v>14</v>
      </c>
      <c r="G364" t="s">
        <v>15</v>
      </c>
      <c r="H364" s="5">
        <v>1299</v>
      </c>
      <c r="I364" s="5">
        <v>727.44</v>
      </c>
      <c r="J364" s="2">
        <v>0</v>
      </c>
    </row>
    <row r="365" spans="1:10" x14ac:dyDescent="0.25">
      <c r="A365" s="16">
        <v>354</v>
      </c>
      <c r="B365" s="22">
        <v>42605</v>
      </c>
      <c r="C365" s="16" t="s">
        <v>81</v>
      </c>
      <c r="D365" t="s">
        <v>22</v>
      </c>
      <c r="E365" t="s">
        <v>18</v>
      </c>
      <c r="F365" t="s">
        <v>82</v>
      </c>
      <c r="G365" t="s">
        <v>78</v>
      </c>
      <c r="H365" s="5">
        <v>1299</v>
      </c>
      <c r="I365" s="5">
        <v>909.3</v>
      </c>
      <c r="J365" s="2">
        <v>0</v>
      </c>
    </row>
    <row r="366" spans="1:10" x14ac:dyDescent="0.25">
      <c r="A366" s="16">
        <v>355</v>
      </c>
      <c r="B366" s="22">
        <v>42371</v>
      </c>
      <c r="C366" s="16" t="s">
        <v>41</v>
      </c>
      <c r="D366" t="s">
        <v>22</v>
      </c>
      <c r="E366" t="s">
        <v>18</v>
      </c>
      <c r="F366" t="s">
        <v>42</v>
      </c>
      <c r="G366" t="s">
        <v>43</v>
      </c>
      <c r="H366" s="5">
        <v>1149</v>
      </c>
      <c r="I366" s="5">
        <v>896.22</v>
      </c>
      <c r="J366" s="2">
        <v>0</v>
      </c>
    </row>
    <row r="367" spans="1:10" x14ac:dyDescent="0.25">
      <c r="A367" s="16">
        <v>356</v>
      </c>
      <c r="B367" s="22">
        <v>42684</v>
      </c>
      <c r="C367" s="16" t="s">
        <v>72</v>
      </c>
      <c r="D367" t="s">
        <v>22</v>
      </c>
      <c r="E367" t="s">
        <v>18</v>
      </c>
      <c r="F367" t="s">
        <v>73</v>
      </c>
      <c r="G367" t="s">
        <v>69</v>
      </c>
      <c r="H367" s="5">
        <v>799</v>
      </c>
      <c r="I367" s="5">
        <v>535.33000000000004</v>
      </c>
      <c r="J367" s="2">
        <v>0.2</v>
      </c>
    </row>
    <row r="368" spans="1:10" x14ac:dyDescent="0.25">
      <c r="A368" s="16">
        <v>357</v>
      </c>
      <c r="B368" s="22">
        <v>42479</v>
      </c>
      <c r="C368" s="16" t="s">
        <v>25</v>
      </c>
      <c r="D368" t="s">
        <v>26</v>
      </c>
      <c r="E368" t="s">
        <v>27</v>
      </c>
      <c r="F368" t="s">
        <v>28</v>
      </c>
      <c r="G368" t="s">
        <v>15</v>
      </c>
      <c r="H368" s="5">
        <v>1499</v>
      </c>
      <c r="I368" s="5">
        <v>794.47</v>
      </c>
      <c r="J368" s="2">
        <v>0.15</v>
      </c>
    </row>
    <row r="369" spans="1:10" x14ac:dyDescent="0.25">
      <c r="A369" s="16">
        <v>358</v>
      </c>
      <c r="B369" s="22">
        <v>42388</v>
      </c>
      <c r="C369" s="16" t="s">
        <v>160</v>
      </c>
      <c r="D369" t="s">
        <v>26</v>
      </c>
      <c r="E369" t="s">
        <v>45</v>
      </c>
      <c r="F369" t="s">
        <v>161</v>
      </c>
      <c r="G369" t="s">
        <v>15</v>
      </c>
      <c r="H369" s="5">
        <v>399</v>
      </c>
      <c r="I369" s="5">
        <v>147.63</v>
      </c>
      <c r="J369" s="2">
        <v>0.15</v>
      </c>
    </row>
    <row r="370" spans="1:10" x14ac:dyDescent="0.25">
      <c r="A370" s="16">
        <v>359</v>
      </c>
      <c r="B370" s="22">
        <v>42395</v>
      </c>
      <c r="C370" s="16" t="s">
        <v>11</v>
      </c>
      <c r="D370" t="s">
        <v>12</v>
      </c>
      <c r="E370" t="s">
        <v>13</v>
      </c>
      <c r="F370" t="s">
        <v>14</v>
      </c>
      <c r="G370" t="s">
        <v>15</v>
      </c>
      <c r="H370" s="5">
        <v>1299</v>
      </c>
      <c r="I370" s="5">
        <v>727.44</v>
      </c>
      <c r="J370" s="2">
        <v>0</v>
      </c>
    </row>
    <row r="371" spans="1:10" x14ac:dyDescent="0.25">
      <c r="A371" s="16">
        <v>360</v>
      </c>
      <c r="B371" s="22">
        <v>42657</v>
      </c>
      <c r="C371" s="16" t="s">
        <v>85</v>
      </c>
      <c r="D371" t="s">
        <v>22</v>
      </c>
      <c r="E371" t="s">
        <v>86</v>
      </c>
      <c r="F371" t="s">
        <v>87</v>
      </c>
      <c r="G371" t="s">
        <v>15</v>
      </c>
      <c r="H371" s="5">
        <v>3999</v>
      </c>
      <c r="I371" s="5">
        <v>1399.6499999999999</v>
      </c>
      <c r="J371" s="2">
        <v>0.15</v>
      </c>
    </row>
    <row r="372" spans="1:10" x14ac:dyDescent="0.25">
      <c r="A372" s="16">
        <v>361</v>
      </c>
      <c r="B372" s="22">
        <v>42716</v>
      </c>
      <c r="C372" s="16" t="s">
        <v>41</v>
      </c>
      <c r="D372" t="s">
        <v>22</v>
      </c>
      <c r="E372" t="s">
        <v>18</v>
      </c>
      <c r="F372" t="s">
        <v>42</v>
      </c>
      <c r="G372" t="s">
        <v>43</v>
      </c>
      <c r="H372" s="5">
        <v>1149</v>
      </c>
      <c r="I372" s="5">
        <v>896.22</v>
      </c>
      <c r="J372" s="2">
        <v>0</v>
      </c>
    </row>
    <row r="373" spans="1:10" x14ac:dyDescent="0.25">
      <c r="A373" s="16">
        <v>362</v>
      </c>
      <c r="B373" s="22">
        <v>42455</v>
      </c>
      <c r="C373" s="16" t="s">
        <v>138</v>
      </c>
      <c r="D373" t="s">
        <v>22</v>
      </c>
      <c r="E373" t="s">
        <v>86</v>
      </c>
      <c r="F373" t="s">
        <v>139</v>
      </c>
      <c r="G373" t="s">
        <v>15</v>
      </c>
      <c r="H373" s="5">
        <v>14399</v>
      </c>
      <c r="I373" s="5">
        <v>11375.210000000001</v>
      </c>
      <c r="J373" s="2">
        <v>0.2</v>
      </c>
    </row>
    <row r="374" spans="1:10" x14ac:dyDescent="0.25">
      <c r="A374" s="16">
        <v>363</v>
      </c>
      <c r="B374" s="22">
        <v>42672</v>
      </c>
      <c r="C374" s="16" t="s">
        <v>31</v>
      </c>
      <c r="D374" t="s">
        <v>22</v>
      </c>
      <c r="E374" t="s">
        <v>18</v>
      </c>
      <c r="F374" t="s">
        <v>32</v>
      </c>
      <c r="G374" t="s">
        <v>33</v>
      </c>
      <c r="H374" s="5">
        <v>1199</v>
      </c>
      <c r="I374" s="5">
        <v>887.26</v>
      </c>
      <c r="J374" s="2">
        <v>0.15</v>
      </c>
    </row>
    <row r="375" spans="1:10" x14ac:dyDescent="0.25">
      <c r="A375" s="16">
        <v>364</v>
      </c>
      <c r="B375" s="22">
        <v>42545</v>
      </c>
      <c r="C375" s="16" t="s">
        <v>31</v>
      </c>
      <c r="D375" t="s">
        <v>22</v>
      </c>
      <c r="E375" t="s">
        <v>18</v>
      </c>
      <c r="F375" t="s">
        <v>32</v>
      </c>
      <c r="G375" t="s">
        <v>33</v>
      </c>
      <c r="H375" s="5">
        <v>1199</v>
      </c>
      <c r="I375" s="5">
        <v>887.26</v>
      </c>
      <c r="J375" s="2">
        <v>0</v>
      </c>
    </row>
    <row r="376" spans="1:10" x14ac:dyDescent="0.25">
      <c r="A376" s="16">
        <v>365</v>
      </c>
      <c r="B376" s="22">
        <v>42395</v>
      </c>
      <c r="C376" s="16" t="s">
        <v>25</v>
      </c>
      <c r="D376" t="s">
        <v>26</v>
      </c>
      <c r="E376" t="s">
        <v>27</v>
      </c>
      <c r="F376" t="s">
        <v>28</v>
      </c>
      <c r="G376" t="s">
        <v>15</v>
      </c>
      <c r="H376" s="5">
        <v>1499</v>
      </c>
      <c r="I376" s="5">
        <v>794.47</v>
      </c>
      <c r="J376" s="2">
        <v>0</v>
      </c>
    </row>
    <row r="377" spans="1:10" x14ac:dyDescent="0.25">
      <c r="A377" s="16">
        <v>366</v>
      </c>
      <c r="B377" s="22">
        <v>42678</v>
      </c>
      <c r="C377" s="16" t="s">
        <v>160</v>
      </c>
      <c r="D377" t="s">
        <v>26</v>
      </c>
      <c r="E377" t="s">
        <v>45</v>
      </c>
      <c r="F377" t="s">
        <v>161</v>
      </c>
      <c r="G377" t="s">
        <v>15</v>
      </c>
      <c r="H377" s="5">
        <v>399</v>
      </c>
      <c r="I377" s="5">
        <v>147.63</v>
      </c>
      <c r="J377" s="2">
        <v>0</v>
      </c>
    </row>
    <row r="378" spans="1:10" x14ac:dyDescent="0.25">
      <c r="A378" s="16">
        <v>367</v>
      </c>
      <c r="B378" s="22">
        <v>42404</v>
      </c>
      <c r="C378" s="16" t="s">
        <v>114</v>
      </c>
      <c r="D378" t="s">
        <v>22</v>
      </c>
      <c r="E378" t="s">
        <v>86</v>
      </c>
      <c r="F378" t="s">
        <v>115</v>
      </c>
      <c r="G378" t="s">
        <v>15</v>
      </c>
      <c r="H378" s="5">
        <v>7999</v>
      </c>
      <c r="I378" s="5">
        <v>5039.37</v>
      </c>
      <c r="J378" s="2">
        <v>0.15</v>
      </c>
    </row>
    <row r="379" spans="1:10" x14ac:dyDescent="0.25">
      <c r="A379" s="16">
        <v>368</v>
      </c>
      <c r="B379" s="22">
        <v>42575</v>
      </c>
      <c r="C379" s="16" t="s">
        <v>51</v>
      </c>
      <c r="D379" t="s">
        <v>22</v>
      </c>
      <c r="E379" t="s">
        <v>23</v>
      </c>
      <c r="F379" t="s">
        <v>52</v>
      </c>
      <c r="G379" t="s">
        <v>15</v>
      </c>
      <c r="H379" s="5">
        <v>599</v>
      </c>
      <c r="I379" s="5">
        <v>455.24</v>
      </c>
      <c r="J379" s="2">
        <v>0.2</v>
      </c>
    </row>
    <row r="380" spans="1:10" x14ac:dyDescent="0.25">
      <c r="A380" s="16">
        <v>369</v>
      </c>
      <c r="B380" s="22">
        <v>42402</v>
      </c>
      <c r="C380" s="16" t="s">
        <v>140</v>
      </c>
      <c r="D380" t="s">
        <v>22</v>
      </c>
      <c r="E380" t="s">
        <v>18</v>
      </c>
      <c r="F380" t="s">
        <v>141</v>
      </c>
      <c r="G380" t="s">
        <v>43</v>
      </c>
      <c r="H380" s="5">
        <v>999</v>
      </c>
      <c r="I380" s="5">
        <v>809.19</v>
      </c>
      <c r="J380" s="2">
        <v>0.2</v>
      </c>
    </row>
    <row r="381" spans="1:10" x14ac:dyDescent="0.25">
      <c r="A381" s="16">
        <v>370</v>
      </c>
      <c r="B381" s="22">
        <v>42506</v>
      </c>
      <c r="C381" s="16" t="s">
        <v>41</v>
      </c>
      <c r="D381" t="s">
        <v>22</v>
      </c>
      <c r="E381" t="s">
        <v>18</v>
      </c>
      <c r="F381" t="s">
        <v>42</v>
      </c>
      <c r="G381" t="s">
        <v>43</v>
      </c>
      <c r="H381" s="5">
        <v>1149</v>
      </c>
      <c r="I381" s="5">
        <v>896.22</v>
      </c>
      <c r="J381" s="2">
        <v>0.3</v>
      </c>
    </row>
    <row r="382" spans="1:10" x14ac:dyDescent="0.25">
      <c r="A382" s="16">
        <v>371</v>
      </c>
      <c r="B382" s="22">
        <v>42506</v>
      </c>
      <c r="C382" s="16" t="s">
        <v>162</v>
      </c>
      <c r="D382" t="s">
        <v>22</v>
      </c>
      <c r="E382" t="s">
        <v>23</v>
      </c>
      <c r="F382" t="s">
        <v>163</v>
      </c>
      <c r="G382" t="s">
        <v>15</v>
      </c>
      <c r="H382" s="5">
        <v>1299</v>
      </c>
      <c r="I382" s="5">
        <v>1065.1799999999998</v>
      </c>
      <c r="J382" s="2">
        <v>0.3</v>
      </c>
    </row>
    <row r="383" spans="1:10" x14ac:dyDescent="0.25">
      <c r="A383" s="16">
        <v>372</v>
      </c>
      <c r="B383" s="22">
        <v>42506</v>
      </c>
      <c r="C383" s="16" t="s">
        <v>31</v>
      </c>
      <c r="D383" t="s">
        <v>22</v>
      </c>
      <c r="E383" t="s">
        <v>18</v>
      </c>
      <c r="F383" t="s">
        <v>32</v>
      </c>
      <c r="G383" t="s">
        <v>33</v>
      </c>
      <c r="H383" s="5">
        <v>1199</v>
      </c>
      <c r="I383" s="5">
        <v>887.26</v>
      </c>
      <c r="J383" s="2">
        <v>0.3</v>
      </c>
    </row>
    <row r="384" spans="1:10" x14ac:dyDescent="0.25">
      <c r="A384" s="16">
        <v>373</v>
      </c>
      <c r="B384" s="22">
        <v>42455</v>
      </c>
      <c r="C384" s="16" t="s">
        <v>25</v>
      </c>
      <c r="D384" t="s">
        <v>26</v>
      </c>
      <c r="E384" t="s">
        <v>27</v>
      </c>
      <c r="F384" t="s">
        <v>28</v>
      </c>
      <c r="G384" t="s">
        <v>15</v>
      </c>
      <c r="H384" s="5">
        <v>1499</v>
      </c>
      <c r="I384" s="5">
        <v>794.47</v>
      </c>
      <c r="J384" s="2">
        <v>0.2</v>
      </c>
    </row>
    <row r="385" spans="1:10" x14ac:dyDescent="0.25">
      <c r="A385" s="16">
        <v>374</v>
      </c>
      <c r="B385" s="22">
        <v>42392</v>
      </c>
      <c r="C385" s="16" t="s">
        <v>164</v>
      </c>
      <c r="D385" t="s">
        <v>22</v>
      </c>
      <c r="E385" t="s">
        <v>18</v>
      </c>
      <c r="F385" t="s">
        <v>165</v>
      </c>
      <c r="G385" t="s">
        <v>33</v>
      </c>
      <c r="H385" s="5">
        <v>899</v>
      </c>
      <c r="I385" s="5">
        <v>368.59</v>
      </c>
      <c r="J385" s="2">
        <v>0</v>
      </c>
    </row>
    <row r="386" spans="1:10" x14ac:dyDescent="0.25">
      <c r="A386" s="16">
        <v>375</v>
      </c>
      <c r="B386" s="22">
        <v>42390</v>
      </c>
      <c r="C386" s="16" t="s">
        <v>126</v>
      </c>
      <c r="D386" t="s">
        <v>26</v>
      </c>
      <c r="E386" t="s">
        <v>27</v>
      </c>
      <c r="F386" t="s">
        <v>127</v>
      </c>
      <c r="G386" t="s">
        <v>15</v>
      </c>
      <c r="H386" s="5">
        <v>299</v>
      </c>
      <c r="I386" s="5">
        <v>179.4</v>
      </c>
      <c r="J386" s="2">
        <v>0</v>
      </c>
    </row>
    <row r="387" spans="1:10" x14ac:dyDescent="0.25">
      <c r="A387" s="16">
        <v>376</v>
      </c>
      <c r="B387" s="22">
        <v>42582</v>
      </c>
      <c r="C387" s="16" t="s">
        <v>41</v>
      </c>
      <c r="D387" t="s">
        <v>22</v>
      </c>
      <c r="E387" t="s">
        <v>18</v>
      </c>
      <c r="F387" t="s">
        <v>42</v>
      </c>
      <c r="G387" t="s">
        <v>43</v>
      </c>
      <c r="H387" s="5">
        <v>1149</v>
      </c>
      <c r="I387" s="5">
        <v>896.22</v>
      </c>
      <c r="J387" s="2">
        <v>0</v>
      </c>
    </row>
    <row r="388" spans="1:10" x14ac:dyDescent="0.25">
      <c r="A388" s="16">
        <v>377</v>
      </c>
      <c r="B388" s="22">
        <v>42697</v>
      </c>
      <c r="C388" s="16" t="s">
        <v>51</v>
      </c>
      <c r="D388" t="s">
        <v>22</v>
      </c>
      <c r="E388" t="s">
        <v>23</v>
      </c>
      <c r="F388" t="s">
        <v>52</v>
      </c>
      <c r="G388" t="s">
        <v>15</v>
      </c>
      <c r="H388" s="5">
        <v>599</v>
      </c>
      <c r="I388" s="5">
        <v>455.24</v>
      </c>
      <c r="J388" s="2">
        <v>0</v>
      </c>
    </row>
    <row r="389" spans="1:10" x14ac:dyDescent="0.25">
      <c r="A389" s="16">
        <v>378</v>
      </c>
      <c r="B389" s="22">
        <v>42575</v>
      </c>
      <c r="C389" s="16" t="s">
        <v>31</v>
      </c>
      <c r="D389" t="s">
        <v>22</v>
      </c>
      <c r="E389" t="s">
        <v>18</v>
      </c>
      <c r="F389" t="s">
        <v>32</v>
      </c>
      <c r="G389" t="s">
        <v>33</v>
      </c>
      <c r="H389" s="5">
        <v>1199</v>
      </c>
      <c r="I389" s="5">
        <v>887.26</v>
      </c>
      <c r="J389" s="2">
        <v>0.2</v>
      </c>
    </row>
    <row r="390" spans="1:10" x14ac:dyDescent="0.25">
      <c r="A390" s="16">
        <v>379</v>
      </c>
      <c r="B390" s="22">
        <v>42575</v>
      </c>
      <c r="C390" s="16" t="s">
        <v>31</v>
      </c>
      <c r="D390" t="s">
        <v>22</v>
      </c>
      <c r="E390" t="s">
        <v>18</v>
      </c>
      <c r="F390" t="s">
        <v>32</v>
      </c>
      <c r="G390" t="s">
        <v>33</v>
      </c>
      <c r="H390" s="5">
        <v>1199</v>
      </c>
      <c r="I390" s="5">
        <v>887.26</v>
      </c>
      <c r="J390" s="2">
        <v>0.2</v>
      </c>
    </row>
    <row r="391" spans="1:10" x14ac:dyDescent="0.25">
      <c r="A391" s="16">
        <v>380</v>
      </c>
      <c r="B391" s="22">
        <v>42601</v>
      </c>
      <c r="C391" s="16" t="s">
        <v>51</v>
      </c>
      <c r="D391" t="s">
        <v>22</v>
      </c>
      <c r="E391" t="s">
        <v>23</v>
      </c>
      <c r="F391" t="s">
        <v>52</v>
      </c>
      <c r="G391" t="s">
        <v>15</v>
      </c>
      <c r="H391" s="5">
        <v>599</v>
      </c>
      <c r="I391" s="5">
        <v>455.24</v>
      </c>
      <c r="J391" s="2">
        <v>0.15</v>
      </c>
    </row>
    <row r="392" spans="1:10" x14ac:dyDescent="0.25">
      <c r="A392" s="16">
        <v>381</v>
      </c>
      <c r="B392" s="22">
        <v>42787</v>
      </c>
      <c r="C392" s="16" t="s">
        <v>21</v>
      </c>
      <c r="D392" t="s">
        <v>22</v>
      </c>
      <c r="E392" t="s">
        <v>23</v>
      </c>
      <c r="F392" t="s">
        <v>24</v>
      </c>
      <c r="G392" t="s">
        <v>15</v>
      </c>
      <c r="H392" s="5">
        <v>359</v>
      </c>
      <c r="I392" s="5">
        <v>244.12</v>
      </c>
      <c r="J392" s="2">
        <v>0.1</v>
      </c>
    </row>
    <row r="393" spans="1:10" x14ac:dyDescent="0.25">
      <c r="A393" s="16">
        <v>382</v>
      </c>
      <c r="B393" s="22">
        <v>42601</v>
      </c>
      <c r="C393" s="16" t="s">
        <v>25</v>
      </c>
      <c r="D393" t="s">
        <v>26</v>
      </c>
      <c r="E393" t="s">
        <v>27</v>
      </c>
      <c r="F393" t="s">
        <v>28</v>
      </c>
      <c r="G393" t="s">
        <v>15</v>
      </c>
      <c r="H393" s="5">
        <v>1499</v>
      </c>
      <c r="I393" s="5">
        <v>794.47</v>
      </c>
      <c r="J393" s="2">
        <v>0.15</v>
      </c>
    </row>
    <row r="394" spans="1:10" x14ac:dyDescent="0.25">
      <c r="A394" s="16">
        <v>383</v>
      </c>
      <c r="B394" s="22">
        <v>42455</v>
      </c>
      <c r="C394" s="16" t="s">
        <v>166</v>
      </c>
      <c r="D394" t="s">
        <v>22</v>
      </c>
      <c r="E394" t="s">
        <v>18</v>
      </c>
      <c r="F394" t="s">
        <v>167</v>
      </c>
      <c r="G394" t="s">
        <v>168</v>
      </c>
      <c r="H394" s="5">
        <v>1149</v>
      </c>
      <c r="I394" s="5">
        <v>459.6</v>
      </c>
      <c r="J394" s="2">
        <v>0.2</v>
      </c>
    </row>
    <row r="395" spans="1:10" x14ac:dyDescent="0.25">
      <c r="A395" s="16">
        <v>384</v>
      </c>
      <c r="B395" s="22">
        <v>42382</v>
      </c>
      <c r="C395" s="16" t="s">
        <v>169</v>
      </c>
      <c r="D395" t="s">
        <v>26</v>
      </c>
      <c r="E395" t="s">
        <v>27</v>
      </c>
      <c r="F395" t="s">
        <v>170</v>
      </c>
      <c r="G395" t="s">
        <v>15</v>
      </c>
      <c r="H395" s="5">
        <v>339</v>
      </c>
      <c r="I395" s="5">
        <v>274.59000000000003</v>
      </c>
      <c r="J395" s="2">
        <v>0</v>
      </c>
    </row>
    <row r="396" spans="1:10" x14ac:dyDescent="0.25">
      <c r="A396" s="16">
        <v>385</v>
      </c>
      <c r="B396" s="22">
        <v>42566</v>
      </c>
      <c r="C396" s="16" t="s">
        <v>79</v>
      </c>
      <c r="D396" t="s">
        <v>26</v>
      </c>
      <c r="E396" t="s">
        <v>27</v>
      </c>
      <c r="F396" t="s">
        <v>80</v>
      </c>
      <c r="G396" t="s">
        <v>15</v>
      </c>
      <c r="H396" s="5">
        <v>499</v>
      </c>
      <c r="I396" s="5">
        <v>174.64999999999998</v>
      </c>
      <c r="J396" s="2">
        <v>0</v>
      </c>
    </row>
    <row r="397" spans="1:10" x14ac:dyDescent="0.25">
      <c r="A397" s="16">
        <v>386</v>
      </c>
      <c r="B397" s="22">
        <v>42404</v>
      </c>
      <c r="C397" s="16" t="s">
        <v>41</v>
      </c>
      <c r="D397" t="s">
        <v>22</v>
      </c>
      <c r="E397" t="s">
        <v>18</v>
      </c>
      <c r="F397" t="s">
        <v>42</v>
      </c>
      <c r="G397" t="s">
        <v>43</v>
      </c>
      <c r="H397" s="5">
        <v>1149</v>
      </c>
      <c r="I397" s="5">
        <v>896.22</v>
      </c>
      <c r="J397" s="2">
        <v>0.15</v>
      </c>
    </row>
    <row r="398" spans="1:10" x14ac:dyDescent="0.25">
      <c r="A398" s="16">
        <v>387</v>
      </c>
      <c r="B398" s="22">
        <v>42640</v>
      </c>
      <c r="C398" s="16" t="s">
        <v>63</v>
      </c>
      <c r="D398" t="s">
        <v>12</v>
      </c>
      <c r="E398" t="s">
        <v>35</v>
      </c>
      <c r="F398" t="s">
        <v>64</v>
      </c>
      <c r="G398" t="s">
        <v>15</v>
      </c>
      <c r="H398" s="5">
        <v>13999</v>
      </c>
      <c r="I398" s="5">
        <v>9659.31</v>
      </c>
      <c r="J398" s="2">
        <v>0</v>
      </c>
    </row>
    <row r="399" spans="1:10" x14ac:dyDescent="0.25">
      <c r="A399" s="16">
        <v>388</v>
      </c>
      <c r="B399" s="22">
        <v>42438</v>
      </c>
      <c r="C399" s="16" t="s">
        <v>81</v>
      </c>
      <c r="D399" t="s">
        <v>22</v>
      </c>
      <c r="E399" t="s">
        <v>18</v>
      </c>
      <c r="F399" t="s">
        <v>82</v>
      </c>
      <c r="G399" t="s">
        <v>78</v>
      </c>
      <c r="H399" s="5">
        <v>1299</v>
      </c>
      <c r="I399" s="5">
        <v>909.3</v>
      </c>
      <c r="J399" s="2">
        <v>0.15</v>
      </c>
    </row>
    <row r="400" spans="1:10" x14ac:dyDescent="0.25">
      <c r="A400" s="16">
        <v>389</v>
      </c>
      <c r="B400" s="22">
        <v>42550</v>
      </c>
      <c r="C400" s="16" t="s">
        <v>114</v>
      </c>
      <c r="D400" t="s">
        <v>22</v>
      </c>
      <c r="E400" t="s">
        <v>86</v>
      </c>
      <c r="F400" t="s">
        <v>115</v>
      </c>
      <c r="G400" t="s">
        <v>15</v>
      </c>
      <c r="H400" s="5">
        <v>7999</v>
      </c>
      <c r="I400" s="5">
        <v>5039.37</v>
      </c>
      <c r="J400" s="2">
        <v>0</v>
      </c>
    </row>
    <row r="401" spans="1:10" x14ac:dyDescent="0.25">
      <c r="A401" s="16">
        <v>390</v>
      </c>
      <c r="B401" s="22">
        <v>42520</v>
      </c>
      <c r="C401" s="16" t="s">
        <v>124</v>
      </c>
      <c r="D401" t="s">
        <v>22</v>
      </c>
      <c r="E401" t="s">
        <v>86</v>
      </c>
      <c r="F401" t="s">
        <v>125</v>
      </c>
      <c r="G401" t="s">
        <v>15</v>
      </c>
      <c r="H401" s="5">
        <v>11999</v>
      </c>
      <c r="I401" s="5">
        <v>6119.49</v>
      </c>
      <c r="J401" s="2">
        <v>0.2</v>
      </c>
    </row>
    <row r="402" spans="1:10" x14ac:dyDescent="0.25">
      <c r="A402" s="16">
        <v>391</v>
      </c>
      <c r="B402" s="22">
        <v>42438</v>
      </c>
      <c r="C402" s="16" t="s">
        <v>79</v>
      </c>
      <c r="D402" t="s">
        <v>26</v>
      </c>
      <c r="E402" t="s">
        <v>27</v>
      </c>
      <c r="F402" t="s">
        <v>80</v>
      </c>
      <c r="G402" t="s">
        <v>15</v>
      </c>
      <c r="H402" s="5">
        <v>499</v>
      </c>
      <c r="I402" s="5">
        <v>174.64999999999998</v>
      </c>
      <c r="J402" s="2">
        <v>0.15</v>
      </c>
    </row>
    <row r="403" spans="1:10" x14ac:dyDescent="0.25">
      <c r="A403" s="16">
        <v>392</v>
      </c>
      <c r="B403" s="22">
        <v>42503</v>
      </c>
      <c r="C403" s="16" t="s">
        <v>16</v>
      </c>
      <c r="D403" t="s">
        <v>22</v>
      </c>
      <c r="E403" t="s">
        <v>18</v>
      </c>
      <c r="F403" t="s">
        <v>19</v>
      </c>
      <c r="G403" t="s">
        <v>20</v>
      </c>
      <c r="H403" s="5">
        <v>1149</v>
      </c>
      <c r="I403" s="5">
        <v>792.81</v>
      </c>
      <c r="J403" s="2">
        <v>0</v>
      </c>
    </row>
    <row r="404" spans="1:10" x14ac:dyDescent="0.25">
      <c r="A404" s="16">
        <v>393</v>
      </c>
      <c r="B404" s="22">
        <v>42717</v>
      </c>
      <c r="C404" s="16" t="s">
        <v>21</v>
      </c>
      <c r="D404" t="s">
        <v>22</v>
      </c>
      <c r="E404" t="s">
        <v>23</v>
      </c>
      <c r="F404" t="s">
        <v>24</v>
      </c>
      <c r="G404" t="s">
        <v>15</v>
      </c>
      <c r="H404" s="5">
        <v>359</v>
      </c>
      <c r="I404" s="5">
        <v>244.12</v>
      </c>
      <c r="J404" s="2">
        <v>0</v>
      </c>
    </row>
    <row r="405" spans="1:10" x14ac:dyDescent="0.25">
      <c r="A405" s="16">
        <v>394</v>
      </c>
      <c r="B405" s="22">
        <v>42672</v>
      </c>
      <c r="C405" s="16" t="s">
        <v>41</v>
      </c>
      <c r="D405" t="s">
        <v>22</v>
      </c>
      <c r="E405" t="s">
        <v>18</v>
      </c>
      <c r="F405" t="s">
        <v>42</v>
      </c>
      <c r="G405" t="s">
        <v>43</v>
      </c>
      <c r="H405" s="5">
        <v>1149</v>
      </c>
      <c r="I405" s="5">
        <v>896.22</v>
      </c>
      <c r="J405" s="2">
        <v>0.15</v>
      </c>
    </row>
    <row r="406" spans="1:10" x14ac:dyDescent="0.25">
      <c r="A406" s="16">
        <v>395</v>
      </c>
      <c r="B406" s="22">
        <v>42787</v>
      </c>
      <c r="C406" s="16" t="s">
        <v>41</v>
      </c>
      <c r="D406" t="s">
        <v>22</v>
      </c>
      <c r="E406" t="s">
        <v>18</v>
      </c>
      <c r="F406" t="s">
        <v>42</v>
      </c>
      <c r="G406" t="s">
        <v>43</v>
      </c>
      <c r="H406" s="5">
        <v>1149</v>
      </c>
      <c r="I406" s="5">
        <v>896.22</v>
      </c>
      <c r="J406" s="2">
        <v>0.1</v>
      </c>
    </row>
    <row r="407" spans="1:10" x14ac:dyDescent="0.25">
      <c r="A407" s="16">
        <v>396</v>
      </c>
      <c r="B407" s="22">
        <v>42735</v>
      </c>
      <c r="C407" s="16" t="s">
        <v>122</v>
      </c>
      <c r="D407" t="s">
        <v>22</v>
      </c>
      <c r="E407" t="s">
        <v>23</v>
      </c>
      <c r="F407" t="s">
        <v>123</v>
      </c>
      <c r="G407" t="s">
        <v>15</v>
      </c>
      <c r="H407" s="5">
        <v>999</v>
      </c>
      <c r="I407" s="5">
        <v>569.42999999999995</v>
      </c>
      <c r="J407" s="2">
        <v>0</v>
      </c>
    </row>
    <row r="408" spans="1:10" x14ac:dyDescent="0.25">
      <c r="A408" s="16">
        <v>397</v>
      </c>
      <c r="B408" s="22">
        <v>42530</v>
      </c>
      <c r="C408" s="16" t="s">
        <v>41</v>
      </c>
      <c r="D408" t="s">
        <v>22</v>
      </c>
      <c r="E408" t="s">
        <v>18</v>
      </c>
      <c r="F408" t="s">
        <v>42</v>
      </c>
      <c r="G408" t="s">
        <v>43</v>
      </c>
      <c r="H408" s="5">
        <v>1149</v>
      </c>
      <c r="I408" s="5">
        <v>896.22</v>
      </c>
      <c r="J408" s="2">
        <v>0</v>
      </c>
    </row>
    <row r="409" spans="1:10" x14ac:dyDescent="0.25">
      <c r="A409" s="16">
        <v>398</v>
      </c>
      <c r="B409" s="22">
        <v>42506</v>
      </c>
      <c r="C409" s="16" t="s">
        <v>85</v>
      </c>
      <c r="D409" t="s">
        <v>22</v>
      </c>
      <c r="E409" t="s">
        <v>86</v>
      </c>
      <c r="F409" t="s">
        <v>87</v>
      </c>
      <c r="G409" t="s">
        <v>15</v>
      </c>
      <c r="H409" s="5">
        <v>3999</v>
      </c>
      <c r="I409" s="5">
        <v>1399.6499999999999</v>
      </c>
      <c r="J409" s="2">
        <v>0.3</v>
      </c>
    </row>
    <row r="410" spans="1:10" x14ac:dyDescent="0.25">
      <c r="A410" s="16">
        <v>399</v>
      </c>
      <c r="B410" s="22">
        <v>42657</v>
      </c>
      <c r="C410" s="16" t="s">
        <v>70</v>
      </c>
      <c r="D410" t="s">
        <v>26</v>
      </c>
      <c r="E410" t="s">
        <v>45</v>
      </c>
      <c r="F410" t="s">
        <v>71</v>
      </c>
      <c r="G410" t="s">
        <v>15</v>
      </c>
      <c r="H410" s="5">
        <v>449</v>
      </c>
      <c r="I410" s="5">
        <v>161.63999999999999</v>
      </c>
      <c r="J410" s="2">
        <v>0.15</v>
      </c>
    </row>
    <row r="411" spans="1:10" x14ac:dyDescent="0.25">
      <c r="A411" s="16">
        <v>400</v>
      </c>
      <c r="B411" s="22">
        <v>42520</v>
      </c>
      <c r="C411" s="16" t="s">
        <v>31</v>
      </c>
      <c r="D411" t="s">
        <v>22</v>
      </c>
      <c r="E411" t="s">
        <v>18</v>
      </c>
      <c r="F411" t="s">
        <v>32</v>
      </c>
      <c r="G411" t="s">
        <v>33</v>
      </c>
      <c r="H411" s="5">
        <v>1199</v>
      </c>
      <c r="I411" s="5">
        <v>887.26</v>
      </c>
      <c r="J411" s="2">
        <v>0.2</v>
      </c>
    </row>
    <row r="412" spans="1:10" x14ac:dyDescent="0.25">
      <c r="A412" s="16">
        <v>401</v>
      </c>
      <c r="B412" s="22">
        <v>42721</v>
      </c>
      <c r="C412" s="16" t="s">
        <v>156</v>
      </c>
      <c r="D412" t="s">
        <v>22</v>
      </c>
      <c r="E412" t="s">
        <v>23</v>
      </c>
      <c r="F412" t="s">
        <v>157</v>
      </c>
      <c r="G412" t="s">
        <v>15</v>
      </c>
      <c r="H412" s="5">
        <v>399</v>
      </c>
      <c r="I412" s="5">
        <v>239.39999999999998</v>
      </c>
      <c r="J412" s="2">
        <v>0</v>
      </c>
    </row>
    <row r="413" spans="1:10" x14ac:dyDescent="0.25">
      <c r="A413" s="16">
        <v>402</v>
      </c>
      <c r="B413" s="22">
        <v>42529</v>
      </c>
      <c r="C413" s="16" t="s">
        <v>171</v>
      </c>
      <c r="D413" t="s">
        <v>26</v>
      </c>
      <c r="E413" t="s">
        <v>45</v>
      </c>
      <c r="F413" t="s">
        <v>172</v>
      </c>
      <c r="G413" t="s">
        <v>15</v>
      </c>
      <c r="H413" s="5">
        <v>799</v>
      </c>
      <c r="I413" s="5">
        <v>679.15</v>
      </c>
      <c r="J413" s="2">
        <v>0</v>
      </c>
    </row>
    <row r="414" spans="1:10" x14ac:dyDescent="0.25">
      <c r="A414" s="16">
        <v>403</v>
      </c>
      <c r="B414" s="22">
        <v>42479</v>
      </c>
      <c r="C414" s="16" t="s">
        <v>136</v>
      </c>
      <c r="D414" t="s">
        <v>12</v>
      </c>
      <c r="E414" t="s">
        <v>35</v>
      </c>
      <c r="F414" t="s">
        <v>137</v>
      </c>
      <c r="G414" t="s">
        <v>15</v>
      </c>
      <c r="H414" s="5">
        <v>7599</v>
      </c>
      <c r="I414" s="5">
        <v>2735.64</v>
      </c>
      <c r="J414" s="2">
        <v>0.15</v>
      </c>
    </row>
    <row r="415" spans="1:10" x14ac:dyDescent="0.25">
      <c r="A415" s="16">
        <v>404</v>
      </c>
      <c r="B415" s="22">
        <v>42575</v>
      </c>
      <c r="C415" s="16" t="s">
        <v>31</v>
      </c>
      <c r="D415" t="s">
        <v>22</v>
      </c>
      <c r="E415" t="s">
        <v>18</v>
      </c>
      <c r="F415" t="s">
        <v>32</v>
      </c>
      <c r="G415" t="s">
        <v>33</v>
      </c>
      <c r="H415" s="5">
        <v>1199</v>
      </c>
      <c r="I415" s="5">
        <v>887.26</v>
      </c>
      <c r="J415" s="2">
        <v>0.2</v>
      </c>
    </row>
    <row r="416" spans="1:10" x14ac:dyDescent="0.25">
      <c r="A416" s="16">
        <v>405</v>
      </c>
      <c r="B416" s="22">
        <v>42396</v>
      </c>
      <c r="C416" s="16" t="s">
        <v>112</v>
      </c>
      <c r="D416" t="s">
        <v>22</v>
      </c>
      <c r="E416" t="s">
        <v>23</v>
      </c>
      <c r="F416" t="s">
        <v>113</v>
      </c>
      <c r="G416" t="s">
        <v>15</v>
      </c>
      <c r="H416" s="5">
        <v>459</v>
      </c>
      <c r="I416" s="5">
        <v>325.89</v>
      </c>
      <c r="J416" s="2">
        <v>0</v>
      </c>
    </row>
    <row r="417" spans="1:10" x14ac:dyDescent="0.25">
      <c r="A417" s="16">
        <v>406</v>
      </c>
      <c r="B417" s="22">
        <v>42708</v>
      </c>
      <c r="C417" s="16" t="s">
        <v>61</v>
      </c>
      <c r="D417" t="s">
        <v>26</v>
      </c>
      <c r="E417" t="s">
        <v>45</v>
      </c>
      <c r="F417" t="s">
        <v>62</v>
      </c>
      <c r="G417" t="s">
        <v>15</v>
      </c>
      <c r="H417" s="5">
        <v>799</v>
      </c>
      <c r="I417" s="5">
        <v>679.15</v>
      </c>
      <c r="J417" s="2">
        <v>0</v>
      </c>
    </row>
    <row r="418" spans="1:10" x14ac:dyDescent="0.25">
      <c r="A418" s="16">
        <v>407</v>
      </c>
      <c r="B418" s="22">
        <v>42630</v>
      </c>
      <c r="C418" s="16" t="s">
        <v>41</v>
      </c>
      <c r="D418" t="s">
        <v>22</v>
      </c>
      <c r="E418" t="s">
        <v>18</v>
      </c>
      <c r="F418" t="s">
        <v>42</v>
      </c>
      <c r="G418" t="s">
        <v>43</v>
      </c>
      <c r="H418" s="5">
        <v>1149</v>
      </c>
      <c r="I418" s="5">
        <v>896.22</v>
      </c>
      <c r="J418" s="2">
        <v>0</v>
      </c>
    </row>
    <row r="419" spans="1:10" x14ac:dyDescent="0.25">
      <c r="A419" s="16">
        <v>408</v>
      </c>
      <c r="B419" s="22">
        <v>42657</v>
      </c>
      <c r="C419" s="16" t="s">
        <v>74</v>
      </c>
      <c r="D419" t="s">
        <v>12</v>
      </c>
      <c r="E419" t="s">
        <v>13</v>
      </c>
      <c r="F419" t="s">
        <v>75</v>
      </c>
      <c r="G419" t="s">
        <v>15</v>
      </c>
      <c r="H419" s="5">
        <v>2599</v>
      </c>
      <c r="I419" s="5">
        <v>1819.3</v>
      </c>
      <c r="J419" s="2">
        <v>0.15</v>
      </c>
    </row>
    <row r="420" spans="1:10" x14ac:dyDescent="0.25">
      <c r="A420" s="16">
        <v>409</v>
      </c>
      <c r="B420" s="22">
        <v>42388</v>
      </c>
      <c r="C420" s="16" t="s">
        <v>72</v>
      </c>
      <c r="D420" t="s">
        <v>22</v>
      </c>
      <c r="E420" t="s">
        <v>18</v>
      </c>
      <c r="F420" t="s">
        <v>73</v>
      </c>
      <c r="G420" t="s">
        <v>69</v>
      </c>
      <c r="H420" s="5">
        <v>799</v>
      </c>
      <c r="I420" s="5">
        <v>535.33000000000004</v>
      </c>
      <c r="J420" s="2">
        <v>0.15</v>
      </c>
    </row>
    <row r="421" spans="1:10" x14ac:dyDescent="0.25">
      <c r="A421" s="16">
        <v>410</v>
      </c>
      <c r="B421" s="22">
        <v>42647</v>
      </c>
      <c r="C421" s="16" t="s">
        <v>25</v>
      </c>
      <c r="D421" t="s">
        <v>26</v>
      </c>
      <c r="E421" t="s">
        <v>27</v>
      </c>
      <c r="F421" t="s">
        <v>28</v>
      </c>
      <c r="G421" t="s">
        <v>15</v>
      </c>
      <c r="H421" s="5">
        <v>1499</v>
      </c>
      <c r="I421" s="5">
        <v>794.47</v>
      </c>
      <c r="J421" s="2">
        <v>0</v>
      </c>
    </row>
    <row r="422" spans="1:10" x14ac:dyDescent="0.25">
      <c r="A422" s="16">
        <v>411</v>
      </c>
      <c r="B422" s="22">
        <v>42672</v>
      </c>
      <c r="C422" s="16" t="s">
        <v>47</v>
      </c>
      <c r="D422" t="s">
        <v>26</v>
      </c>
      <c r="E422" t="s">
        <v>27</v>
      </c>
      <c r="F422" t="s">
        <v>48</v>
      </c>
      <c r="G422" t="s">
        <v>15</v>
      </c>
      <c r="H422" s="5">
        <v>699</v>
      </c>
      <c r="I422" s="5">
        <v>482.30999999999995</v>
      </c>
      <c r="J422" s="2">
        <v>0.15</v>
      </c>
    </row>
    <row r="423" spans="1:10" x14ac:dyDescent="0.25">
      <c r="A423" s="16">
        <v>412</v>
      </c>
      <c r="B423" s="22">
        <v>42512</v>
      </c>
      <c r="C423" s="16" t="s">
        <v>162</v>
      </c>
      <c r="D423" t="s">
        <v>22</v>
      </c>
      <c r="E423" t="s">
        <v>23</v>
      </c>
      <c r="F423" t="s">
        <v>163</v>
      </c>
      <c r="G423" t="s">
        <v>15</v>
      </c>
      <c r="H423" s="5">
        <v>1299</v>
      </c>
      <c r="I423" s="5">
        <v>1065.1799999999998</v>
      </c>
      <c r="J423" s="2">
        <v>0.15</v>
      </c>
    </row>
    <row r="424" spans="1:10" x14ac:dyDescent="0.25">
      <c r="A424" s="16">
        <v>413</v>
      </c>
      <c r="B424" s="22">
        <v>42506</v>
      </c>
      <c r="C424" s="16" t="s">
        <v>51</v>
      </c>
      <c r="D424" t="s">
        <v>22</v>
      </c>
      <c r="E424" t="s">
        <v>23</v>
      </c>
      <c r="F424" t="s">
        <v>52</v>
      </c>
      <c r="G424" t="s">
        <v>15</v>
      </c>
      <c r="H424" s="5">
        <v>599</v>
      </c>
      <c r="I424" s="5">
        <v>455.24</v>
      </c>
      <c r="J424" s="2">
        <v>0.3</v>
      </c>
    </row>
    <row r="425" spans="1:10" x14ac:dyDescent="0.25">
      <c r="A425" s="16">
        <v>414</v>
      </c>
      <c r="B425" s="22">
        <v>42640</v>
      </c>
      <c r="C425" s="16" t="s">
        <v>120</v>
      </c>
      <c r="D425" t="s">
        <v>22</v>
      </c>
      <c r="E425" t="s">
        <v>23</v>
      </c>
      <c r="F425" t="s">
        <v>121</v>
      </c>
      <c r="G425" t="s">
        <v>15</v>
      </c>
      <c r="H425" s="5">
        <v>169</v>
      </c>
      <c r="I425" s="5">
        <v>130.13</v>
      </c>
      <c r="J425" s="2">
        <v>0</v>
      </c>
    </row>
    <row r="426" spans="1:10" x14ac:dyDescent="0.25">
      <c r="A426" s="16">
        <v>415</v>
      </c>
      <c r="B426" s="22">
        <v>42546</v>
      </c>
      <c r="C426" s="16" t="s">
        <v>90</v>
      </c>
      <c r="D426" t="s">
        <v>12</v>
      </c>
      <c r="E426" t="s">
        <v>35</v>
      </c>
      <c r="F426" t="s">
        <v>91</v>
      </c>
      <c r="G426" t="s">
        <v>15</v>
      </c>
      <c r="H426" s="5">
        <v>6999</v>
      </c>
      <c r="I426" s="5">
        <v>4829.3099999999995</v>
      </c>
      <c r="J426" s="2">
        <v>0.2</v>
      </c>
    </row>
    <row r="427" spans="1:10" x14ac:dyDescent="0.25">
      <c r="A427" s="16">
        <v>416</v>
      </c>
      <c r="B427" s="22">
        <v>42631</v>
      </c>
      <c r="C427" s="16" t="s">
        <v>134</v>
      </c>
      <c r="D427" t="s">
        <v>22</v>
      </c>
      <c r="E427" t="s">
        <v>18</v>
      </c>
      <c r="F427" t="s">
        <v>135</v>
      </c>
      <c r="G427" t="s">
        <v>33</v>
      </c>
      <c r="H427" s="5">
        <v>409</v>
      </c>
      <c r="I427" s="5">
        <v>237.21999999999997</v>
      </c>
      <c r="J427" s="2">
        <v>0.1</v>
      </c>
    </row>
    <row r="428" spans="1:10" x14ac:dyDescent="0.25">
      <c r="A428" s="16">
        <v>417</v>
      </c>
      <c r="B428" s="22">
        <v>42424</v>
      </c>
      <c r="C428" s="16" t="s">
        <v>85</v>
      </c>
      <c r="D428" t="s">
        <v>22</v>
      </c>
      <c r="E428" t="s">
        <v>86</v>
      </c>
      <c r="F428" t="s">
        <v>87</v>
      </c>
      <c r="G428" t="s">
        <v>15</v>
      </c>
      <c r="H428" s="5">
        <v>3999</v>
      </c>
      <c r="I428" s="5">
        <v>1399.6499999999999</v>
      </c>
      <c r="J428" s="2">
        <v>0.15</v>
      </c>
    </row>
    <row r="429" spans="1:10" x14ac:dyDescent="0.25">
      <c r="A429" s="16">
        <v>418</v>
      </c>
      <c r="B429" s="22">
        <v>42663</v>
      </c>
      <c r="C429" s="16" t="s">
        <v>21</v>
      </c>
      <c r="D429" t="s">
        <v>22</v>
      </c>
      <c r="E429" t="s">
        <v>23</v>
      </c>
      <c r="F429" t="s">
        <v>24</v>
      </c>
      <c r="G429" t="s">
        <v>15</v>
      </c>
      <c r="H429" s="5">
        <v>359</v>
      </c>
      <c r="I429" s="5">
        <v>244.12</v>
      </c>
      <c r="J429" s="2">
        <v>0</v>
      </c>
    </row>
    <row r="430" spans="1:10" x14ac:dyDescent="0.25">
      <c r="A430" s="16">
        <v>419</v>
      </c>
      <c r="B430" s="22">
        <v>42388</v>
      </c>
      <c r="C430" s="16" t="s">
        <v>67</v>
      </c>
      <c r="D430" t="s">
        <v>22</v>
      </c>
      <c r="E430" t="s">
        <v>18</v>
      </c>
      <c r="F430" t="s">
        <v>68</v>
      </c>
      <c r="G430" t="s">
        <v>69</v>
      </c>
      <c r="H430" s="5">
        <v>199</v>
      </c>
      <c r="I430" s="5">
        <v>81.589999999999989</v>
      </c>
      <c r="J430" s="2">
        <v>0.15</v>
      </c>
    </row>
    <row r="431" spans="1:10" x14ac:dyDescent="0.25">
      <c r="A431" s="16">
        <v>420</v>
      </c>
      <c r="B431" s="22">
        <v>42416</v>
      </c>
      <c r="C431" s="16" t="s">
        <v>134</v>
      </c>
      <c r="D431" t="s">
        <v>22</v>
      </c>
      <c r="E431" t="s">
        <v>18</v>
      </c>
      <c r="F431" t="s">
        <v>135</v>
      </c>
      <c r="G431" t="s">
        <v>33</v>
      </c>
      <c r="H431" s="5">
        <v>409</v>
      </c>
      <c r="I431" s="5">
        <v>237.21999999999997</v>
      </c>
      <c r="J431" s="2">
        <v>0</v>
      </c>
    </row>
    <row r="432" spans="1:10" x14ac:dyDescent="0.25">
      <c r="A432" s="16">
        <v>421</v>
      </c>
      <c r="B432" s="22">
        <v>42752</v>
      </c>
      <c r="C432" s="16" t="s">
        <v>21</v>
      </c>
      <c r="D432" t="s">
        <v>22</v>
      </c>
      <c r="E432" t="s">
        <v>23</v>
      </c>
      <c r="F432" t="s">
        <v>24</v>
      </c>
      <c r="G432" t="s">
        <v>15</v>
      </c>
      <c r="H432" s="5">
        <v>359</v>
      </c>
      <c r="I432" s="5">
        <v>244.12</v>
      </c>
      <c r="J432" s="2">
        <v>0</v>
      </c>
    </row>
    <row r="433" spans="1:10" x14ac:dyDescent="0.25">
      <c r="A433" s="16">
        <v>422</v>
      </c>
      <c r="B433" s="22">
        <v>42519</v>
      </c>
      <c r="C433" s="16" t="s">
        <v>102</v>
      </c>
      <c r="D433" t="s">
        <v>22</v>
      </c>
      <c r="E433" t="s">
        <v>18</v>
      </c>
      <c r="F433" t="s">
        <v>103</v>
      </c>
      <c r="G433" t="s">
        <v>33</v>
      </c>
      <c r="H433" s="5">
        <v>899</v>
      </c>
      <c r="I433" s="5">
        <v>440.51</v>
      </c>
      <c r="J433" s="2">
        <v>0</v>
      </c>
    </row>
    <row r="434" spans="1:10" x14ac:dyDescent="0.25">
      <c r="A434" s="16">
        <v>423</v>
      </c>
      <c r="B434" s="22">
        <v>42618</v>
      </c>
      <c r="C434" s="16" t="s">
        <v>21</v>
      </c>
      <c r="D434" t="s">
        <v>22</v>
      </c>
      <c r="E434" t="s">
        <v>23</v>
      </c>
      <c r="F434" t="s">
        <v>24</v>
      </c>
      <c r="G434" t="s">
        <v>15</v>
      </c>
      <c r="H434" s="5">
        <v>359</v>
      </c>
      <c r="I434" s="5">
        <v>244.12</v>
      </c>
      <c r="J434" s="2">
        <v>0</v>
      </c>
    </row>
    <row r="435" spans="1:10" x14ac:dyDescent="0.25">
      <c r="A435" s="16">
        <v>424</v>
      </c>
      <c r="B435" s="22">
        <v>42397</v>
      </c>
      <c r="C435" s="16" t="s">
        <v>85</v>
      </c>
      <c r="D435" t="s">
        <v>22</v>
      </c>
      <c r="E435" t="s">
        <v>86</v>
      </c>
      <c r="F435" t="s">
        <v>87</v>
      </c>
      <c r="G435" t="s">
        <v>15</v>
      </c>
      <c r="H435" s="5">
        <v>3999</v>
      </c>
      <c r="I435" s="5">
        <v>1399.6499999999999</v>
      </c>
      <c r="J435" s="2">
        <v>0</v>
      </c>
    </row>
    <row r="436" spans="1:10" x14ac:dyDescent="0.25">
      <c r="A436" s="16">
        <v>425</v>
      </c>
      <c r="B436" s="22">
        <v>42419</v>
      </c>
      <c r="C436" s="16" t="s">
        <v>63</v>
      </c>
      <c r="D436" t="s">
        <v>12</v>
      </c>
      <c r="E436" t="s">
        <v>35</v>
      </c>
      <c r="F436" t="s">
        <v>64</v>
      </c>
      <c r="G436" t="s">
        <v>15</v>
      </c>
      <c r="H436" s="5">
        <v>13999</v>
      </c>
      <c r="I436" s="5">
        <v>9659.31</v>
      </c>
      <c r="J436" s="2">
        <v>0</v>
      </c>
    </row>
    <row r="437" spans="1:10" x14ac:dyDescent="0.25">
      <c r="A437" s="16">
        <v>426</v>
      </c>
      <c r="B437" s="22">
        <v>42455</v>
      </c>
      <c r="C437" s="16" t="s">
        <v>21</v>
      </c>
      <c r="D437" t="s">
        <v>22</v>
      </c>
      <c r="E437" t="s">
        <v>23</v>
      </c>
      <c r="F437" t="s">
        <v>24</v>
      </c>
      <c r="G437" t="s">
        <v>15</v>
      </c>
      <c r="H437" s="5">
        <v>359</v>
      </c>
      <c r="I437" s="5">
        <v>244.12</v>
      </c>
      <c r="J437" s="2">
        <v>0.2</v>
      </c>
    </row>
    <row r="438" spans="1:10" x14ac:dyDescent="0.25">
      <c r="A438" s="16">
        <v>427</v>
      </c>
      <c r="B438" s="22">
        <v>42620</v>
      </c>
      <c r="C438" s="16" t="s">
        <v>51</v>
      </c>
      <c r="D438" t="s">
        <v>22</v>
      </c>
      <c r="E438" t="s">
        <v>23</v>
      </c>
      <c r="F438" t="s">
        <v>52</v>
      </c>
      <c r="G438" t="s">
        <v>15</v>
      </c>
      <c r="H438" s="5">
        <v>599</v>
      </c>
      <c r="I438" s="5">
        <v>455.24</v>
      </c>
      <c r="J438" s="2">
        <v>0</v>
      </c>
    </row>
    <row r="439" spans="1:10" x14ac:dyDescent="0.25">
      <c r="A439" s="16">
        <v>428</v>
      </c>
      <c r="B439" s="22">
        <v>42512</v>
      </c>
      <c r="C439" s="16" t="s">
        <v>16</v>
      </c>
      <c r="D439" t="s">
        <v>22</v>
      </c>
      <c r="E439" t="s">
        <v>18</v>
      </c>
      <c r="F439" t="s">
        <v>19</v>
      </c>
      <c r="G439" t="s">
        <v>20</v>
      </c>
      <c r="H439" s="5">
        <v>1149</v>
      </c>
      <c r="I439" s="5">
        <v>792.81</v>
      </c>
      <c r="J439" s="2">
        <v>0.15</v>
      </c>
    </row>
    <row r="440" spans="1:10" x14ac:dyDescent="0.25">
      <c r="A440" s="16">
        <v>429</v>
      </c>
      <c r="B440" s="22">
        <v>42520</v>
      </c>
      <c r="C440" s="16" t="s">
        <v>41</v>
      </c>
      <c r="D440" t="s">
        <v>22</v>
      </c>
      <c r="E440" t="s">
        <v>18</v>
      </c>
      <c r="F440" t="s">
        <v>42</v>
      </c>
      <c r="G440" t="s">
        <v>43</v>
      </c>
      <c r="H440" s="5">
        <v>1149</v>
      </c>
      <c r="I440" s="5">
        <v>896.22</v>
      </c>
      <c r="J440" s="2">
        <v>0.2</v>
      </c>
    </row>
    <row r="441" spans="1:10" x14ac:dyDescent="0.25">
      <c r="A441" s="16">
        <v>430</v>
      </c>
      <c r="B441" s="22">
        <v>42455</v>
      </c>
      <c r="C441" s="16" t="s">
        <v>85</v>
      </c>
      <c r="D441" t="s">
        <v>22</v>
      </c>
      <c r="E441" t="s">
        <v>86</v>
      </c>
      <c r="F441" t="s">
        <v>87</v>
      </c>
      <c r="G441" t="s">
        <v>15</v>
      </c>
      <c r="H441" s="5">
        <v>3999</v>
      </c>
      <c r="I441" s="5">
        <v>1399.6499999999999</v>
      </c>
      <c r="J441" s="2">
        <v>0.2</v>
      </c>
    </row>
    <row r="442" spans="1:10" x14ac:dyDescent="0.25">
      <c r="A442" s="16">
        <v>431</v>
      </c>
      <c r="B442" s="22">
        <v>42623</v>
      </c>
      <c r="C442" s="16" t="s">
        <v>63</v>
      </c>
      <c r="D442" t="s">
        <v>12</v>
      </c>
      <c r="E442" t="s">
        <v>35</v>
      </c>
      <c r="F442" t="s">
        <v>64</v>
      </c>
      <c r="G442" t="s">
        <v>15</v>
      </c>
      <c r="H442" s="5">
        <v>13999</v>
      </c>
      <c r="I442" s="5">
        <v>9659.31</v>
      </c>
      <c r="J442" s="2">
        <v>0</v>
      </c>
    </row>
    <row r="443" spans="1:10" x14ac:dyDescent="0.25">
      <c r="A443" s="16">
        <v>432</v>
      </c>
      <c r="B443" s="22">
        <v>42796</v>
      </c>
      <c r="C443" s="16" t="s">
        <v>61</v>
      </c>
      <c r="D443" t="s">
        <v>26</v>
      </c>
      <c r="E443" t="s">
        <v>45</v>
      </c>
      <c r="F443" t="s">
        <v>62</v>
      </c>
      <c r="G443" t="s">
        <v>15</v>
      </c>
      <c r="H443" s="5">
        <v>799</v>
      </c>
      <c r="I443" s="5">
        <v>679.15</v>
      </c>
      <c r="J443" s="2">
        <v>0</v>
      </c>
    </row>
    <row r="444" spans="1:10" x14ac:dyDescent="0.25">
      <c r="A444" s="16">
        <v>433</v>
      </c>
      <c r="B444" s="22">
        <v>42536</v>
      </c>
      <c r="C444" s="16" t="s">
        <v>31</v>
      </c>
      <c r="D444" t="s">
        <v>22</v>
      </c>
      <c r="E444" t="s">
        <v>18</v>
      </c>
      <c r="F444" t="s">
        <v>32</v>
      </c>
      <c r="G444" t="s">
        <v>33</v>
      </c>
      <c r="H444" s="5">
        <v>1199</v>
      </c>
      <c r="I444" s="5">
        <v>887.26</v>
      </c>
      <c r="J444" s="2">
        <v>0</v>
      </c>
    </row>
    <row r="445" spans="1:10" x14ac:dyDescent="0.25">
      <c r="A445" s="16">
        <v>434</v>
      </c>
      <c r="B445" s="22">
        <v>42657</v>
      </c>
      <c r="C445" s="16" t="s">
        <v>16</v>
      </c>
      <c r="D445" t="s">
        <v>22</v>
      </c>
      <c r="E445" t="s">
        <v>18</v>
      </c>
      <c r="F445" t="s">
        <v>19</v>
      </c>
      <c r="G445" t="s">
        <v>20</v>
      </c>
      <c r="H445" s="5">
        <v>1149</v>
      </c>
      <c r="I445" s="5">
        <v>792.81</v>
      </c>
      <c r="J445" s="2">
        <v>0.15</v>
      </c>
    </row>
    <row r="446" spans="1:10" x14ac:dyDescent="0.25">
      <c r="A446" s="16">
        <v>435</v>
      </c>
      <c r="B446" s="22">
        <v>42506</v>
      </c>
      <c r="C446" s="16" t="s">
        <v>41</v>
      </c>
      <c r="D446" t="s">
        <v>22</v>
      </c>
      <c r="E446" t="s">
        <v>18</v>
      </c>
      <c r="F446" t="s">
        <v>42</v>
      </c>
      <c r="G446" t="s">
        <v>43</v>
      </c>
      <c r="H446" s="5">
        <v>1149</v>
      </c>
      <c r="I446" s="5">
        <v>896.22</v>
      </c>
      <c r="J446" s="2">
        <v>0.3</v>
      </c>
    </row>
    <row r="447" spans="1:10" x14ac:dyDescent="0.25">
      <c r="A447" s="16">
        <v>436</v>
      </c>
      <c r="B447" s="22">
        <v>42579</v>
      </c>
      <c r="C447" s="16" t="s">
        <v>31</v>
      </c>
      <c r="D447" t="s">
        <v>22</v>
      </c>
      <c r="E447" t="s">
        <v>18</v>
      </c>
      <c r="F447" t="s">
        <v>32</v>
      </c>
      <c r="G447" t="s">
        <v>33</v>
      </c>
      <c r="H447" s="5">
        <v>1199</v>
      </c>
      <c r="I447" s="5">
        <v>887.26</v>
      </c>
      <c r="J447" s="2">
        <v>0</v>
      </c>
    </row>
    <row r="448" spans="1:10" x14ac:dyDescent="0.25">
      <c r="A448" s="16">
        <v>437</v>
      </c>
      <c r="B448" s="22">
        <v>42512</v>
      </c>
      <c r="C448" s="16" t="s">
        <v>85</v>
      </c>
      <c r="D448" t="s">
        <v>22</v>
      </c>
      <c r="E448" t="s">
        <v>86</v>
      </c>
      <c r="F448" t="s">
        <v>87</v>
      </c>
      <c r="G448" t="s">
        <v>15</v>
      </c>
      <c r="H448" s="5">
        <v>3999</v>
      </c>
      <c r="I448" s="5">
        <v>1399.6499999999999</v>
      </c>
      <c r="J448" s="2">
        <v>0.15</v>
      </c>
    </row>
    <row r="449" spans="1:10" x14ac:dyDescent="0.25">
      <c r="A449" s="16">
        <v>438</v>
      </c>
      <c r="B449" s="22">
        <v>42438</v>
      </c>
      <c r="C449" s="16" t="s">
        <v>53</v>
      </c>
      <c r="D449" t="s">
        <v>22</v>
      </c>
      <c r="E449" t="s">
        <v>18</v>
      </c>
      <c r="F449" t="s">
        <v>54</v>
      </c>
      <c r="G449" t="s">
        <v>33</v>
      </c>
      <c r="H449" s="5">
        <v>1299</v>
      </c>
      <c r="I449" s="5">
        <v>766.41</v>
      </c>
      <c r="J449" s="2">
        <v>0.15</v>
      </c>
    </row>
    <row r="450" spans="1:10" x14ac:dyDescent="0.25">
      <c r="A450" s="16">
        <v>439</v>
      </c>
      <c r="B450" s="22">
        <v>42631</v>
      </c>
      <c r="C450" s="16" t="s">
        <v>53</v>
      </c>
      <c r="D450" t="s">
        <v>22</v>
      </c>
      <c r="E450" t="s">
        <v>18</v>
      </c>
      <c r="F450" t="s">
        <v>54</v>
      </c>
      <c r="G450" t="s">
        <v>33</v>
      </c>
      <c r="H450" s="5">
        <v>1299</v>
      </c>
      <c r="I450" s="5">
        <v>766.41</v>
      </c>
      <c r="J450" s="2">
        <v>0.1</v>
      </c>
    </row>
    <row r="451" spans="1:10" x14ac:dyDescent="0.25">
      <c r="A451" s="16">
        <v>440</v>
      </c>
      <c r="B451" s="22">
        <v>42506</v>
      </c>
      <c r="C451" s="16" t="s">
        <v>25</v>
      </c>
      <c r="D451" t="s">
        <v>26</v>
      </c>
      <c r="E451" t="s">
        <v>27</v>
      </c>
      <c r="F451" t="s">
        <v>28</v>
      </c>
      <c r="G451" t="s">
        <v>15</v>
      </c>
      <c r="H451" s="5">
        <v>1499</v>
      </c>
      <c r="I451" s="5">
        <v>794.47</v>
      </c>
      <c r="J451" s="2">
        <v>0.3</v>
      </c>
    </row>
    <row r="452" spans="1:10" x14ac:dyDescent="0.25">
      <c r="A452" s="16">
        <v>441</v>
      </c>
      <c r="B452" s="22">
        <v>42388</v>
      </c>
      <c r="C452" s="16" t="s">
        <v>29</v>
      </c>
      <c r="D452" t="s">
        <v>26</v>
      </c>
      <c r="E452" t="s">
        <v>27</v>
      </c>
      <c r="F452" t="s">
        <v>30</v>
      </c>
      <c r="G452" t="s">
        <v>15</v>
      </c>
      <c r="H452" s="5">
        <v>259</v>
      </c>
      <c r="I452" s="5">
        <v>220.15</v>
      </c>
      <c r="J452" s="2">
        <v>0.15</v>
      </c>
    </row>
    <row r="453" spans="1:10" x14ac:dyDescent="0.25">
      <c r="A453" s="16">
        <v>442</v>
      </c>
      <c r="B453" s="22">
        <v>42519</v>
      </c>
      <c r="C453" s="16" t="s">
        <v>162</v>
      </c>
      <c r="D453" t="s">
        <v>22</v>
      </c>
      <c r="E453" t="s">
        <v>23</v>
      </c>
      <c r="F453" t="s">
        <v>163</v>
      </c>
      <c r="G453" t="s">
        <v>15</v>
      </c>
      <c r="H453" s="5">
        <v>1299</v>
      </c>
      <c r="I453" s="5">
        <v>1065.1799999999998</v>
      </c>
      <c r="J453" s="2">
        <v>0</v>
      </c>
    </row>
    <row r="454" spans="1:10" x14ac:dyDescent="0.25">
      <c r="A454" s="16">
        <v>443</v>
      </c>
      <c r="B454" s="22">
        <v>42643</v>
      </c>
      <c r="C454" s="16" t="s">
        <v>51</v>
      </c>
      <c r="D454" t="s">
        <v>22</v>
      </c>
      <c r="E454" t="s">
        <v>23</v>
      </c>
      <c r="F454" t="s">
        <v>52</v>
      </c>
      <c r="G454" t="s">
        <v>15</v>
      </c>
      <c r="H454" s="5">
        <v>599</v>
      </c>
      <c r="I454" s="5">
        <v>455.24</v>
      </c>
      <c r="J454" s="2">
        <v>0.2</v>
      </c>
    </row>
    <row r="455" spans="1:10" x14ac:dyDescent="0.25">
      <c r="A455" s="16">
        <v>444</v>
      </c>
      <c r="B455" s="22">
        <v>42454</v>
      </c>
      <c r="C455" s="16" t="s">
        <v>94</v>
      </c>
      <c r="D455" t="s">
        <v>26</v>
      </c>
      <c r="E455" t="s">
        <v>45</v>
      </c>
      <c r="F455" t="s">
        <v>95</v>
      </c>
      <c r="G455" t="s">
        <v>15</v>
      </c>
      <c r="H455" s="5">
        <v>819</v>
      </c>
      <c r="I455" s="5">
        <v>319.41000000000003</v>
      </c>
      <c r="J455" s="2">
        <v>0.15</v>
      </c>
    </row>
    <row r="456" spans="1:10" x14ac:dyDescent="0.25">
      <c r="A456" s="16">
        <v>445</v>
      </c>
      <c r="B456" s="22">
        <v>42749</v>
      </c>
      <c r="C456" s="16" t="s">
        <v>47</v>
      </c>
      <c r="D456" t="s">
        <v>26</v>
      </c>
      <c r="E456" t="s">
        <v>27</v>
      </c>
      <c r="F456" t="s">
        <v>48</v>
      </c>
      <c r="G456" t="s">
        <v>15</v>
      </c>
      <c r="H456" s="5">
        <v>699</v>
      </c>
      <c r="I456" s="5">
        <v>482.30999999999995</v>
      </c>
      <c r="J456" s="2">
        <v>0</v>
      </c>
    </row>
    <row r="457" spans="1:10" x14ac:dyDescent="0.25">
      <c r="A457" s="16">
        <v>446</v>
      </c>
      <c r="B457" s="22">
        <v>42693</v>
      </c>
      <c r="C457" s="16" t="s">
        <v>21</v>
      </c>
      <c r="D457" t="s">
        <v>22</v>
      </c>
      <c r="E457" t="s">
        <v>23</v>
      </c>
      <c r="F457" t="s">
        <v>24</v>
      </c>
      <c r="G457" t="s">
        <v>15</v>
      </c>
      <c r="H457" s="5">
        <v>359</v>
      </c>
      <c r="I457" s="5">
        <v>244.12</v>
      </c>
      <c r="J457" s="2">
        <v>0</v>
      </c>
    </row>
    <row r="458" spans="1:10" x14ac:dyDescent="0.25">
      <c r="A458" s="16">
        <v>447</v>
      </c>
      <c r="B458" s="22">
        <v>42424</v>
      </c>
      <c r="C458" s="16" t="s">
        <v>85</v>
      </c>
      <c r="D458" t="s">
        <v>22</v>
      </c>
      <c r="E458" t="s">
        <v>86</v>
      </c>
      <c r="F458" t="s">
        <v>87</v>
      </c>
      <c r="G458" t="s">
        <v>15</v>
      </c>
      <c r="H458" s="5">
        <v>3999</v>
      </c>
      <c r="I458" s="5">
        <v>1399.6499999999999</v>
      </c>
      <c r="J458" s="2">
        <v>0.15</v>
      </c>
    </row>
    <row r="459" spans="1:10" x14ac:dyDescent="0.25">
      <c r="A459" s="16">
        <v>448</v>
      </c>
      <c r="B459" s="22">
        <v>42769</v>
      </c>
      <c r="C459" s="16" t="s">
        <v>41</v>
      </c>
      <c r="D459" t="s">
        <v>22</v>
      </c>
      <c r="E459" t="s">
        <v>18</v>
      </c>
      <c r="F459" t="s">
        <v>42</v>
      </c>
      <c r="G459" t="s">
        <v>43</v>
      </c>
      <c r="H459" s="5">
        <v>1149</v>
      </c>
      <c r="I459" s="5">
        <v>896.22</v>
      </c>
      <c r="J459" s="2">
        <v>0</v>
      </c>
    </row>
    <row r="460" spans="1:10" x14ac:dyDescent="0.25">
      <c r="A460" s="16">
        <v>449</v>
      </c>
      <c r="B460" s="22">
        <v>42631</v>
      </c>
      <c r="C460" s="16" t="s">
        <v>51</v>
      </c>
      <c r="D460" t="s">
        <v>22</v>
      </c>
      <c r="E460" t="s">
        <v>23</v>
      </c>
      <c r="F460" t="s">
        <v>52</v>
      </c>
      <c r="G460" t="s">
        <v>15</v>
      </c>
      <c r="H460" s="5">
        <v>599</v>
      </c>
      <c r="I460" s="5">
        <v>455.24</v>
      </c>
      <c r="J460" s="2">
        <v>0.1</v>
      </c>
    </row>
    <row r="461" spans="1:10" x14ac:dyDescent="0.25">
      <c r="A461" s="16">
        <v>450</v>
      </c>
      <c r="B461" s="22">
        <v>42643</v>
      </c>
      <c r="C461" s="16" t="s">
        <v>134</v>
      </c>
      <c r="D461" t="s">
        <v>22</v>
      </c>
      <c r="E461" t="s">
        <v>18</v>
      </c>
      <c r="F461" t="s">
        <v>135</v>
      </c>
      <c r="G461" t="s">
        <v>33</v>
      </c>
      <c r="H461" s="5">
        <v>409</v>
      </c>
      <c r="I461" s="5">
        <v>237.21999999999997</v>
      </c>
      <c r="J461" s="2">
        <v>0.2</v>
      </c>
    </row>
    <row r="462" spans="1:10" x14ac:dyDescent="0.25">
      <c r="A462" s="16">
        <v>451</v>
      </c>
      <c r="B462" s="22">
        <v>42404</v>
      </c>
      <c r="C462" s="16" t="s">
        <v>11</v>
      </c>
      <c r="D462" t="s">
        <v>12</v>
      </c>
      <c r="E462" t="s">
        <v>13</v>
      </c>
      <c r="F462" t="s">
        <v>14</v>
      </c>
      <c r="G462" t="s">
        <v>15</v>
      </c>
      <c r="H462" s="5">
        <v>1299</v>
      </c>
      <c r="I462" s="5">
        <v>727.44</v>
      </c>
      <c r="J462" s="2">
        <v>0.15</v>
      </c>
    </row>
    <row r="463" spans="1:10" x14ac:dyDescent="0.25">
      <c r="A463" s="16">
        <v>452</v>
      </c>
      <c r="B463" s="22">
        <v>42454</v>
      </c>
      <c r="C463" s="16" t="s">
        <v>148</v>
      </c>
      <c r="D463" t="s">
        <v>22</v>
      </c>
      <c r="E463" t="s">
        <v>18</v>
      </c>
      <c r="F463" t="s">
        <v>149</v>
      </c>
      <c r="G463" t="s">
        <v>33</v>
      </c>
      <c r="H463" s="5">
        <v>899</v>
      </c>
      <c r="I463" s="5">
        <v>719.2</v>
      </c>
      <c r="J463" s="2">
        <v>0.15</v>
      </c>
    </row>
    <row r="464" spans="1:10" x14ac:dyDescent="0.25">
      <c r="A464" s="16">
        <v>453</v>
      </c>
      <c r="B464" s="22">
        <v>42631</v>
      </c>
      <c r="C464" s="16" t="s">
        <v>31</v>
      </c>
      <c r="D464" t="s">
        <v>22</v>
      </c>
      <c r="E464" t="s">
        <v>18</v>
      </c>
      <c r="F464" t="s">
        <v>32</v>
      </c>
      <c r="G464" t="s">
        <v>33</v>
      </c>
      <c r="H464" s="5">
        <v>1199</v>
      </c>
      <c r="I464" s="5">
        <v>887.26</v>
      </c>
      <c r="J464" s="2">
        <v>0.1</v>
      </c>
    </row>
    <row r="465" spans="1:10" x14ac:dyDescent="0.25">
      <c r="A465" s="16">
        <v>454</v>
      </c>
      <c r="B465" s="22">
        <v>42693</v>
      </c>
      <c r="C465" s="16" t="s">
        <v>41</v>
      </c>
      <c r="D465" t="s">
        <v>22</v>
      </c>
      <c r="E465" t="s">
        <v>18</v>
      </c>
      <c r="F465" t="s">
        <v>42</v>
      </c>
      <c r="G465" t="s">
        <v>43</v>
      </c>
      <c r="H465" s="5">
        <v>1149</v>
      </c>
      <c r="I465" s="5">
        <v>896.22</v>
      </c>
      <c r="J465" s="2">
        <v>0</v>
      </c>
    </row>
    <row r="466" spans="1:10" x14ac:dyDescent="0.25">
      <c r="A466" s="16">
        <v>455</v>
      </c>
      <c r="B466" s="22">
        <v>42493</v>
      </c>
      <c r="C466" s="16" t="s">
        <v>41</v>
      </c>
      <c r="D466" t="s">
        <v>22</v>
      </c>
      <c r="E466" t="s">
        <v>18</v>
      </c>
      <c r="F466" t="s">
        <v>42</v>
      </c>
      <c r="G466" t="s">
        <v>43</v>
      </c>
      <c r="H466" s="5">
        <v>1149</v>
      </c>
      <c r="I466" s="5">
        <v>896.22</v>
      </c>
      <c r="J466" s="2">
        <v>0</v>
      </c>
    </row>
    <row r="467" spans="1:10" x14ac:dyDescent="0.25">
      <c r="A467" s="16">
        <v>456</v>
      </c>
      <c r="B467" s="22">
        <v>42665</v>
      </c>
      <c r="C467" s="16" t="s">
        <v>173</v>
      </c>
      <c r="D467" t="s">
        <v>22</v>
      </c>
      <c r="E467" t="s">
        <v>18</v>
      </c>
      <c r="F467" t="s">
        <v>174</v>
      </c>
      <c r="G467" t="s">
        <v>43</v>
      </c>
      <c r="H467" s="5">
        <v>1199</v>
      </c>
      <c r="I467" s="5">
        <v>971.19</v>
      </c>
      <c r="J467" s="2">
        <v>0</v>
      </c>
    </row>
    <row r="468" spans="1:10" x14ac:dyDescent="0.25">
      <c r="A468" s="16">
        <v>457</v>
      </c>
      <c r="B468" s="22">
        <v>42657</v>
      </c>
      <c r="C468" s="16" t="s">
        <v>41</v>
      </c>
      <c r="D468" t="s">
        <v>22</v>
      </c>
      <c r="E468" t="s">
        <v>18</v>
      </c>
      <c r="F468" t="s">
        <v>42</v>
      </c>
      <c r="G468" t="s">
        <v>43</v>
      </c>
      <c r="H468" s="5">
        <v>1149</v>
      </c>
      <c r="I468" s="5">
        <v>896.22</v>
      </c>
      <c r="J468" s="2">
        <v>0.15</v>
      </c>
    </row>
    <row r="469" spans="1:10" x14ac:dyDescent="0.25">
      <c r="A469" s="16">
        <v>458</v>
      </c>
      <c r="B469" s="22">
        <v>42814</v>
      </c>
      <c r="C469" s="16" t="s">
        <v>175</v>
      </c>
      <c r="D469" t="s">
        <v>26</v>
      </c>
      <c r="E469" t="s">
        <v>27</v>
      </c>
      <c r="F469" t="s">
        <v>176</v>
      </c>
      <c r="G469" t="s">
        <v>15</v>
      </c>
      <c r="H469" s="5">
        <v>699</v>
      </c>
      <c r="I469" s="5">
        <v>307.56</v>
      </c>
      <c r="J469" s="2">
        <v>0</v>
      </c>
    </row>
    <row r="470" spans="1:10" x14ac:dyDescent="0.25">
      <c r="A470" s="16">
        <v>459</v>
      </c>
      <c r="B470" s="22">
        <v>42696</v>
      </c>
      <c r="C470" s="16" t="s">
        <v>41</v>
      </c>
      <c r="D470" t="s">
        <v>22</v>
      </c>
      <c r="E470" t="s">
        <v>18</v>
      </c>
      <c r="F470" t="s">
        <v>42</v>
      </c>
      <c r="G470" t="s">
        <v>43</v>
      </c>
      <c r="H470" s="5">
        <v>1149</v>
      </c>
      <c r="I470" s="5">
        <v>896.22</v>
      </c>
      <c r="J470" s="2">
        <v>0</v>
      </c>
    </row>
    <row r="471" spans="1:10" x14ac:dyDescent="0.25">
      <c r="A471" s="16">
        <v>460</v>
      </c>
      <c r="B471" s="22">
        <v>42485</v>
      </c>
      <c r="C471" s="16" t="s">
        <v>177</v>
      </c>
      <c r="D471" t="s">
        <v>12</v>
      </c>
      <c r="E471" t="s">
        <v>13</v>
      </c>
      <c r="F471" t="s">
        <v>178</v>
      </c>
      <c r="G471" t="s">
        <v>15</v>
      </c>
      <c r="H471" s="5">
        <v>999</v>
      </c>
      <c r="I471" s="5">
        <v>489.51</v>
      </c>
      <c r="J471" s="2">
        <v>0</v>
      </c>
    </row>
    <row r="472" spans="1:10" x14ac:dyDescent="0.25">
      <c r="A472" s="16">
        <v>461</v>
      </c>
      <c r="B472" s="22">
        <v>42546</v>
      </c>
      <c r="C472" s="16" t="s">
        <v>171</v>
      </c>
      <c r="D472" t="s">
        <v>26</v>
      </c>
      <c r="E472" t="s">
        <v>45</v>
      </c>
      <c r="F472" t="s">
        <v>172</v>
      </c>
      <c r="G472" t="s">
        <v>15</v>
      </c>
      <c r="H472" s="5">
        <v>799</v>
      </c>
      <c r="I472" s="5">
        <v>679.15</v>
      </c>
      <c r="J472" s="2">
        <v>0.2</v>
      </c>
    </row>
    <row r="473" spans="1:10" x14ac:dyDescent="0.25">
      <c r="A473" s="16">
        <v>462</v>
      </c>
      <c r="B473" s="22">
        <v>42697</v>
      </c>
      <c r="C473" s="16" t="s">
        <v>25</v>
      </c>
      <c r="D473" t="s">
        <v>26</v>
      </c>
      <c r="E473" t="s">
        <v>27</v>
      </c>
      <c r="F473" t="s">
        <v>28</v>
      </c>
      <c r="G473" t="s">
        <v>15</v>
      </c>
      <c r="H473" s="5">
        <v>1499</v>
      </c>
      <c r="I473" s="5">
        <v>794.47</v>
      </c>
      <c r="J473" s="2">
        <v>0</v>
      </c>
    </row>
    <row r="474" spans="1:10" x14ac:dyDescent="0.25">
      <c r="A474" s="16">
        <v>463</v>
      </c>
      <c r="B474" s="22">
        <v>42638</v>
      </c>
      <c r="C474" s="16" t="s">
        <v>128</v>
      </c>
      <c r="D474" t="s">
        <v>26</v>
      </c>
      <c r="E474" t="s">
        <v>45</v>
      </c>
      <c r="F474" t="s">
        <v>129</v>
      </c>
      <c r="G474" t="s">
        <v>15</v>
      </c>
      <c r="H474" s="5">
        <v>399</v>
      </c>
      <c r="I474" s="5">
        <v>323.19</v>
      </c>
      <c r="J474" s="2">
        <v>0</v>
      </c>
    </row>
    <row r="475" spans="1:10" x14ac:dyDescent="0.25">
      <c r="A475" s="16">
        <v>464</v>
      </c>
      <c r="B475" s="22">
        <v>42822</v>
      </c>
      <c r="C475" s="16" t="s">
        <v>88</v>
      </c>
      <c r="D475" t="s">
        <v>22</v>
      </c>
      <c r="E475" t="s">
        <v>86</v>
      </c>
      <c r="F475" t="s">
        <v>89</v>
      </c>
      <c r="G475" t="s">
        <v>15</v>
      </c>
      <c r="H475" s="5">
        <v>7999</v>
      </c>
      <c r="I475" s="5">
        <v>2399.6999999999998</v>
      </c>
      <c r="J475" s="2">
        <v>0</v>
      </c>
    </row>
    <row r="476" spans="1:10" x14ac:dyDescent="0.25">
      <c r="A476" s="16">
        <v>465</v>
      </c>
      <c r="B476" s="22">
        <v>42767</v>
      </c>
      <c r="C476" s="16" t="s">
        <v>96</v>
      </c>
      <c r="D476" t="s">
        <v>12</v>
      </c>
      <c r="E476" t="s">
        <v>35</v>
      </c>
      <c r="F476" t="s">
        <v>97</v>
      </c>
      <c r="G476" t="s">
        <v>15</v>
      </c>
      <c r="H476" s="5">
        <v>11999</v>
      </c>
      <c r="I476" s="5">
        <v>7799.35</v>
      </c>
      <c r="J476" s="2">
        <v>0</v>
      </c>
    </row>
    <row r="477" spans="1:10" x14ac:dyDescent="0.25">
      <c r="A477" s="16">
        <v>466</v>
      </c>
      <c r="B477" s="22">
        <v>42506</v>
      </c>
      <c r="C477" s="16" t="s">
        <v>47</v>
      </c>
      <c r="D477" t="s">
        <v>26</v>
      </c>
      <c r="E477" t="s">
        <v>27</v>
      </c>
      <c r="F477" t="s">
        <v>48</v>
      </c>
      <c r="G477" t="s">
        <v>15</v>
      </c>
      <c r="H477" s="5">
        <v>699</v>
      </c>
      <c r="I477" s="5">
        <v>482.30999999999995</v>
      </c>
      <c r="J477" s="2">
        <v>0.3</v>
      </c>
    </row>
    <row r="478" spans="1:10" x14ac:dyDescent="0.25">
      <c r="A478" s="16">
        <v>467</v>
      </c>
      <c r="B478" s="22">
        <v>42661</v>
      </c>
      <c r="C478" s="16" t="s">
        <v>100</v>
      </c>
      <c r="D478" t="s">
        <v>12</v>
      </c>
      <c r="E478" t="s">
        <v>35</v>
      </c>
      <c r="F478" t="s">
        <v>101</v>
      </c>
      <c r="G478" t="s">
        <v>15</v>
      </c>
      <c r="H478" s="5">
        <v>7599</v>
      </c>
      <c r="I478" s="5">
        <v>6307.17</v>
      </c>
      <c r="J478" s="2">
        <v>0</v>
      </c>
    </row>
    <row r="479" spans="1:10" x14ac:dyDescent="0.25">
      <c r="A479" s="16">
        <v>468</v>
      </c>
      <c r="B479" s="22">
        <v>42388</v>
      </c>
      <c r="C479" s="16" t="s">
        <v>11</v>
      </c>
      <c r="D479" t="s">
        <v>12</v>
      </c>
      <c r="E479" t="s">
        <v>13</v>
      </c>
      <c r="F479" t="s">
        <v>14</v>
      </c>
      <c r="G479" t="s">
        <v>15</v>
      </c>
      <c r="H479" s="5">
        <v>1299</v>
      </c>
      <c r="I479" s="5">
        <v>727.44</v>
      </c>
      <c r="J479" s="2">
        <v>0.15</v>
      </c>
    </row>
    <row r="480" spans="1:10" x14ac:dyDescent="0.25">
      <c r="A480" s="16">
        <v>469</v>
      </c>
      <c r="B480" s="22">
        <v>42534</v>
      </c>
      <c r="C480" s="16" t="s">
        <v>134</v>
      </c>
      <c r="D480" t="s">
        <v>22</v>
      </c>
      <c r="E480" t="s">
        <v>18</v>
      </c>
      <c r="F480" t="s">
        <v>135</v>
      </c>
      <c r="G480" t="s">
        <v>33</v>
      </c>
      <c r="H480" s="5">
        <v>409</v>
      </c>
      <c r="I480" s="5">
        <v>237.21999999999997</v>
      </c>
      <c r="J480" s="2">
        <v>0</v>
      </c>
    </row>
    <row r="481" spans="1:10" x14ac:dyDescent="0.25">
      <c r="A481" s="16">
        <v>470</v>
      </c>
      <c r="B481" s="22">
        <v>42684</v>
      </c>
      <c r="C481" s="16" t="s">
        <v>61</v>
      </c>
      <c r="D481" t="s">
        <v>26</v>
      </c>
      <c r="E481" t="s">
        <v>45</v>
      </c>
      <c r="F481" t="s">
        <v>62</v>
      </c>
      <c r="G481" t="s">
        <v>15</v>
      </c>
      <c r="H481" s="5">
        <v>799</v>
      </c>
      <c r="I481" s="5">
        <v>679.15</v>
      </c>
      <c r="J481" s="2">
        <v>0.2</v>
      </c>
    </row>
    <row r="482" spans="1:10" x14ac:dyDescent="0.25">
      <c r="A482" s="16">
        <v>471</v>
      </c>
      <c r="B482" s="22">
        <v>42672</v>
      </c>
      <c r="C482" s="16" t="s">
        <v>11</v>
      </c>
      <c r="D482" t="s">
        <v>12</v>
      </c>
      <c r="E482" t="s">
        <v>13</v>
      </c>
      <c r="F482" t="s">
        <v>14</v>
      </c>
      <c r="G482" t="s">
        <v>15</v>
      </c>
      <c r="H482" s="5">
        <v>1299</v>
      </c>
      <c r="I482" s="5">
        <v>727.44</v>
      </c>
      <c r="J482" s="2">
        <v>0.15</v>
      </c>
    </row>
    <row r="483" spans="1:10" x14ac:dyDescent="0.25">
      <c r="A483" s="16">
        <v>472</v>
      </c>
      <c r="B483" s="22">
        <v>42672</v>
      </c>
      <c r="C483" s="16" t="s">
        <v>65</v>
      </c>
      <c r="D483" t="s">
        <v>12</v>
      </c>
      <c r="E483" t="s">
        <v>13</v>
      </c>
      <c r="F483" t="s">
        <v>66</v>
      </c>
      <c r="G483" t="s">
        <v>15</v>
      </c>
      <c r="H483" s="5">
        <v>1499</v>
      </c>
      <c r="I483" s="5">
        <v>584.61</v>
      </c>
      <c r="J483" s="2">
        <v>0.15</v>
      </c>
    </row>
    <row r="484" spans="1:10" x14ac:dyDescent="0.25">
      <c r="A484" s="16">
        <v>473</v>
      </c>
      <c r="B484" s="22">
        <v>42567</v>
      </c>
      <c r="C484" s="16" t="s">
        <v>41</v>
      </c>
      <c r="D484" t="s">
        <v>22</v>
      </c>
      <c r="E484" t="s">
        <v>18</v>
      </c>
      <c r="F484" t="s">
        <v>42</v>
      </c>
      <c r="G484" t="s">
        <v>43</v>
      </c>
      <c r="H484" s="5">
        <v>1149</v>
      </c>
      <c r="I484" s="5">
        <v>896.22</v>
      </c>
      <c r="J484" s="2">
        <v>0</v>
      </c>
    </row>
    <row r="485" spans="1:10" x14ac:dyDescent="0.25">
      <c r="A485" s="16">
        <v>474</v>
      </c>
      <c r="B485" s="22">
        <v>42571</v>
      </c>
      <c r="C485" s="16" t="s">
        <v>41</v>
      </c>
      <c r="D485" t="s">
        <v>22</v>
      </c>
      <c r="E485" t="s">
        <v>18</v>
      </c>
      <c r="F485" t="s">
        <v>42</v>
      </c>
      <c r="G485" t="s">
        <v>43</v>
      </c>
      <c r="H485" s="5">
        <v>1149</v>
      </c>
      <c r="I485" s="5">
        <v>896.22</v>
      </c>
      <c r="J485" s="2">
        <v>0</v>
      </c>
    </row>
    <row r="486" spans="1:10" x14ac:dyDescent="0.25">
      <c r="A486" s="16">
        <v>475</v>
      </c>
      <c r="B486" s="22">
        <v>42729</v>
      </c>
      <c r="C486" s="16" t="s">
        <v>25</v>
      </c>
      <c r="D486" t="s">
        <v>26</v>
      </c>
      <c r="E486" t="s">
        <v>27</v>
      </c>
      <c r="F486" t="s">
        <v>28</v>
      </c>
      <c r="G486" t="s">
        <v>15</v>
      </c>
      <c r="H486" s="5">
        <v>1499</v>
      </c>
      <c r="I486" s="5">
        <v>794.47</v>
      </c>
      <c r="J486" s="2">
        <v>0</v>
      </c>
    </row>
    <row r="487" spans="1:10" x14ac:dyDescent="0.25">
      <c r="A487" s="16">
        <v>476</v>
      </c>
      <c r="B487" s="22">
        <v>42439</v>
      </c>
      <c r="C487" s="16" t="s">
        <v>72</v>
      </c>
      <c r="D487" t="s">
        <v>22</v>
      </c>
      <c r="E487" t="s">
        <v>18</v>
      </c>
      <c r="F487" t="s">
        <v>73</v>
      </c>
      <c r="G487" t="s">
        <v>69</v>
      </c>
      <c r="H487" s="5">
        <v>799</v>
      </c>
      <c r="I487" s="5">
        <v>535.33000000000004</v>
      </c>
      <c r="J487" s="2">
        <v>0</v>
      </c>
    </row>
    <row r="488" spans="1:10" x14ac:dyDescent="0.25">
      <c r="A488" s="16">
        <v>477</v>
      </c>
      <c r="B488" s="22">
        <v>42506</v>
      </c>
      <c r="C488" s="16" t="s">
        <v>25</v>
      </c>
      <c r="D488" t="s">
        <v>26</v>
      </c>
      <c r="E488" t="s">
        <v>27</v>
      </c>
      <c r="F488" t="s">
        <v>28</v>
      </c>
      <c r="G488" t="s">
        <v>15</v>
      </c>
      <c r="H488" s="5">
        <v>1499</v>
      </c>
      <c r="I488" s="5">
        <v>794.47</v>
      </c>
      <c r="J488" s="2">
        <v>0.3</v>
      </c>
    </row>
    <row r="489" spans="1:10" x14ac:dyDescent="0.25">
      <c r="A489" s="16">
        <v>478</v>
      </c>
      <c r="B489" s="22">
        <v>42506</v>
      </c>
      <c r="C489" s="16" t="s">
        <v>31</v>
      </c>
      <c r="D489" t="s">
        <v>22</v>
      </c>
      <c r="E489" t="s">
        <v>18</v>
      </c>
      <c r="F489" t="s">
        <v>32</v>
      </c>
      <c r="G489" t="s">
        <v>33</v>
      </c>
      <c r="H489" s="5">
        <v>1199</v>
      </c>
      <c r="I489" s="5">
        <v>887.26</v>
      </c>
      <c r="J489" s="2">
        <v>0.3</v>
      </c>
    </row>
    <row r="490" spans="1:10" x14ac:dyDescent="0.25">
      <c r="A490" s="16">
        <v>479</v>
      </c>
      <c r="B490" s="22">
        <v>42643</v>
      </c>
      <c r="C490" s="16" t="s">
        <v>63</v>
      </c>
      <c r="D490" t="s">
        <v>12</v>
      </c>
      <c r="E490" t="s">
        <v>35</v>
      </c>
      <c r="F490" t="s">
        <v>64</v>
      </c>
      <c r="G490" t="s">
        <v>15</v>
      </c>
      <c r="H490" s="5">
        <v>13999</v>
      </c>
      <c r="I490" s="5">
        <v>9659.31</v>
      </c>
      <c r="J490" s="2">
        <v>0.2</v>
      </c>
    </row>
    <row r="491" spans="1:10" x14ac:dyDescent="0.25">
      <c r="A491" s="16">
        <v>480</v>
      </c>
      <c r="B491" s="22">
        <v>42458</v>
      </c>
      <c r="C491" s="16" t="s">
        <v>81</v>
      </c>
      <c r="D491" t="s">
        <v>22</v>
      </c>
      <c r="E491" t="s">
        <v>18</v>
      </c>
      <c r="F491" t="s">
        <v>82</v>
      </c>
      <c r="G491" t="s">
        <v>78</v>
      </c>
      <c r="H491" s="5">
        <v>1299</v>
      </c>
      <c r="I491" s="5">
        <v>909.3</v>
      </c>
      <c r="J491" s="2">
        <v>0</v>
      </c>
    </row>
    <row r="492" spans="1:10" x14ac:dyDescent="0.25">
      <c r="A492" s="16">
        <v>481</v>
      </c>
      <c r="B492" s="22">
        <v>42526</v>
      </c>
      <c r="C492" s="16" t="s">
        <v>41</v>
      </c>
      <c r="D492" t="s">
        <v>22</v>
      </c>
      <c r="E492" t="s">
        <v>18</v>
      </c>
      <c r="F492" t="s">
        <v>42</v>
      </c>
      <c r="G492" t="s">
        <v>43</v>
      </c>
      <c r="H492" s="5">
        <v>1149</v>
      </c>
      <c r="I492" s="5">
        <v>896.22</v>
      </c>
      <c r="J492" s="2">
        <v>0</v>
      </c>
    </row>
    <row r="493" spans="1:10" x14ac:dyDescent="0.25">
      <c r="A493" s="16">
        <v>482</v>
      </c>
      <c r="B493" s="22">
        <v>42762</v>
      </c>
      <c r="C493" s="16" t="s">
        <v>41</v>
      </c>
      <c r="D493" t="s">
        <v>22</v>
      </c>
      <c r="E493" t="s">
        <v>18</v>
      </c>
      <c r="F493" t="s">
        <v>42</v>
      </c>
      <c r="G493" t="s">
        <v>43</v>
      </c>
      <c r="H493" s="5">
        <v>1149</v>
      </c>
      <c r="I493" s="5">
        <v>896.22</v>
      </c>
      <c r="J493" s="2">
        <v>0.15</v>
      </c>
    </row>
    <row r="494" spans="1:10" x14ac:dyDescent="0.25">
      <c r="A494" s="16">
        <v>483</v>
      </c>
      <c r="B494" s="22">
        <v>42388</v>
      </c>
      <c r="C494" s="16" t="s">
        <v>41</v>
      </c>
      <c r="D494" t="s">
        <v>22</v>
      </c>
      <c r="E494" t="s">
        <v>18</v>
      </c>
      <c r="F494" t="s">
        <v>42</v>
      </c>
      <c r="G494" t="s">
        <v>43</v>
      </c>
      <c r="H494" s="5">
        <v>1149</v>
      </c>
      <c r="I494" s="5">
        <v>896.22</v>
      </c>
      <c r="J494" s="2">
        <v>0.15</v>
      </c>
    </row>
    <row r="495" spans="1:10" x14ac:dyDescent="0.25">
      <c r="A495" s="16">
        <v>484</v>
      </c>
      <c r="B495" s="22">
        <v>42457</v>
      </c>
      <c r="C495" s="16" t="s">
        <v>41</v>
      </c>
      <c r="D495" t="s">
        <v>22</v>
      </c>
      <c r="E495" t="s">
        <v>18</v>
      </c>
      <c r="F495" t="s">
        <v>42</v>
      </c>
      <c r="G495" t="s">
        <v>43</v>
      </c>
      <c r="H495" s="5">
        <v>1149</v>
      </c>
      <c r="I495" s="5">
        <v>896.22</v>
      </c>
      <c r="J495" s="2">
        <v>0</v>
      </c>
    </row>
    <row r="496" spans="1:10" x14ac:dyDescent="0.25">
      <c r="A496" s="16">
        <v>485</v>
      </c>
      <c r="B496" s="22">
        <v>42506</v>
      </c>
      <c r="C496" s="16" t="s">
        <v>51</v>
      </c>
      <c r="D496" t="s">
        <v>22</v>
      </c>
      <c r="E496" t="s">
        <v>23</v>
      </c>
      <c r="F496" t="s">
        <v>52</v>
      </c>
      <c r="G496" t="s">
        <v>15</v>
      </c>
      <c r="H496" s="5">
        <v>599</v>
      </c>
      <c r="I496" s="5">
        <v>455.24</v>
      </c>
      <c r="J496" s="2">
        <v>0.3</v>
      </c>
    </row>
    <row r="497" spans="1:10" x14ac:dyDescent="0.25">
      <c r="A497" s="16">
        <v>486</v>
      </c>
      <c r="B497" s="22">
        <v>42732</v>
      </c>
      <c r="C497" s="16" t="s">
        <v>31</v>
      </c>
      <c r="D497" t="s">
        <v>22</v>
      </c>
      <c r="E497" t="s">
        <v>18</v>
      </c>
      <c r="F497" t="s">
        <v>32</v>
      </c>
      <c r="G497" t="s">
        <v>33</v>
      </c>
      <c r="H497" s="5">
        <v>1199</v>
      </c>
      <c r="I497" s="5">
        <v>887.26</v>
      </c>
      <c r="J497" s="2">
        <v>0</v>
      </c>
    </row>
    <row r="498" spans="1:10" x14ac:dyDescent="0.25">
      <c r="A498" s="16">
        <v>487</v>
      </c>
      <c r="B498" s="22">
        <v>42546</v>
      </c>
      <c r="C498" s="16" t="s">
        <v>31</v>
      </c>
      <c r="D498" t="s">
        <v>22</v>
      </c>
      <c r="E498" t="s">
        <v>18</v>
      </c>
      <c r="F498" t="s">
        <v>32</v>
      </c>
      <c r="G498" t="s">
        <v>33</v>
      </c>
      <c r="H498" s="5">
        <v>1199</v>
      </c>
      <c r="I498" s="5">
        <v>887.26</v>
      </c>
      <c r="J498" s="2">
        <v>0.2</v>
      </c>
    </row>
    <row r="499" spans="1:10" x14ac:dyDescent="0.25">
      <c r="A499" s="16">
        <v>488</v>
      </c>
      <c r="B499" s="22">
        <v>42792</v>
      </c>
      <c r="C499" s="16" t="s">
        <v>70</v>
      </c>
      <c r="D499" t="s">
        <v>26</v>
      </c>
      <c r="E499" t="s">
        <v>45</v>
      </c>
      <c r="F499" t="s">
        <v>71</v>
      </c>
      <c r="G499" t="s">
        <v>15</v>
      </c>
      <c r="H499" s="5">
        <v>449</v>
      </c>
      <c r="I499" s="5">
        <v>161.63999999999999</v>
      </c>
      <c r="J499" s="2">
        <v>0.1</v>
      </c>
    </row>
    <row r="500" spans="1:10" x14ac:dyDescent="0.25">
      <c r="A500" s="16">
        <v>489</v>
      </c>
      <c r="B500" s="22">
        <v>42506</v>
      </c>
      <c r="C500" s="16" t="s">
        <v>138</v>
      </c>
      <c r="D500" t="s">
        <v>22</v>
      </c>
      <c r="E500" t="s">
        <v>86</v>
      </c>
      <c r="F500" t="s">
        <v>139</v>
      </c>
      <c r="G500" t="s">
        <v>15</v>
      </c>
      <c r="H500" s="5">
        <v>14399</v>
      </c>
      <c r="I500" s="5">
        <v>11375.210000000001</v>
      </c>
      <c r="J500" s="2">
        <v>0.3</v>
      </c>
    </row>
    <row r="501" spans="1:10" x14ac:dyDescent="0.25">
      <c r="A501" s="16">
        <v>490</v>
      </c>
      <c r="B501" s="22">
        <v>42601</v>
      </c>
      <c r="C501" s="16" t="s">
        <v>29</v>
      </c>
      <c r="D501" t="s">
        <v>26</v>
      </c>
      <c r="E501" t="s">
        <v>27</v>
      </c>
      <c r="F501" t="s">
        <v>30</v>
      </c>
      <c r="G501" t="s">
        <v>15</v>
      </c>
      <c r="H501" s="5">
        <v>259</v>
      </c>
      <c r="I501" s="5">
        <v>220.15</v>
      </c>
      <c r="J501" s="2">
        <v>0.15</v>
      </c>
    </row>
    <row r="502" spans="1:10" x14ac:dyDescent="0.25">
      <c r="A502" s="16">
        <v>491</v>
      </c>
      <c r="B502" s="22">
        <v>42506</v>
      </c>
      <c r="C502" s="16" t="s">
        <v>25</v>
      </c>
      <c r="D502" t="s">
        <v>26</v>
      </c>
      <c r="E502" t="s">
        <v>27</v>
      </c>
      <c r="F502" t="s">
        <v>28</v>
      </c>
      <c r="G502" t="s">
        <v>15</v>
      </c>
      <c r="H502" s="5">
        <v>1499</v>
      </c>
      <c r="I502" s="5">
        <v>794.47</v>
      </c>
      <c r="J502" s="2">
        <v>0.3</v>
      </c>
    </row>
    <row r="503" spans="1:10" x14ac:dyDescent="0.25">
      <c r="A503" s="16">
        <v>492</v>
      </c>
      <c r="B503" s="22">
        <v>42506</v>
      </c>
      <c r="C503" s="16" t="s">
        <v>140</v>
      </c>
      <c r="D503" t="s">
        <v>22</v>
      </c>
      <c r="E503" t="s">
        <v>18</v>
      </c>
      <c r="F503" t="s">
        <v>141</v>
      </c>
      <c r="G503" t="s">
        <v>43</v>
      </c>
      <c r="H503" s="5">
        <v>999</v>
      </c>
      <c r="I503" s="5">
        <v>809.19</v>
      </c>
      <c r="J503" s="2">
        <v>0.3</v>
      </c>
    </row>
    <row r="504" spans="1:10" x14ac:dyDescent="0.25">
      <c r="A504" s="16">
        <v>493</v>
      </c>
      <c r="B504" s="22">
        <v>42506</v>
      </c>
      <c r="C504" s="16" t="s">
        <v>55</v>
      </c>
      <c r="D504" t="s">
        <v>26</v>
      </c>
      <c r="E504" t="s">
        <v>45</v>
      </c>
      <c r="F504" t="s">
        <v>56</v>
      </c>
      <c r="G504" t="s">
        <v>15</v>
      </c>
      <c r="H504" s="5">
        <v>499</v>
      </c>
      <c r="I504" s="5">
        <v>279.44000000000005</v>
      </c>
      <c r="J504" s="2">
        <v>0.3</v>
      </c>
    </row>
    <row r="505" spans="1:10" x14ac:dyDescent="0.25">
      <c r="A505" s="16">
        <v>494</v>
      </c>
      <c r="B505" s="22">
        <v>42454</v>
      </c>
      <c r="C505" s="16" t="s">
        <v>21</v>
      </c>
      <c r="D505" t="s">
        <v>22</v>
      </c>
      <c r="E505" t="s">
        <v>23</v>
      </c>
      <c r="F505" t="s">
        <v>24</v>
      </c>
      <c r="G505" t="s">
        <v>15</v>
      </c>
      <c r="H505" s="5">
        <v>359</v>
      </c>
      <c r="I505" s="5">
        <v>244.12</v>
      </c>
      <c r="J505" s="2">
        <v>0.15</v>
      </c>
    </row>
    <row r="506" spans="1:10" x14ac:dyDescent="0.25">
      <c r="A506" s="16">
        <v>495</v>
      </c>
      <c r="B506" s="22">
        <v>42410</v>
      </c>
      <c r="C506" s="16" t="s">
        <v>41</v>
      </c>
      <c r="D506" t="s">
        <v>22</v>
      </c>
      <c r="E506" t="s">
        <v>18</v>
      </c>
      <c r="F506" t="s">
        <v>42</v>
      </c>
      <c r="G506" t="s">
        <v>43</v>
      </c>
      <c r="H506" s="5">
        <v>1149</v>
      </c>
      <c r="I506" s="5">
        <v>896.22</v>
      </c>
      <c r="J506" s="2">
        <v>0</v>
      </c>
    </row>
    <row r="507" spans="1:10" x14ac:dyDescent="0.25">
      <c r="A507" s="16">
        <v>496</v>
      </c>
      <c r="B507" s="22">
        <v>42388</v>
      </c>
      <c r="C507" s="16" t="s">
        <v>16</v>
      </c>
      <c r="D507" t="s">
        <v>22</v>
      </c>
      <c r="E507" t="s">
        <v>18</v>
      </c>
      <c r="F507" t="s">
        <v>19</v>
      </c>
      <c r="G507" t="s">
        <v>20</v>
      </c>
      <c r="H507" s="5">
        <v>1149</v>
      </c>
      <c r="I507" s="5">
        <v>792.81</v>
      </c>
      <c r="J507" s="2">
        <v>0.15</v>
      </c>
    </row>
    <row r="508" spans="1:10" x14ac:dyDescent="0.25">
      <c r="A508" s="16">
        <v>497</v>
      </c>
      <c r="B508" s="22">
        <v>42643</v>
      </c>
      <c r="C508" s="16" t="s">
        <v>61</v>
      </c>
      <c r="D508" t="s">
        <v>26</v>
      </c>
      <c r="E508" t="s">
        <v>45</v>
      </c>
      <c r="F508" t="s">
        <v>62</v>
      </c>
      <c r="G508" t="s">
        <v>15</v>
      </c>
      <c r="H508" s="5">
        <v>799</v>
      </c>
      <c r="I508" s="5">
        <v>679.15</v>
      </c>
      <c r="J508" s="2">
        <v>0.2</v>
      </c>
    </row>
    <row r="509" spans="1:10" x14ac:dyDescent="0.25">
      <c r="A509" s="16">
        <v>498</v>
      </c>
      <c r="B509" s="22">
        <v>42721</v>
      </c>
      <c r="C509" s="16" t="s">
        <v>31</v>
      </c>
      <c r="D509" t="s">
        <v>22</v>
      </c>
      <c r="E509" t="s">
        <v>18</v>
      </c>
      <c r="F509" t="s">
        <v>32</v>
      </c>
      <c r="G509" t="s">
        <v>33</v>
      </c>
      <c r="H509" s="5">
        <v>1199</v>
      </c>
      <c r="I509" s="5">
        <v>887.26</v>
      </c>
      <c r="J509" s="2">
        <v>0</v>
      </c>
    </row>
    <row r="510" spans="1:10" x14ac:dyDescent="0.25">
      <c r="A510" s="16">
        <v>499</v>
      </c>
      <c r="B510" s="22">
        <v>42634</v>
      </c>
      <c r="C510" s="16" t="s">
        <v>25</v>
      </c>
      <c r="D510" t="s">
        <v>26</v>
      </c>
      <c r="E510" t="s">
        <v>27</v>
      </c>
      <c r="F510" t="s">
        <v>28</v>
      </c>
      <c r="G510" t="s">
        <v>15</v>
      </c>
      <c r="H510" s="5">
        <v>1499</v>
      </c>
      <c r="I510" s="5">
        <v>794.47</v>
      </c>
      <c r="J510" s="2">
        <v>0</v>
      </c>
    </row>
    <row r="511" spans="1:10" x14ac:dyDescent="0.25">
      <c r="A511" s="16">
        <v>500</v>
      </c>
      <c r="B511" s="22">
        <v>42424</v>
      </c>
      <c r="C511" s="16" t="s">
        <v>41</v>
      </c>
      <c r="D511" t="s">
        <v>22</v>
      </c>
      <c r="E511" t="s">
        <v>18</v>
      </c>
      <c r="F511" t="s">
        <v>42</v>
      </c>
      <c r="G511" t="s">
        <v>43</v>
      </c>
      <c r="H511" s="5">
        <v>1149</v>
      </c>
      <c r="I511" s="5">
        <v>896.22</v>
      </c>
      <c r="J511" s="2">
        <v>0.15</v>
      </c>
    </row>
  </sheetData>
  <autoFilter ref="A11:J511" xr:uid="{C1897A17-4A96-4267-A820-B9C86D5A93FD}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C117-C3F5-4F21-B432-7D83D0658B92}">
  <dimension ref="A4:M510"/>
  <sheetViews>
    <sheetView showGridLines="0" topLeftCell="E3" workbookViewId="0">
      <selection activeCell="J12" sqref="J12"/>
    </sheetView>
  </sheetViews>
  <sheetFormatPr baseColWidth="10" defaultColWidth="9.140625" defaultRowHeight="15" x14ac:dyDescent="0.25"/>
  <cols>
    <col min="1" max="1" width="16.42578125" customWidth="1"/>
    <col min="2" max="2" width="10.7109375" bestFit="1" customWidth="1"/>
    <col min="3" max="3" width="16.42578125" customWidth="1"/>
    <col min="4" max="4" width="15.28515625" bestFit="1" customWidth="1"/>
    <col min="5" max="5" width="18.7109375" bestFit="1" customWidth="1"/>
    <col min="6" max="6" width="41.42578125" bestFit="1" customWidth="1"/>
    <col min="7" max="7" width="9.42578125" bestFit="1" customWidth="1"/>
    <col min="8" max="9" width="10.140625" bestFit="1" customWidth="1"/>
    <col min="10" max="10" width="12.5703125" customWidth="1"/>
  </cols>
  <sheetData>
    <row r="4" spans="1:13" x14ac:dyDescent="0.25">
      <c r="I4" s="3" t="s">
        <v>179</v>
      </c>
      <c r="J4" s="4">
        <v>0.16</v>
      </c>
    </row>
    <row r="10" spans="1:13" x14ac:dyDescent="0.25">
      <c r="A10" s="16" t="s">
        <v>0</v>
      </c>
      <c r="B10" s="18" t="s">
        <v>1</v>
      </c>
      <c r="C10" s="16" t="s">
        <v>2</v>
      </c>
      <c r="D10" s="19" t="s">
        <v>3</v>
      </c>
      <c r="E10" s="19" t="s">
        <v>4</v>
      </c>
      <c r="F10" s="19" t="s">
        <v>5</v>
      </c>
      <c r="G10" s="19" t="s">
        <v>6</v>
      </c>
      <c r="H10" s="20" t="s">
        <v>7</v>
      </c>
      <c r="I10" s="20" t="s">
        <v>8</v>
      </c>
      <c r="J10" s="21" t="s">
        <v>9</v>
      </c>
      <c r="K10" t="s">
        <v>179</v>
      </c>
      <c r="L10" t="s">
        <v>10</v>
      </c>
      <c r="M10" t="s">
        <v>549</v>
      </c>
    </row>
    <row r="11" spans="1:13" x14ac:dyDescent="0.25">
      <c r="A11" s="16">
        <v>1</v>
      </c>
      <c r="B11" s="18">
        <v>42546</v>
      </c>
      <c r="C11" s="16" t="s">
        <v>11</v>
      </c>
      <c r="D11" s="19" t="s">
        <v>12</v>
      </c>
      <c r="E11" s="19" t="s">
        <v>13</v>
      </c>
      <c r="F11" s="19" t="s">
        <v>14</v>
      </c>
      <c r="G11" s="19" t="s">
        <v>15</v>
      </c>
      <c r="H11" s="20">
        <v>1299</v>
      </c>
      <c r="I11" s="20">
        <v>727.44</v>
      </c>
      <c r="J11" s="21">
        <v>0.2</v>
      </c>
      <c r="K11" s="20">
        <f>Ventas[[#This Row],[Precio]]*$J$4</f>
        <v>207.84</v>
      </c>
      <c r="L11" s="20">
        <f>Ventas[[#This Row],[Precio]]-Ventas[[#This Row],[Costo]]-Ventas[[#This Row],[Desc $]]</f>
        <v>311.75999999999993</v>
      </c>
      <c r="M11" s="20">
        <f>Ventas[[#This Row],[Precio]]*Ventas[[#This Row],[Descuento]]</f>
        <v>259.8</v>
      </c>
    </row>
    <row r="12" spans="1:13" x14ac:dyDescent="0.25">
      <c r="A12" s="16">
        <v>2</v>
      </c>
      <c r="B12" s="18">
        <v>42675</v>
      </c>
      <c r="C12" s="16" t="s">
        <v>16</v>
      </c>
      <c r="D12" s="19" t="s">
        <v>17</v>
      </c>
      <c r="E12" s="19" t="s">
        <v>18</v>
      </c>
      <c r="F12" s="19" t="s">
        <v>19</v>
      </c>
      <c r="G12" s="19" t="s">
        <v>20</v>
      </c>
      <c r="H12" s="20">
        <v>1149</v>
      </c>
      <c r="I12" s="20">
        <v>792.81</v>
      </c>
      <c r="J12" s="21">
        <v>0</v>
      </c>
      <c r="K12" s="20">
        <f>Ventas[[#This Row],[Precio]]*$J$4</f>
        <v>183.84</v>
      </c>
      <c r="L12" s="20">
        <f>Ventas[[#This Row],[Precio]]-Ventas[[#This Row],[Costo]]-Ventas[[#This Row],[Desc $]]</f>
        <v>356.19000000000005</v>
      </c>
      <c r="M12" s="20">
        <f>Ventas[[#This Row],[Precio]]*Ventas[[#This Row],[Descuento]]</f>
        <v>0</v>
      </c>
    </row>
    <row r="13" spans="1:13" x14ac:dyDescent="0.25">
      <c r="A13" s="16">
        <v>3</v>
      </c>
      <c r="B13" s="18">
        <v>42601</v>
      </c>
      <c r="C13" s="16" t="s">
        <v>21</v>
      </c>
      <c r="D13" s="19" t="s">
        <v>22</v>
      </c>
      <c r="E13" s="19" t="s">
        <v>23</v>
      </c>
      <c r="F13" s="19" t="s">
        <v>24</v>
      </c>
      <c r="G13" s="19" t="s">
        <v>15</v>
      </c>
      <c r="H13" s="20">
        <v>359</v>
      </c>
      <c r="I13" s="20">
        <v>244.12</v>
      </c>
      <c r="J13" s="21">
        <v>0.15</v>
      </c>
      <c r="K13" s="20">
        <f>Ventas[[#This Row],[Precio]]*$J$4</f>
        <v>57.44</v>
      </c>
      <c r="L13" s="20">
        <f>Ventas[[#This Row],[Precio]]-Ventas[[#This Row],[Costo]]-Ventas[[#This Row],[Desc $]]</f>
        <v>61.029999999999994</v>
      </c>
      <c r="M13" s="20">
        <f>Ventas[[#This Row],[Precio]]*Ventas[[#This Row],[Descuento]]</f>
        <v>53.85</v>
      </c>
    </row>
    <row r="14" spans="1:13" x14ac:dyDescent="0.25">
      <c r="A14" s="16">
        <v>4</v>
      </c>
      <c r="B14" s="18">
        <v>42388</v>
      </c>
      <c r="C14" s="16" t="s">
        <v>25</v>
      </c>
      <c r="D14" s="19" t="s">
        <v>26</v>
      </c>
      <c r="E14" s="19" t="s">
        <v>27</v>
      </c>
      <c r="F14" s="19" t="s">
        <v>28</v>
      </c>
      <c r="G14" s="19" t="s">
        <v>15</v>
      </c>
      <c r="H14" s="20">
        <v>1499</v>
      </c>
      <c r="I14" s="20">
        <v>794.47</v>
      </c>
      <c r="J14" s="21">
        <v>0.15</v>
      </c>
      <c r="K14" s="20">
        <f>Ventas[[#This Row],[Precio]]*$J$4</f>
        <v>239.84</v>
      </c>
      <c r="L14" s="20">
        <f>Ventas[[#This Row],[Precio]]-Ventas[[#This Row],[Costo]]-Ventas[[#This Row],[Desc $]]</f>
        <v>479.67999999999995</v>
      </c>
      <c r="M14" s="20">
        <f>Ventas[[#This Row],[Precio]]*Ventas[[#This Row],[Descuento]]</f>
        <v>224.85</v>
      </c>
    </row>
    <row r="15" spans="1:13" x14ac:dyDescent="0.25">
      <c r="A15" s="16">
        <v>5</v>
      </c>
      <c r="B15" s="18">
        <v>42506</v>
      </c>
      <c r="C15" s="16" t="s">
        <v>16</v>
      </c>
      <c r="D15" s="19" t="s">
        <v>22</v>
      </c>
      <c r="E15" s="19" t="s">
        <v>18</v>
      </c>
      <c r="F15" s="19" t="s">
        <v>19</v>
      </c>
      <c r="G15" s="19" t="s">
        <v>20</v>
      </c>
      <c r="H15" s="20">
        <v>1149</v>
      </c>
      <c r="I15" s="20">
        <v>792.81</v>
      </c>
      <c r="J15" s="21">
        <v>0.3</v>
      </c>
      <c r="K15" s="20">
        <f>Ventas[[#This Row],[Precio]]*$J$4</f>
        <v>183.84</v>
      </c>
      <c r="L15" s="20">
        <f>Ventas[[#This Row],[Precio]]-Ventas[[#This Row],[Costo]]-Ventas[[#This Row],[Desc $]]</f>
        <v>11.490000000000066</v>
      </c>
      <c r="M15" s="20">
        <f>Ventas[[#This Row],[Precio]]*Ventas[[#This Row],[Descuento]]</f>
        <v>344.7</v>
      </c>
    </row>
    <row r="16" spans="1:13" x14ac:dyDescent="0.25">
      <c r="A16" s="16">
        <v>6</v>
      </c>
      <c r="B16" s="18">
        <v>42404</v>
      </c>
      <c r="C16" s="16" t="s">
        <v>29</v>
      </c>
      <c r="D16" s="19" t="s">
        <v>26</v>
      </c>
      <c r="E16" s="19" t="s">
        <v>27</v>
      </c>
      <c r="F16" s="19" t="s">
        <v>30</v>
      </c>
      <c r="G16" s="19" t="s">
        <v>15</v>
      </c>
      <c r="H16" s="20">
        <v>259</v>
      </c>
      <c r="I16" s="20">
        <v>220.15</v>
      </c>
      <c r="J16" s="21">
        <v>0.15</v>
      </c>
      <c r="K16" s="20">
        <f>Ventas[[#This Row],[Precio]]*$J$4</f>
        <v>41.44</v>
      </c>
      <c r="L16" s="20">
        <f>Ventas[[#This Row],[Precio]]-Ventas[[#This Row],[Costo]]-Ventas[[#This Row],[Desc $]]</f>
        <v>0</v>
      </c>
      <c r="M16" s="20">
        <f>Ventas[[#This Row],[Precio]]*Ventas[[#This Row],[Descuento]]</f>
        <v>38.85</v>
      </c>
    </row>
    <row r="17" spans="1:13" x14ac:dyDescent="0.25">
      <c r="A17" s="16">
        <v>7</v>
      </c>
      <c r="B17" s="18">
        <v>35520</v>
      </c>
      <c r="C17" s="16" t="s">
        <v>31</v>
      </c>
      <c r="D17" s="19" t="s">
        <v>22</v>
      </c>
      <c r="E17" s="19" t="s">
        <v>18</v>
      </c>
      <c r="F17" s="19" t="s">
        <v>32</v>
      </c>
      <c r="G17" s="19" t="s">
        <v>33</v>
      </c>
      <c r="H17" s="20">
        <v>1199</v>
      </c>
      <c r="I17" s="20">
        <v>887.26</v>
      </c>
      <c r="J17" s="21">
        <v>0</v>
      </c>
      <c r="K17" s="20">
        <f>Ventas[[#This Row],[Precio]]*$J$4</f>
        <v>191.84</v>
      </c>
      <c r="L17" s="20">
        <f>Ventas[[#This Row],[Precio]]-Ventas[[#This Row],[Costo]]-Ventas[[#This Row],[Desc $]]</f>
        <v>311.74</v>
      </c>
      <c r="M17" s="20">
        <f>Ventas[[#This Row],[Precio]]*Ventas[[#This Row],[Descuento]]</f>
        <v>0</v>
      </c>
    </row>
    <row r="18" spans="1:13" x14ac:dyDescent="0.25">
      <c r="A18" s="16">
        <v>8</v>
      </c>
      <c r="B18" s="18">
        <v>42424</v>
      </c>
      <c r="C18" s="16" t="s">
        <v>16</v>
      </c>
      <c r="D18" s="19" t="s">
        <v>22</v>
      </c>
      <c r="E18" s="19" t="s">
        <v>18</v>
      </c>
      <c r="F18" s="19" t="s">
        <v>19</v>
      </c>
      <c r="G18" s="19" t="s">
        <v>20</v>
      </c>
      <c r="H18" s="20">
        <v>1149</v>
      </c>
      <c r="I18" s="20">
        <v>792.81</v>
      </c>
      <c r="J18" s="21">
        <v>0.15</v>
      </c>
      <c r="K18" s="20">
        <f>Ventas[[#This Row],[Precio]]*$J$4</f>
        <v>183.84</v>
      </c>
      <c r="L18" s="20">
        <f>Ventas[[#This Row],[Precio]]-Ventas[[#This Row],[Costo]]-Ventas[[#This Row],[Desc $]]</f>
        <v>183.84000000000006</v>
      </c>
      <c r="M18" s="20">
        <f>Ventas[[#This Row],[Precio]]*Ventas[[#This Row],[Descuento]]</f>
        <v>172.35</v>
      </c>
    </row>
    <row r="19" spans="1:13" x14ac:dyDescent="0.25">
      <c r="A19" s="16">
        <v>9</v>
      </c>
      <c r="B19" s="18">
        <v>42512</v>
      </c>
      <c r="C19" s="16" t="s">
        <v>34</v>
      </c>
      <c r="D19" s="19" t="s">
        <v>12</v>
      </c>
      <c r="E19" s="19" t="s">
        <v>35</v>
      </c>
      <c r="F19" s="19" t="s">
        <v>36</v>
      </c>
      <c r="G19" s="19" t="s">
        <v>15</v>
      </c>
      <c r="H19" s="20">
        <v>7999</v>
      </c>
      <c r="I19" s="20">
        <v>3199.6000000000004</v>
      </c>
      <c r="J19" s="21">
        <v>0.15</v>
      </c>
      <c r="K19" s="20">
        <f>Ventas[[#This Row],[Precio]]*$J$4</f>
        <v>1279.8399999999999</v>
      </c>
      <c r="L19" s="20">
        <f>Ventas[[#This Row],[Precio]]-Ventas[[#This Row],[Costo]]-Ventas[[#This Row],[Desc $]]</f>
        <v>3599.5499999999997</v>
      </c>
      <c r="M19" s="20">
        <f>Ventas[[#This Row],[Precio]]*Ventas[[#This Row],[Descuento]]</f>
        <v>1199.8499999999999</v>
      </c>
    </row>
    <row r="20" spans="1:13" x14ac:dyDescent="0.25">
      <c r="A20" s="16">
        <v>10</v>
      </c>
      <c r="B20" s="18">
        <v>42573</v>
      </c>
      <c r="C20" s="16" t="s">
        <v>37</v>
      </c>
      <c r="D20" s="19" t="s">
        <v>26</v>
      </c>
      <c r="E20" s="19" t="s">
        <v>27</v>
      </c>
      <c r="F20" s="19" t="s">
        <v>38</v>
      </c>
      <c r="G20" s="19" t="s">
        <v>15</v>
      </c>
      <c r="H20" s="20">
        <v>229</v>
      </c>
      <c r="I20" s="20">
        <v>153.43</v>
      </c>
      <c r="J20" s="21">
        <v>0.15</v>
      </c>
      <c r="K20" s="20">
        <f>Ventas[[#This Row],[Precio]]*$J$4</f>
        <v>36.64</v>
      </c>
      <c r="L20" s="20">
        <f>Ventas[[#This Row],[Precio]]-Ventas[[#This Row],[Costo]]-Ventas[[#This Row],[Desc $]]</f>
        <v>41.219999999999992</v>
      </c>
      <c r="M20" s="20">
        <f>Ventas[[#This Row],[Precio]]*Ventas[[#This Row],[Descuento]]</f>
        <v>34.35</v>
      </c>
    </row>
    <row r="21" spans="1:13" x14ac:dyDescent="0.25">
      <c r="A21" s="16">
        <v>11</v>
      </c>
      <c r="B21" s="18">
        <v>42512</v>
      </c>
      <c r="C21" s="16" t="s">
        <v>39</v>
      </c>
      <c r="D21" s="19" t="s">
        <v>22</v>
      </c>
      <c r="E21" s="19" t="s">
        <v>23</v>
      </c>
      <c r="F21" s="19" t="s">
        <v>40</v>
      </c>
      <c r="G21" s="19" t="s">
        <v>15</v>
      </c>
      <c r="H21" s="20">
        <v>2499</v>
      </c>
      <c r="I21" s="20">
        <v>1349.46</v>
      </c>
      <c r="J21" s="21">
        <v>0.15</v>
      </c>
      <c r="K21" s="20">
        <f>Ventas[[#This Row],[Precio]]*$J$4</f>
        <v>399.84000000000003</v>
      </c>
      <c r="L21" s="20">
        <f>Ventas[[#This Row],[Precio]]-Ventas[[#This Row],[Costo]]-Ventas[[#This Row],[Desc $]]</f>
        <v>774.69</v>
      </c>
      <c r="M21" s="20">
        <f>Ventas[[#This Row],[Precio]]*Ventas[[#This Row],[Descuento]]</f>
        <v>374.84999999999997</v>
      </c>
    </row>
    <row r="22" spans="1:13" x14ac:dyDescent="0.25">
      <c r="A22" s="16">
        <v>12</v>
      </c>
      <c r="B22" s="18">
        <v>42643</v>
      </c>
      <c r="C22" s="16" t="s">
        <v>41</v>
      </c>
      <c r="D22" s="19" t="s">
        <v>22</v>
      </c>
      <c r="E22" s="19" t="s">
        <v>18</v>
      </c>
      <c r="F22" s="19" t="s">
        <v>42</v>
      </c>
      <c r="G22" s="19" t="s">
        <v>43</v>
      </c>
      <c r="H22" s="20">
        <v>1149</v>
      </c>
      <c r="I22" s="20">
        <v>896.22</v>
      </c>
      <c r="J22" s="21">
        <v>0.2</v>
      </c>
      <c r="K22" s="20">
        <f>Ventas[[#This Row],[Precio]]*$J$4</f>
        <v>183.84</v>
      </c>
      <c r="L22" s="20">
        <f>Ventas[[#This Row],[Precio]]-Ventas[[#This Row],[Costo]]-Ventas[[#This Row],[Desc $]]</f>
        <v>22.979999999999961</v>
      </c>
      <c r="M22" s="20">
        <f>Ventas[[#This Row],[Precio]]*Ventas[[#This Row],[Descuento]]</f>
        <v>229.8</v>
      </c>
    </row>
    <row r="23" spans="1:13" x14ac:dyDescent="0.25">
      <c r="A23" s="16">
        <v>13</v>
      </c>
      <c r="B23" s="18">
        <v>42661</v>
      </c>
      <c r="C23" s="16" t="s">
        <v>25</v>
      </c>
      <c r="D23" s="19" t="s">
        <v>26</v>
      </c>
      <c r="E23" s="19" t="s">
        <v>27</v>
      </c>
      <c r="F23" s="19" t="s">
        <v>28</v>
      </c>
      <c r="G23" s="19" t="s">
        <v>15</v>
      </c>
      <c r="H23" s="20">
        <v>1499</v>
      </c>
      <c r="I23" s="20">
        <v>794.47</v>
      </c>
      <c r="J23" s="21">
        <v>0</v>
      </c>
      <c r="K23" s="20">
        <f>Ventas[[#This Row],[Precio]]*$J$4</f>
        <v>239.84</v>
      </c>
      <c r="L23" s="20">
        <f>Ventas[[#This Row],[Precio]]-Ventas[[#This Row],[Costo]]-Ventas[[#This Row],[Desc $]]</f>
        <v>704.53</v>
      </c>
      <c r="M23" s="20">
        <f>Ventas[[#This Row],[Precio]]*Ventas[[#This Row],[Descuento]]</f>
        <v>0</v>
      </c>
    </row>
    <row r="24" spans="1:13" x14ac:dyDescent="0.25">
      <c r="A24" s="16">
        <v>14</v>
      </c>
      <c r="B24" s="18">
        <v>42573</v>
      </c>
      <c r="C24" s="16" t="s">
        <v>31</v>
      </c>
      <c r="D24" s="19" t="s">
        <v>17</v>
      </c>
      <c r="E24" s="19" t="s">
        <v>18</v>
      </c>
      <c r="F24" s="19" t="s">
        <v>32</v>
      </c>
      <c r="G24" s="19" t="s">
        <v>33</v>
      </c>
      <c r="H24" s="20">
        <v>1199</v>
      </c>
      <c r="I24" s="20">
        <v>887.26</v>
      </c>
      <c r="J24" s="21">
        <v>0.15</v>
      </c>
      <c r="K24" s="20">
        <f>Ventas[[#This Row],[Precio]]*$J$4</f>
        <v>191.84</v>
      </c>
      <c r="L24" s="20">
        <f>Ventas[[#This Row],[Precio]]-Ventas[[#This Row],[Costo]]-Ventas[[#This Row],[Desc $]]</f>
        <v>131.89000000000001</v>
      </c>
      <c r="M24" s="20">
        <f>Ventas[[#This Row],[Precio]]*Ventas[[#This Row],[Descuento]]</f>
        <v>179.85</v>
      </c>
    </row>
    <row r="25" spans="1:13" x14ac:dyDescent="0.25">
      <c r="A25" s="16">
        <v>15</v>
      </c>
      <c r="B25" s="18">
        <v>42388</v>
      </c>
      <c r="C25" s="16" t="s">
        <v>16</v>
      </c>
      <c r="D25" s="19" t="s">
        <v>22</v>
      </c>
      <c r="E25" s="19" t="s">
        <v>18</v>
      </c>
      <c r="F25" s="19" t="s">
        <v>19</v>
      </c>
      <c r="G25" s="19" t="s">
        <v>20</v>
      </c>
      <c r="H25" s="20">
        <v>1149</v>
      </c>
      <c r="I25" s="20">
        <v>792.81</v>
      </c>
      <c r="J25" s="21">
        <v>0.15</v>
      </c>
      <c r="K25" s="20">
        <f>Ventas[[#This Row],[Precio]]*$J$4</f>
        <v>183.84</v>
      </c>
      <c r="L25" s="20">
        <f>Ventas[[#This Row],[Precio]]-Ventas[[#This Row],[Costo]]-Ventas[[#This Row],[Desc $]]</f>
        <v>183.84000000000006</v>
      </c>
      <c r="M25" s="20">
        <f>Ventas[[#This Row],[Precio]]*Ventas[[#This Row],[Descuento]]</f>
        <v>172.35</v>
      </c>
    </row>
    <row r="26" spans="1:13" x14ac:dyDescent="0.25">
      <c r="A26" s="16">
        <v>16</v>
      </c>
      <c r="B26" s="18">
        <v>42434</v>
      </c>
      <c r="C26" s="16" t="s">
        <v>31</v>
      </c>
      <c r="D26" s="19" t="s">
        <v>22</v>
      </c>
      <c r="E26" s="19" t="s">
        <v>18</v>
      </c>
      <c r="F26" s="19" t="s">
        <v>32</v>
      </c>
      <c r="G26" s="19" t="s">
        <v>33</v>
      </c>
      <c r="H26" s="20">
        <v>1199</v>
      </c>
      <c r="I26" s="20">
        <v>887.26</v>
      </c>
      <c r="J26" s="21">
        <v>0</v>
      </c>
      <c r="K26" s="20">
        <f>Ventas[[#This Row],[Precio]]*$J$4</f>
        <v>191.84</v>
      </c>
      <c r="L26" s="20">
        <f>Ventas[[#This Row],[Precio]]-Ventas[[#This Row],[Costo]]-Ventas[[#This Row],[Desc $]]</f>
        <v>311.74</v>
      </c>
      <c r="M26" s="20">
        <f>Ventas[[#This Row],[Precio]]*Ventas[[#This Row],[Descuento]]</f>
        <v>0</v>
      </c>
    </row>
    <row r="27" spans="1:13" x14ac:dyDescent="0.25">
      <c r="A27" s="16">
        <v>17</v>
      </c>
      <c r="B27" s="18">
        <v>42560</v>
      </c>
      <c r="C27" s="16" t="s">
        <v>34</v>
      </c>
      <c r="D27" s="19" t="s">
        <v>12</v>
      </c>
      <c r="E27" s="19" t="s">
        <v>35</v>
      </c>
      <c r="F27" s="19" t="s">
        <v>36</v>
      </c>
      <c r="G27" s="19" t="s">
        <v>15</v>
      </c>
      <c r="H27" s="20">
        <v>7999</v>
      </c>
      <c r="I27" s="20">
        <v>3199.6000000000004</v>
      </c>
      <c r="J27" s="21">
        <v>0</v>
      </c>
      <c r="K27" s="20">
        <f>Ventas[[#This Row],[Precio]]*$J$4</f>
        <v>1279.8399999999999</v>
      </c>
      <c r="L27" s="20">
        <f>Ventas[[#This Row],[Precio]]-Ventas[[#This Row],[Costo]]-Ventas[[#This Row],[Desc $]]</f>
        <v>4799.3999999999996</v>
      </c>
      <c r="M27" s="20">
        <f>Ventas[[#This Row],[Precio]]*Ventas[[#This Row],[Descuento]]</f>
        <v>0</v>
      </c>
    </row>
    <row r="28" spans="1:13" x14ac:dyDescent="0.25">
      <c r="A28" s="16">
        <v>18</v>
      </c>
      <c r="B28" s="18">
        <v>42631</v>
      </c>
      <c r="C28" s="16" t="s">
        <v>29</v>
      </c>
      <c r="D28" s="19" t="s">
        <v>26</v>
      </c>
      <c r="E28" s="19" t="s">
        <v>27</v>
      </c>
      <c r="F28" s="19" t="s">
        <v>30</v>
      </c>
      <c r="G28" s="19" t="s">
        <v>15</v>
      </c>
      <c r="H28" s="20">
        <v>259</v>
      </c>
      <c r="I28" s="20">
        <v>220.15</v>
      </c>
      <c r="J28" s="21">
        <v>0.1</v>
      </c>
      <c r="K28" s="20">
        <f>Ventas[[#This Row],[Precio]]*$J$4</f>
        <v>41.44</v>
      </c>
      <c r="L28" s="20">
        <f>Ventas[[#This Row],[Precio]]-Ventas[[#This Row],[Costo]]-Ventas[[#This Row],[Desc $]]</f>
        <v>12.949999999999992</v>
      </c>
      <c r="M28" s="20">
        <f>Ventas[[#This Row],[Precio]]*Ventas[[#This Row],[Descuento]]</f>
        <v>25.900000000000002</v>
      </c>
    </row>
    <row r="29" spans="1:13" x14ac:dyDescent="0.25">
      <c r="A29" s="16">
        <v>19</v>
      </c>
      <c r="B29" s="18">
        <v>42438</v>
      </c>
      <c r="C29" s="16" t="s">
        <v>44</v>
      </c>
      <c r="D29" s="19" t="s">
        <v>26</v>
      </c>
      <c r="E29" s="19" t="s">
        <v>45</v>
      </c>
      <c r="F29" s="19" t="s">
        <v>46</v>
      </c>
      <c r="G29" s="19" t="s">
        <v>15</v>
      </c>
      <c r="H29" s="20">
        <v>699</v>
      </c>
      <c r="I29" s="20">
        <v>531.24</v>
      </c>
      <c r="J29" s="21">
        <v>0.15</v>
      </c>
      <c r="K29" s="20">
        <f>Ventas[[#This Row],[Precio]]*$J$4</f>
        <v>111.84</v>
      </c>
      <c r="L29" s="20">
        <f>Ventas[[#This Row],[Precio]]-Ventas[[#This Row],[Costo]]-Ventas[[#This Row],[Desc $]]</f>
        <v>62.91</v>
      </c>
      <c r="M29" s="20">
        <f>Ventas[[#This Row],[Precio]]*Ventas[[#This Row],[Descuento]]</f>
        <v>104.85</v>
      </c>
    </row>
    <row r="30" spans="1:13" x14ac:dyDescent="0.25">
      <c r="A30" s="16">
        <v>20</v>
      </c>
      <c r="B30" s="18">
        <v>42520</v>
      </c>
      <c r="C30" s="16" t="s">
        <v>47</v>
      </c>
      <c r="D30" s="19" t="s">
        <v>26</v>
      </c>
      <c r="E30" s="19" t="s">
        <v>27</v>
      </c>
      <c r="F30" s="19" t="s">
        <v>48</v>
      </c>
      <c r="G30" s="19" t="s">
        <v>15</v>
      </c>
      <c r="H30" s="20">
        <v>699</v>
      </c>
      <c r="I30" s="20">
        <v>482.30999999999995</v>
      </c>
      <c r="J30" s="21">
        <v>0.2</v>
      </c>
      <c r="K30" s="20">
        <f>Ventas[[#This Row],[Precio]]*$J$4</f>
        <v>111.84</v>
      </c>
      <c r="L30" s="20">
        <f>Ventas[[#This Row],[Precio]]-Ventas[[#This Row],[Costo]]-Ventas[[#This Row],[Desc $]]</f>
        <v>76.890000000000043</v>
      </c>
      <c r="M30" s="20">
        <f>Ventas[[#This Row],[Precio]]*Ventas[[#This Row],[Descuento]]</f>
        <v>139.80000000000001</v>
      </c>
    </row>
    <row r="31" spans="1:13" x14ac:dyDescent="0.25">
      <c r="A31" s="16">
        <v>21</v>
      </c>
      <c r="B31" s="18">
        <v>42506</v>
      </c>
      <c r="C31" s="16" t="s">
        <v>16</v>
      </c>
      <c r="D31" s="19" t="s">
        <v>22</v>
      </c>
      <c r="E31" s="19" t="s">
        <v>18</v>
      </c>
      <c r="F31" s="19" t="s">
        <v>19</v>
      </c>
      <c r="G31" s="19" t="s">
        <v>20</v>
      </c>
      <c r="H31" s="20">
        <v>1149</v>
      </c>
      <c r="I31" s="20">
        <v>792.81</v>
      </c>
      <c r="J31" s="21">
        <v>0.3</v>
      </c>
      <c r="K31" s="20">
        <f>Ventas[[#This Row],[Precio]]*$J$4</f>
        <v>183.84</v>
      </c>
      <c r="L31" s="20">
        <f>Ventas[[#This Row],[Precio]]-Ventas[[#This Row],[Costo]]-Ventas[[#This Row],[Desc $]]</f>
        <v>11.490000000000066</v>
      </c>
      <c r="M31" s="20">
        <f>Ventas[[#This Row],[Precio]]*Ventas[[#This Row],[Descuento]]</f>
        <v>344.7</v>
      </c>
    </row>
    <row r="32" spans="1:13" x14ac:dyDescent="0.25">
      <c r="A32" s="16">
        <v>22</v>
      </c>
      <c r="B32" s="18">
        <v>42506</v>
      </c>
      <c r="C32" s="16" t="s">
        <v>49</v>
      </c>
      <c r="D32" s="19" t="s">
        <v>26</v>
      </c>
      <c r="E32" s="19" t="s">
        <v>27</v>
      </c>
      <c r="F32" s="19" t="s">
        <v>50</v>
      </c>
      <c r="G32" s="19" t="s">
        <v>15</v>
      </c>
      <c r="H32" s="20">
        <v>259</v>
      </c>
      <c r="I32" s="20">
        <v>106.19</v>
      </c>
      <c r="J32" s="21">
        <v>0.3</v>
      </c>
      <c r="K32" s="20">
        <f>Ventas[[#This Row],[Precio]]*$J$4</f>
        <v>41.44</v>
      </c>
      <c r="L32" s="20">
        <f>Ventas[[#This Row],[Precio]]-Ventas[[#This Row],[Costo]]-Ventas[[#This Row],[Desc $]]</f>
        <v>75.11</v>
      </c>
      <c r="M32" s="20">
        <f>Ventas[[#This Row],[Precio]]*Ventas[[#This Row],[Descuento]]</f>
        <v>77.7</v>
      </c>
    </row>
    <row r="33" spans="1:13" x14ac:dyDescent="0.25">
      <c r="A33" s="16">
        <v>23</v>
      </c>
      <c r="B33" s="18">
        <v>42520</v>
      </c>
      <c r="C33" s="16" t="s">
        <v>41</v>
      </c>
      <c r="D33" s="19" t="s">
        <v>22</v>
      </c>
      <c r="E33" s="19" t="s">
        <v>18</v>
      </c>
      <c r="F33" s="19" t="s">
        <v>42</v>
      </c>
      <c r="G33" s="19" t="s">
        <v>43</v>
      </c>
      <c r="H33" s="20">
        <v>1149</v>
      </c>
      <c r="I33" s="20">
        <v>896.22</v>
      </c>
      <c r="J33" s="21">
        <v>0.2</v>
      </c>
      <c r="K33" s="20">
        <f>Ventas[[#This Row],[Precio]]*$J$4</f>
        <v>183.84</v>
      </c>
      <c r="L33" s="20">
        <f>Ventas[[#This Row],[Precio]]-Ventas[[#This Row],[Costo]]-Ventas[[#This Row],[Desc $]]</f>
        <v>22.979999999999961</v>
      </c>
      <c r="M33" s="20">
        <f>Ventas[[#This Row],[Precio]]*Ventas[[#This Row],[Descuento]]</f>
        <v>229.8</v>
      </c>
    </row>
    <row r="34" spans="1:13" x14ac:dyDescent="0.25">
      <c r="A34" s="16">
        <v>24</v>
      </c>
      <c r="B34" s="18">
        <v>42506</v>
      </c>
      <c r="C34" s="16" t="s">
        <v>31</v>
      </c>
      <c r="D34" s="19" t="s">
        <v>22</v>
      </c>
      <c r="E34" s="19" t="s">
        <v>18</v>
      </c>
      <c r="F34" s="19" t="s">
        <v>32</v>
      </c>
      <c r="G34" s="19" t="s">
        <v>33</v>
      </c>
      <c r="H34" s="20">
        <v>1199</v>
      </c>
      <c r="I34" s="20">
        <v>887.26</v>
      </c>
      <c r="J34" s="21">
        <v>0.3</v>
      </c>
      <c r="K34" s="20">
        <f>Ventas[[#This Row],[Precio]]*$J$4</f>
        <v>191.84</v>
      </c>
      <c r="L34" s="20">
        <f>Ventas[[#This Row],[Precio]]-Ventas[[#This Row],[Costo]]-Ventas[[#This Row],[Desc $]]</f>
        <v>-47.95999999999998</v>
      </c>
      <c r="M34" s="20">
        <f>Ventas[[#This Row],[Precio]]*Ventas[[#This Row],[Descuento]]</f>
        <v>359.7</v>
      </c>
    </row>
    <row r="35" spans="1:13" x14ac:dyDescent="0.25">
      <c r="A35" s="16">
        <v>25</v>
      </c>
      <c r="B35" s="18">
        <v>42512</v>
      </c>
      <c r="C35" s="16" t="s">
        <v>25</v>
      </c>
      <c r="D35" s="19" t="s">
        <v>26</v>
      </c>
      <c r="E35" s="19" t="s">
        <v>27</v>
      </c>
      <c r="F35" s="19" t="s">
        <v>28</v>
      </c>
      <c r="G35" s="19" t="s">
        <v>15</v>
      </c>
      <c r="H35" s="20">
        <v>1499</v>
      </c>
      <c r="I35" s="20">
        <v>794.47</v>
      </c>
      <c r="J35" s="21">
        <v>0.15</v>
      </c>
      <c r="K35" s="20">
        <f>Ventas[[#This Row],[Precio]]*$J$4</f>
        <v>239.84</v>
      </c>
      <c r="L35" s="20">
        <f>Ventas[[#This Row],[Precio]]-Ventas[[#This Row],[Costo]]-Ventas[[#This Row],[Desc $]]</f>
        <v>479.67999999999995</v>
      </c>
      <c r="M35" s="20">
        <f>Ventas[[#This Row],[Precio]]*Ventas[[#This Row],[Descuento]]</f>
        <v>224.85</v>
      </c>
    </row>
    <row r="36" spans="1:13" x14ac:dyDescent="0.25">
      <c r="A36" s="16">
        <v>26</v>
      </c>
      <c r="B36" s="18">
        <v>42798</v>
      </c>
      <c r="C36" s="16" t="s">
        <v>51</v>
      </c>
      <c r="D36" s="19" t="s">
        <v>22</v>
      </c>
      <c r="E36" s="19" t="s">
        <v>23</v>
      </c>
      <c r="F36" s="19" t="s">
        <v>52</v>
      </c>
      <c r="G36" s="19" t="s">
        <v>15</v>
      </c>
      <c r="H36" s="20">
        <v>599</v>
      </c>
      <c r="I36" s="20">
        <v>455.24</v>
      </c>
      <c r="J36" s="21">
        <v>0</v>
      </c>
      <c r="K36" s="20">
        <f>Ventas[[#This Row],[Precio]]*$J$4</f>
        <v>95.84</v>
      </c>
      <c r="L36" s="20">
        <f>Ventas[[#This Row],[Precio]]-Ventas[[#This Row],[Costo]]-Ventas[[#This Row],[Desc $]]</f>
        <v>143.76</v>
      </c>
      <c r="M36" s="20">
        <f>Ventas[[#This Row],[Precio]]*Ventas[[#This Row],[Descuento]]</f>
        <v>0</v>
      </c>
    </row>
    <row r="37" spans="1:13" x14ac:dyDescent="0.25">
      <c r="A37" s="16">
        <v>27</v>
      </c>
      <c r="B37" s="18">
        <v>42527</v>
      </c>
      <c r="C37" s="16" t="s">
        <v>53</v>
      </c>
      <c r="D37" s="19" t="s">
        <v>22</v>
      </c>
      <c r="E37" s="19" t="s">
        <v>18</v>
      </c>
      <c r="F37" s="19" t="s">
        <v>54</v>
      </c>
      <c r="G37" s="19" t="s">
        <v>33</v>
      </c>
      <c r="H37" s="20">
        <v>1299</v>
      </c>
      <c r="I37" s="20">
        <v>766.41</v>
      </c>
      <c r="J37" s="21">
        <v>0</v>
      </c>
      <c r="K37" s="20">
        <f>Ventas[[#This Row],[Precio]]*$J$4</f>
        <v>207.84</v>
      </c>
      <c r="L37" s="20">
        <f>Ventas[[#This Row],[Precio]]-Ventas[[#This Row],[Costo]]-Ventas[[#This Row],[Desc $]]</f>
        <v>532.59</v>
      </c>
      <c r="M37" s="20">
        <f>Ventas[[#This Row],[Precio]]*Ventas[[#This Row],[Descuento]]</f>
        <v>0</v>
      </c>
    </row>
    <row r="38" spans="1:13" x14ac:dyDescent="0.25">
      <c r="A38" s="16">
        <v>28</v>
      </c>
      <c r="B38" s="18">
        <v>42762</v>
      </c>
      <c r="C38" s="16" t="s">
        <v>41</v>
      </c>
      <c r="D38" s="19" t="s">
        <v>22</v>
      </c>
      <c r="E38" s="19" t="s">
        <v>18</v>
      </c>
      <c r="F38" s="19" t="s">
        <v>42</v>
      </c>
      <c r="G38" s="19" t="s">
        <v>43</v>
      </c>
      <c r="H38" s="20">
        <v>1149</v>
      </c>
      <c r="I38" s="20">
        <v>896.22</v>
      </c>
      <c r="J38" s="21">
        <v>0.15</v>
      </c>
      <c r="K38" s="20">
        <f>Ventas[[#This Row],[Precio]]*$J$4</f>
        <v>183.84</v>
      </c>
      <c r="L38" s="20">
        <f>Ventas[[#This Row],[Precio]]-Ventas[[#This Row],[Costo]]-Ventas[[#This Row],[Desc $]]</f>
        <v>80.429999999999978</v>
      </c>
      <c r="M38" s="20">
        <f>Ventas[[#This Row],[Precio]]*Ventas[[#This Row],[Descuento]]</f>
        <v>172.35</v>
      </c>
    </row>
    <row r="39" spans="1:13" x14ac:dyDescent="0.25">
      <c r="A39" s="16">
        <v>29</v>
      </c>
      <c r="B39" s="18">
        <v>42479</v>
      </c>
      <c r="C39" s="16" t="s">
        <v>21</v>
      </c>
      <c r="D39" s="19" t="s">
        <v>22</v>
      </c>
      <c r="E39" s="19" t="s">
        <v>23</v>
      </c>
      <c r="F39" s="19" t="s">
        <v>24</v>
      </c>
      <c r="G39" s="19" t="s">
        <v>15</v>
      </c>
      <c r="H39" s="20">
        <v>359</v>
      </c>
      <c r="I39" s="20">
        <v>244.12</v>
      </c>
      <c r="J39" s="21">
        <v>0.15</v>
      </c>
      <c r="K39" s="20">
        <f>Ventas[[#This Row],[Precio]]*$J$4</f>
        <v>57.44</v>
      </c>
      <c r="L39" s="20">
        <f>Ventas[[#This Row],[Precio]]-Ventas[[#This Row],[Costo]]-Ventas[[#This Row],[Desc $]]</f>
        <v>61.029999999999994</v>
      </c>
      <c r="M39" s="20">
        <f>Ventas[[#This Row],[Precio]]*Ventas[[#This Row],[Descuento]]</f>
        <v>53.85</v>
      </c>
    </row>
    <row r="40" spans="1:13" x14ac:dyDescent="0.25">
      <c r="A40" s="16">
        <v>30</v>
      </c>
      <c r="B40" s="18">
        <v>42672</v>
      </c>
      <c r="C40" s="16" t="s">
        <v>55</v>
      </c>
      <c r="D40" s="19" t="s">
        <v>26</v>
      </c>
      <c r="E40" s="19" t="s">
        <v>45</v>
      </c>
      <c r="F40" s="19" t="s">
        <v>56</v>
      </c>
      <c r="G40" s="19" t="s">
        <v>15</v>
      </c>
      <c r="H40" s="20">
        <v>499</v>
      </c>
      <c r="I40" s="20">
        <v>279.44000000000005</v>
      </c>
      <c r="J40" s="21">
        <v>0.15</v>
      </c>
      <c r="K40" s="20">
        <f>Ventas[[#This Row],[Precio]]*$J$4</f>
        <v>79.84</v>
      </c>
      <c r="L40" s="20">
        <f>Ventas[[#This Row],[Precio]]-Ventas[[#This Row],[Costo]]-Ventas[[#This Row],[Desc $]]</f>
        <v>144.70999999999995</v>
      </c>
      <c r="M40" s="20">
        <f>Ventas[[#This Row],[Precio]]*Ventas[[#This Row],[Descuento]]</f>
        <v>74.849999999999994</v>
      </c>
    </row>
    <row r="41" spans="1:13" x14ac:dyDescent="0.25">
      <c r="A41" s="16">
        <v>31</v>
      </c>
      <c r="B41" s="18">
        <v>42573</v>
      </c>
      <c r="C41" s="16" t="s">
        <v>57</v>
      </c>
      <c r="D41" s="19" t="s">
        <v>22</v>
      </c>
      <c r="E41" s="19" t="s">
        <v>18</v>
      </c>
      <c r="F41" s="19" t="s">
        <v>58</v>
      </c>
      <c r="G41" s="19" t="s">
        <v>33</v>
      </c>
      <c r="H41" s="20">
        <v>799</v>
      </c>
      <c r="I41" s="20">
        <v>631.21</v>
      </c>
      <c r="J41" s="21">
        <v>0.15</v>
      </c>
      <c r="K41" s="20">
        <f>Ventas[[#This Row],[Precio]]*$J$4</f>
        <v>127.84</v>
      </c>
      <c r="L41" s="20">
        <f>Ventas[[#This Row],[Precio]]-Ventas[[#This Row],[Costo]]-Ventas[[#This Row],[Desc $]]</f>
        <v>47.939999999999969</v>
      </c>
      <c r="M41" s="20">
        <f>Ventas[[#This Row],[Precio]]*Ventas[[#This Row],[Descuento]]</f>
        <v>119.85</v>
      </c>
    </row>
    <row r="42" spans="1:13" x14ac:dyDescent="0.25">
      <c r="A42" s="16">
        <v>32</v>
      </c>
      <c r="B42" s="18">
        <v>42506</v>
      </c>
      <c r="C42" s="16" t="s">
        <v>59</v>
      </c>
      <c r="D42" s="19" t="s">
        <v>12</v>
      </c>
      <c r="E42" s="19" t="s">
        <v>35</v>
      </c>
      <c r="F42" s="19" t="s">
        <v>60</v>
      </c>
      <c r="G42" s="19" t="s">
        <v>15</v>
      </c>
      <c r="H42" s="20">
        <v>8999</v>
      </c>
      <c r="I42" s="20">
        <v>4499.5</v>
      </c>
      <c r="J42" s="21">
        <v>0.3</v>
      </c>
      <c r="K42" s="20">
        <f>Ventas[[#This Row],[Precio]]*$J$4</f>
        <v>1439.84</v>
      </c>
      <c r="L42" s="20">
        <f>Ventas[[#This Row],[Precio]]-Ventas[[#This Row],[Costo]]-Ventas[[#This Row],[Desc $]]</f>
        <v>1799.8000000000002</v>
      </c>
      <c r="M42" s="20">
        <f>Ventas[[#This Row],[Precio]]*Ventas[[#This Row],[Descuento]]</f>
        <v>2699.7</v>
      </c>
    </row>
    <row r="43" spans="1:13" x14ac:dyDescent="0.25">
      <c r="A43" s="16">
        <v>33</v>
      </c>
      <c r="B43" s="18">
        <v>42506</v>
      </c>
      <c r="C43" s="16" t="s">
        <v>61</v>
      </c>
      <c r="D43" s="19" t="s">
        <v>26</v>
      </c>
      <c r="E43" s="19" t="s">
        <v>45</v>
      </c>
      <c r="F43" s="19" t="s">
        <v>62</v>
      </c>
      <c r="G43" s="19" t="s">
        <v>15</v>
      </c>
      <c r="H43" s="20">
        <v>799</v>
      </c>
      <c r="I43" s="20">
        <v>679.15</v>
      </c>
      <c r="J43" s="21">
        <v>0.3</v>
      </c>
      <c r="K43" s="20">
        <f>Ventas[[#This Row],[Precio]]*$J$4</f>
        <v>127.84</v>
      </c>
      <c r="L43" s="20">
        <f>Ventas[[#This Row],[Precio]]-Ventas[[#This Row],[Costo]]-Ventas[[#This Row],[Desc $]]</f>
        <v>-119.84999999999997</v>
      </c>
      <c r="M43" s="20">
        <f>Ventas[[#This Row],[Precio]]*Ventas[[#This Row],[Descuento]]</f>
        <v>239.7</v>
      </c>
    </row>
    <row r="44" spans="1:13" x14ac:dyDescent="0.25">
      <c r="A44" s="16">
        <v>34</v>
      </c>
      <c r="B44" s="18">
        <v>42495</v>
      </c>
      <c r="C44" s="16" t="s">
        <v>25</v>
      </c>
      <c r="D44" s="19" t="s">
        <v>26</v>
      </c>
      <c r="E44" s="19" t="s">
        <v>27</v>
      </c>
      <c r="F44" s="19" t="s">
        <v>28</v>
      </c>
      <c r="G44" s="19" t="s">
        <v>15</v>
      </c>
      <c r="H44" s="20">
        <v>1499</v>
      </c>
      <c r="I44" s="20">
        <v>794.47</v>
      </c>
      <c r="J44" s="21">
        <v>0</v>
      </c>
      <c r="K44" s="20">
        <f>Ventas[[#This Row],[Precio]]*$J$4</f>
        <v>239.84</v>
      </c>
      <c r="L44" s="20">
        <f>Ventas[[#This Row],[Precio]]-Ventas[[#This Row],[Costo]]-Ventas[[#This Row],[Desc $]]</f>
        <v>704.53</v>
      </c>
      <c r="M44" s="20">
        <f>Ventas[[#This Row],[Precio]]*Ventas[[#This Row],[Descuento]]</f>
        <v>0</v>
      </c>
    </row>
    <row r="45" spans="1:13" x14ac:dyDescent="0.25">
      <c r="A45" s="16">
        <v>35</v>
      </c>
      <c r="B45" s="18">
        <v>42818</v>
      </c>
      <c r="C45" s="16" t="s">
        <v>63</v>
      </c>
      <c r="D45" s="19" t="s">
        <v>12</v>
      </c>
      <c r="E45" s="19" t="s">
        <v>35</v>
      </c>
      <c r="F45" s="19" t="s">
        <v>64</v>
      </c>
      <c r="G45" s="19" t="s">
        <v>15</v>
      </c>
      <c r="H45" s="20">
        <v>13999</v>
      </c>
      <c r="I45" s="20">
        <v>9659.31</v>
      </c>
      <c r="J45" s="21">
        <v>0</v>
      </c>
      <c r="K45" s="20">
        <f>Ventas[[#This Row],[Precio]]*$J$4</f>
        <v>2239.84</v>
      </c>
      <c r="L45" s="20">
        <f>Ventas[[#This Row],[Precio]]-Ventas[[#This Row],[Costo]]-Ventas[[#This Row],[Desc $]]</f>
        <v>4339.6900000000005</v>
      </c>
      <c r="M45" s="20">
        <f>Ventas[[#This Row],[Precio]]*Ventas[[#This Row],[Descuento]]</f>
        <v>0</v>
      </c>
    </row>
    <row r="46" spans="1:13" x14ac:dyDescent="0.25">
      <c r="A46" s="16">
        <v>36</v>
      </c>
      <c r="B46" s="18">
        <v>42520</v>
      </c>
      <c r="C46" s="16" t="s">
        <v>41</v>
      </c>
      <c r="D46" s="19" t="s">
        <v>22</v>
      </c>
      <c r="E46" s="19" t="s">
        <v>18</v>
      </c>
      <c r="F46" s="19" t="s">
        <v>42</v>
      </c>
      <c r="G46" s="19" t="s">
        <v>43</v>
      </c>
      <c r="H46" s="20">
        <v>1149</v>
      </c>
      <c r="I46" s="20">
        <v>896.22</v>
      </c>
      <c r="J46" s="21">
        <v>0.2</v>
      </c>
      <c r="K46" s="20">
        <f>Ventas[[#This Row],[Precio]]*$J$4</f>
        <v>183.84</v>
      </c>
      <c r="L46" s="20">
        <f>Ventas[[#This Row],[Precio]]-Ventas[[#This Row],[Costo]]-Ventas[[#This Row],[Desc $]]</f>
        <v>22.979999999999961</v>
      </c>
      <c r="M46" s="20">
        <f>Ventas[[#This Row],[Precio]]*Ventas[[#This Row],[Descuento]]</f>
        <v>229.8</v>
      </c>
    </row>
    <row r="47" spans="1:13" x14ac:dyDescent="0.25">
      <c r="A47" s="16">
        <v>37</v>
      </c>
      <c r="B47" s="18">
        <v>42506</v>
      </c>
      <c r="C47" s="16" t="s">
        <v>65</v>
      </c>
      <c r="D47" s="19" t="s">
        <v>12</v>
      </c>
      <c r="E47" s="19" t="s">
        <v>13</v>
      </c>
      <c r="F47" s="19" t="s">
        <v>66</v>
      </c>
      <c r="G47" s="19" t="s">
        <v>15</v>
      </c>
      <c r="H47" s="20">
        <v>1499</v>
      </c>
      <c r="I47" s="20">
        <v>584.61</v>
      </c>
      <c r="J47" s="21">
        <v>0.3</v>
      </c>
      <c r="K47" s="20">
        <f>Ventas[[#This Row],[Precio]]*$J$4</f>
        <v>239.84</v>
      </c>
      <c r="L47" s="20">
        <f>Ventas[[#This Row],[Precio]]-Ventas[[#This Row],[Costo]]-Ventas[[#This Row],[Desc $]]</f>
        <v>464.69</v>
      </c>
      <c r="M47" s="20">
        <f>Ventas[[#This Row],[Precio]]*Ventas[[#This Row],[Descuento]]</f>
        <v>449.7</v>
      </c>
    </row>
    <row r="48" spans="1:13" x14ac:dyDescent="0.25">
      <c r="A48" s="16">
        <v>38</v>
      </c>
      <c r="B48" s="18">
        <v>42626</v>
      </c>
      <c r="C48" s="16" t="s">
        <v>16</v>
      </c>
      <c r="D48" s="19" t="s">
        <v>22</v>
      </c>
      <c r="E48" s="19" t="s">
        <v>18</v>
      </c>
      <c r="F48" s="19" t="s">
        <v>19</v>
      </c>
      <c r="G48" s="19" t="s">
        <v>20</v>
      </c>
      <c r="H48" s="20">
        <v>1149</v>
      </c>
      <c r="I48" s="20">
        <v>792.81</v>
      </c>
      <c r="J48" s="21">
        <v>0</v>
      </c>
      <c r="K48" s="20">
        <f>Ventas[[#This Row],[Precio]]*$J$4</f>
        <v>183.84</v>
      </c>
      <c r="L48" s="20">
        <f>Ventas[[#This Row],[Precio]]-Ventas[[#This Row],[Costo]]-Ventas[[#This Row],[Desc $]]</f>
        <v>356.19000000000005</v>
      </c>
      <c r="M48" s="20">
        <f>Ventas[[#This Row],[Precio]]*Ventas[[#This Row],[Descuento]]</f>
        <v>0</v>
      </c>
    </row>
    <row r="49" spans="1:13" x14ac:dyDescent="0.25">
      <c r="A49" s="16">
        <v>39</v>
      </c>
      <c r="B49" s="18">
        <v>42539</v>
      </c>
      <c r="C49" s="16" t="s">
        <v>11</v>
      </c>
      <c r="D49" s="19" t="s">
        <v>12</v>
      </c>
      <c r="E49" s="19" t="s">
        <v>13</v>
      </c>
      <c r="F49" s="19" t="s">
        <v>14</v>
      </c>
      <c r="G49" s="19" t="s">
        <v>15</v>
      </c>
      <c r="H49" s="20">
        <v>1299</v>
      </c>
      <c r="I49" s="20">
        <v>727.44</v>
      </c>
      <c r="J49" s="21">
        <v>0</v>
      </c>
      <c r="K49" s="20">
        <f>Ventas[[#This Row],[Precio]]*$J$4</f>
        <v>207.84</v>
      </c>
      <c r="L49" s="20">
        <f>Ventas[[#This Row],[Precio]]-Ventas[[#This Row],[Costo]]-Ventas[[#This Row],[Desc $]]</f>
        <v>571.55999999999995</v>
      </c>
      <c r="M49" s="20">
        <f>Ventas[[#This Row],[Precio]]*Ventas[[#This Row],[Descuento]]</f>
        <v>0</v>
      </c>
    </row>
    <row r="50" spans="1:13" x14ac:dyDescent="0.25">
      <c r="A50" s="16">
        <v>40</v>
      </c>
      <c r="B50" s="18">
        <v>42506</v>
      </c>
      <c r="C50" s="16" t="s">
        <v>67</v>
      </c>
      <c r="D50" s="19" t="s">
        <v>22</v>
      </c>
      <c r="E50" s="19" t="s">
        <v>18</v>
      </c>
      <c r="F50" s="19" t="s">
        <v>68</v>
      </c>
      <c r="G50" s="19" t="s">
        <v>69</v>
      </c>
      <c r="H50" s="20">
        <v>199</v>
      </c>
      <c r="I50" s="20">
        <v>81.589999999999989</v>
      </c>
      <c r="J50" s="21">
        <v>0.3</v>
      </c>
      <c r="K50" s="20">
        <f>Ventas[[#This Row],[Precio]]*$J$4</f>
        <v>31.84</v>
      </c>
      <c r="L50" s="20">
        <f>Ventas[[#This Row],[Precio]]-Ventas[[#This Row],[Costo]]-Ventas[[#This Row],[Desc $]]</f>
        <v>57.710000000000015</v>
      </c>
      <c r="M50" s="20">
        <f>Ventas[[#This Row],[Precio]]*Ventas[[#This Row],[Descuento]]</f>
        <v>59.699999999999996</v>
      </c>
    </row>
    <row r="51" spans="1:13" x14ac:dyDescent="0.25">
      <c r="A51" s="16">
        <v>41</v>
      </c>
      <c r="B51" s="18">
        <v>42454</v>
      </c>
      <c r="C51" s="16" t="s">
        <v>41</v>
      </c>
      <c r="D51" s="19" t="s">
        <v>22</v>
      </c>
      <c r="E51" s="19" t="s">
        <v>18</v>
      </c>
      <c r="F51" s="19" t="s">
        <v>42</v>
      </c>
      <c r="G51" s="19" t="s">
        <v>43</v>
      </c>
      <c r="H51" s="20">
        <v>1149</v>
      </c>
      <c r="I51" s="20">
        <v>896.22</v>
      </c>
      <c r="J51" s="21">
        <v>0.15</v>
      </c>
      <c r="K51" s="20">
        <f>Ventas[[#This Row],[Precio]]*$J$4</f>
        <v>183.84</v>
      </c>
      <c r="L51" s="20">
        <f>Ventas[[#This Row],[Precio]]-Ventas[[#This Row],[Costo]]-Ventas[[#This Row],[Desc $]]</f>
        <v>80.429999999999978</v>
      </c>
      <c r="M51" s="20">
        <f>Ventas[[#This Row],[Precio]]*Ventas[[#This Row],[Descuento]]</f>
        <v>172.35</v>
      </c>
    </row>
    <row r="52" spans="1:13" x14ac:dyDescent="0.25">
      <c r="A52" s="16">
        <v>42</v>
      </c>
      <c r="B52" s="18">
        <v>42438</v>
      </c>
      <c r="C52" s="16" t="s">
        <v>29</v>
      </c>
      <c r="D52" s="19" t="s">
        <v>26</v>
      </c>
      <c r="E52" s="19" t="s">
        <v>27</v>
      </c>
      <c r="F52" s="19" t="s">
        <v>30</v>
      </c>
      <c r="G52" s="19" t="s">
        <v>15</v>
      </c>
      <c r="H52" s="20">
        <v>259</v>
      </c>
      <c r="I52" s="20">
        <v>220.15</v>
      </c>
      <c r="J52" s="21">
        <v>0.15</v>
      </c>
      <c r="K52" s="20">
        <f>Ventas[[#This Row],[Precio]]*$J$4</f>
        <v>41.44</v>
      </c>
      <c r="L52" s="20">
        <f>Ventas[[#This Row],[Precio]]-Ventas[[#This Row],[Costo]]-Ventas[[#This Row],[Desc $]]</f>
        <v>0</v>
      </c>
      <c r="M52" s="20">
        <f>Ventas[[#This Row],[Precio]]*Ventas[[#This Row],[Descuento]]</f>
        <v>38.85</v>
      </c>
    </row>
    <row r="53" spans="1:13" x14ac:dyDescent="0.25">
      <c r="A53" s="16">
        <v>43</v>
      </c>
      <c r="B53" s="18">
        <v>42773</v>
      </c>
      <c r="C53" s="16" t="s">
        <v>70</v>
      </c>
      <c r="D53" s="19" t="s">
        <v>26</v>
      </c>
      <c r="E53" s="19" t="s">
        <v>45</v>
      </c>
      <c r="F53" s="19" t="s">
        <v>71</v>
      </c>
      <c r="G53" s="19" t="s">
        <v>15</v>
      </c>
      <c r="H53" s="20">
        <v>449</v>
      </c>
      <c r="I53" s="20">
        <v>161.63999999999999</v>
      </c>
      <c r="J53" s="21">
        <v>0</v>
      </c>
      <c r="K53" s="20">
        <f>Ventas[[#This Row],[Precio]]*$J$4</f>
        <v>71.84</v>
      </c>
      <c r="L53" s="20">
        <f>Ventas[[#This Row],[Precio]]-Ventas[[#This Row],[Costo]]-Ventas[[#This Row],[Desc $]]</f>
        <v>287.36</v>
      </c>
      <c r="M53" s="20">
        <f>Ventas[[#This Row],[Precio]]*Ventas[[#This Row],[Descuento]]</f>
        <v>0</v>
      </c>
    </row>
    <row r="54" spans="1:13" x14ac:dyDescent="0.25">
      <c r="A54" s="16">
        <v>44</v>
      </c>
      <c r="B54" s="18">
        <v>42541</v>
      </c>
      <c r="C54" s="16" t="s">
        <v>25</v>
      </c>
      <c r="D54" s="19" t="s">
        <v>26</v>
      </c>
      <c r="E54" s="19" t="s">
        <v>27</v>
      </c>
      <c r="F54" s="19" t="s">
        <v>28</v>
      </c>
      <c r="G54" s="19" t="s">
        <v>15</v>
      </c>
      <c r="H54" s="20">
        <v>1499</v>
      </c>
      <c r="I54" s="20">
        <v>794.47</v>
      </c>
      <c r="J54" s="21">
        <v>0</v>
      </c>
      <c r="K54" s="20">
        <f>Ventas[[#This Row],[Precio]]*$J$4</f>
        <v>239.84</v>
      </c>
      <c r="L54" s="20">
        <f>Ventas[[#This Row],[Precio]]-Ventas[[#This Row],[Costo]]-Ventas[[#This Row],[Desc $]]</f>
        <v>704.53</v>
      </c>
      <c r="M54" s="20">
        <f>Ventas[[#This Row],[Precio]]*Ventas[[#This Row],[Descuento]]</f>
        <v>0</v>
      </c>
    </row>
    <row r="55" spans="1:13" x14ac:dyDescent="0.25">
      <c r="A55" s="16">
        <v>45</v>
      </c>
      <c r="B55" s="18">
        <v>42388</v>
      </c>
      <c r="C55" s="16" t="s">
        <v>25</v>
      </c>
      <c r="D55" s="19" t="s">
        <v>26</v>
      </c>
      <c r="E55" s="19" t="s">
        <v>27</v>
      </c>
      <c r="F55" s="19" t="s">
        <v>28</v>
      </c>
      <c r="G55" s="19" t="s">
        <v>15</v>
      </c>
      <c r="H55" s="20">
        <v>1499</v>
      </c>
      <c r="I55" s="20">
        <v>794.47</v>
      </c>
      <c r="J55" s="21">
        <v>0.15</v>
      </c>
      <c r="K55" s="20">
        <f>Ventas[[#This Row],[Precio]]*$J$4</f>
        <v>239.84</v>
      </c>
      <c r="L55" s="20">
        <f>Ventas[[#This Row],[Precio]]-Ventas[[#This Row],[Costo]]-Ventas[[#This Row],[Desc $]]</f>
        <v>479.67999999999995</v>
      </c>
      <c r="M55" s="20">
        <f>Ventas[[#This Row],[Precio]]*Ventas[[#This Row],[Descuento]]</f>
        <v>224.85</v>
      </c>
    </row>
    <row r="56" spans="1:13" x14ac:dyDescent="0.25">
      <c r="A56" s="16">
        <v>46</v>
      </c>
      <c r="B56" s="18">
        <v>42601</v>
      </c>
      <c r="C56" s="16" t="s">
        <v>72</v>
      </c>
      <c r="D56" s="19" t="s">
        <v>22</v>
      </c>
      <c r="E56" s="19" t="s">
        <v>18</v>
      </c>
      <c r="F56" s="19" t="s">
        <v>73</v>
      </c>
      <c r="G56" s="19" t="s">
        <v>69</v>
      </c>
      <c r="H56" s="20">
        <v>799</v>
      </c>
      <c r="I56" s="20">
        <v>535.33000000000004</v>
      </c>
      <c r="J56" s="21">
        <v>0.15</v>
      </c>
      <c r="K56" s="20">
        <f>Ventas[[#This Row],[Precio]]*$J$4</f>
        <v>127.84</v>
      </c>
      <c r="L56" s="20">
        <f>Ventas[[#This Row],[Precio]]-Ventas[[#This Row],[Costo]]-Ventas[[#This Row],[Desc $]]</f>
        <v>143.81999999999996</v>
      </c>
      <c r="M56" s="20">
        <f>Ventas[[#This Row],[Precio]]*Ventas[[#This Row],[Descuento]]</f>
        <v>119.85</v>
      </c>
    </row>
    <row r="57" spans="1:13" x14ac:dyDescent="0.25">
      <c r="A57" s="16">
        <v>47</v>
      </c>
      <c r="B57" s="18">
        <v>42506</v>
      </c>
      <c r="C57" s="16" t="s">
        <v>21</v>
      </c>
      <c r="D57" s="19" t="s">
        <v>22</v>
      </c>
      <c r="E57" s="19" t="s">
        <v>23</v>
      </c>
      <c r="F57" s="19" t="s">
        <v>24</v>
      </c>
      <c r="G57" s="19" t="s">
        <v>15</v>
      </c>
      <c r="H57" s="20">
        <v>359</v>
      </c>
      <c r="I57" s="20">
        <v>244.12</v>
      </c>
      <c r="J57" s="21">
        <v>0.3</v>
      </c>
      <c r="K57" s="20">
        <f>Ventas[[#This Row],[Precio]]*$J$4</f>
        <v>57.44</v>
      </c>
      <c r="L57" s="20">
        <f>Ventas[[#This Row],[Precio]]-Ventas[[#This Row],[Costo]]-Ventas[[#This Row],[Desc $]]</f>
        <v>7.1799999999999926</v>
      </c>
      <c r="M57" s="20">
        <f>Ventas[[#This Row],[Precio]]*Ventas[[#This Row],[Descuento]]</f>
        <v>107.7</v>
      </c>
    </row>
    <row r="58" spans="1:13" x14ac:dyDescent="0.25">
      <c r="A58" s="16">
        <v>48</v>
      </c>
      <c r="B58" s="18">
        <v>42438</v>
      </c>
      <c r="C58" s="16" t="s">
        <v>72</v>
      </c>
      <c r="D58" s="19" t="s">
        <v>17</v>
      </c>
      <c r="E58" s="19" t="s">
        <v>18</v>
      </c>
      <c r="F58" s="19" t="s">
        <v>73</v>
      </c>
      <c r="G58" s="19" t="s">
        <v>69</v>
      </c>
      <c r="H58" s="20">
        <v>799</v>
      </c>
      <c r="I58" s="20">
        <v>535.33000000000004</v>
      </c>
      <c r="J58" s="21">
        <v>0.15</v>
      </c>
      <c r="K58" s="20">
        <f>Ventas[[#This Row],[Precio]]*$J$4</f>
        <v>127.84</v>
      </c>
      <c r="L58" s="20">
        <f>Ventas[[#This Row],[Precio]]-Ventas[[#This Row],[Costo]]-Ventas[[#This Row],[Desc $]]</f>
        <v>143.81999999999996</v>
      </c>
      <c r="M58" s="20">
        <f>Ventas[[#This Row],[Precio]]*Ventas[[#This Row],[Descuento]]</f>
        <v>119.85</v>
      </c>
    </row>
    <row r="59" spans="1:13" x14ac:dyDescent="0.25">
      <c r="A59" s="16">
        <v>49</v>
      </c>
      <c r="B59" s="18">
        <v>42560</v>
      </c>
      <c r="C59" s="16" t="s">
        <v>41</v>
      </c>
      <c r="D59" s="19" t="s">
        <v>22</v>
      </c>
      <c r="E59" s="19" t="s">
        <v>18</v>
      </c>
      <c r="F59" s="19" t="s">
        <v>42</v>
      </c>
      <c r="G59" s="19" t="s">
        <v>43</v>
      </c>
      <c r="H59" s="20">
        <v>1149</v>
      </c>
      <c r="I59" s="20">
        <v>896.22</v>
      </c>
      <c r="J59" s="21">
        <v>0</v>
      </c>
      <c r="K59" s="20">
        <f>Ventas[[#This Row],[Precio]]*$J$4</f>
        <v>183.84</v>
      </c>
      <c r="L59" s="20">
        <f>Ventas[[#This Row],[Precio]]-Ventas[[#This Row],[Costo]]-Ventas[[#This Row],[Desc $]]</f>
        <v>252.77999999999997</v>
      </c>
      <c r="M59" s="20">
        <f>Ventas[[#This Row],[Precio]]*Ventas[[#This Row],[Descuento]]</f>
        <v>0</v>
      </c>
    </row>
    <row r="60" spans="1:13" x14ac:dyDescent="0.25">
      <c r="A60" s="16">
        <v>50</v>
      </c>
      <c r="B60" s="18">
        <v>42520</v>
      </c>
      <c r="C60" s="16" t="s">
        <v>74</v>
      </c>
      <c r="D60" s="19" t="s">
        <v>12</v>
      </c>
      <c r="E60" s="19" t="s">
        <v>13</v>
      </c>
      <c r="F60" s="19" t="s">
        <v>75</v>
      </c>
      <c r="G60" s="19" t="s">
        <v>15</v>
      </c>
      <c r="H60" s="20">
        <v>2599</v>
      </c>
      <c r="I60" s="20">
        <v>1819.3</v>
      </c>
      <c r="J60" s="21">
        <v>0.2</v>
      </c>
      <c r="K60" s="20">
        <f>Ventas[[#This Row],[Precio]]*$J$4</f>
        <v>415.84000000000003</v>
      </c>
      <c r="L60" s="20">
        <f>Ventas[[#This Row],[Precio]]-Ventas[[#This Row],[Costo]]-Ventas[[#This Row],[Desc $]]</f>
        <v>259.89999999999998</v>
      </c>
      <c r="M60" s="20">
        <f>Ventas[[#This Row],[Precio]]*Ventas[[#This Row],[Descuento]]</f>
        <v>519.80000000000007</v>
      </c>
    </row>
    <row r="61" spans="1:13" x14ac:dyDescent="0.25">
      <c r="A61" s="16">
        <v>51</v>
      </c>
      <c r="B61" s="18">
        <v>42428</v>
      </c>
      <c r="C61" s="16" t="s">
        <v>41</v>
      </c>
      <c r="D61" s="19" t="s">
        <v>17</v>
      </c>
      <c r="E61" s="19" t="s">
        <v>18</v>
      </c>
      <c r="F61" s="19" t="s">
        <v>42</v>
      </c>
      <c r="G61" s="19" t="s">
        <v>43</v>
      </c>
      <c r="H61" s="20">
        <v>1149</v>
      </c>
      <c r="I61" s="20">
        <v>896.22</v>
      </c>
      <c r="J61" s="21">
        <v>0</v>
      </c>
      <c r="K61" s="20">
        <f>Ventas[[#This Row],[Precio]]*$J$4</f>
        <v>183.84</v>
      </c>
      <c r="L61" s="20">
        <f>Ventas[[#This Row],[Precio]]-Ventas[[#This Row],[Costo]]-Ventas[[#This Row],[Desc $]]</f>
        <v>252.77999999999997</v>
      </c>
      <c r="M61" s="20">
        <f>Ventas[[#This Row],[Precio]]*Ventas[[#This Row],[Descuento]]</f>
        <v>0</v>
      </c>
    </row>
    <row r="62" spans="1:13" x14ac:dyDescent="0.25">
      <c r="A62" s="16">
        <v>52</v>
      </c>
      <c r="B62" s="18">
        <v>42756</v>
      </c>
      <c r="C62" s="16" t="s">
        <v>74</v>
      </c>
      <c r="D62" s="19" t="s">
        <v>12</v>
      </c>
      <c r="E62" s="19" t="s">
        <v>13</v>
      </c>
      <c r="F62" s="19" t="s">
        <v>75</v>
      </c>
      <c r="G62" s="19" t="s">
        <v>15</v>
      </c>
      <c r="H62" s="20">
        <v>2599</v>
      </c>
      <c r="I62" s="20">
        <v>1819.3</v>
      </c>
      <c r="J62" s="21">
        <v>0</v>
      </c>
      <c r="K62" s="20">
        <f>Ventas[[#This Row],[Precio]]*$J$4</f>
        <v>415.84000000000003</v>
      </c>
      <c r="L62" s="20">
        <f>Ventas[[#This Row],[Precio]]-Ventas[[#This Row],[Costo]]-Ventas[[#This Row],[Desc $]]</f>
        <v>779.7</v>
      </c>
      <c r="M62" s="20">
        <f>Ventas[[#This Row],[Precio]]*Ventas[[#This Row],[Descuento]]</f>
        <v>0</v>
      </c>
    </row>
    <row r="63" spans="1:13" x14ac:dyDescent="0.25">
      <c r="A63" s="16">
        <v>53</v>
      </c>
      <c r="B63" s="18">
        <v>42736</v>
      </c>
      <c r="C63" s="16" t="s">
        <v>25</v>
      </c>
      <c r="D63" s="19" t="s">
        <v>26</v>
      </c>
      <c r="E63" s="19" t="s">
        <v>27</v>
      </c>
      <c r="F63" s="19" t="s">
        <v>28</v>
      </c>
      <c r="G63" s="19" t="s">
        <v>15</v>
      </c>
      <c r="H63" s="20">
        <v>1499</v>
      </c>
      <c r="I63" s="20">
        <v>794.47</v>
      </c>
      <c r="J63" s="21">
        <v>0.15</v>
      </c>
      <c r="K63" s="20">
        <f>Ventas[[#This Row],[Precio]]*$J$4</f>
        <v>239.84</v>
      </c>
      <c r="L63" s="20">
        <f>Ventas[[#This Row],[Precio]]-Ventas[[#This Row],[Costo]]-Ventas[[#This Row],[Desc $]]</f>
        <v>479.67999999999995</v>
      </c>
      <c r="M63" s="20">
        <f>Ventas[[#This Row],[Precio]]*Ventas[[#This Row],[Descuento]]</f>
        <v>224.85</v>
      </c>
    </row>
    <row r="64" spans="1:13" x14ac:dyDescent="0.25">
      <c r="A64" s="16">
        <v>54</v>
      </c>
      <c r="B64" s="18">
        <v>42438</v>
      </c>
      <c r="C64" s="16" t="s">
        <v>76</v>
      </c>
      <c r="D64" s="19" t="s">
        <v>22</v>
      </c>
      <c r="E64" s="19" t="s">
        <v>18</v>
      </c>
      <c r="F64" s="19" t="s">
        <v>77</v>
      </c>
      <c r="G64" s="19" t="s">
        <v>78</v>
      </c>
      <c r="H64" s="20">
        <v>799</v>
      </c>
      <c r="I64" s="20">
        <v>631.21</v>
      </c>
      <c r="J64" s="21">
        <v>0.15</v>
      </c>
      <c r="K64" s="20">
        <f>Ventas[[#This Row],[Precio]]*$J$4</f>
        <v>127.84</v>
      </c>
      <c r="L64" s="20">
        <f>Ventas[[#This Row],[Precio]]-Ventas[[#This Row],[Costo]]-Ventas[[#This Row],[Desc $]]</f>
        <v>47.939999999999969</v>
      </c>
      <c r="M64" s="20">
        <f>Ventas[[#This Row],[Precio]]*Ventas[[#This Row],[Descuento]]</f>
        <v>119.85</v>
      </c>
    </row>
    <row r="65" spans="1:13" x14ac:dyDescent="0.25">
      <c r="A65" s="16">
        <v>55</v>
      </c>
      <c r="B65" s="18">
        <v>42402</v>
      </c>
      <c r="C65" s="16" t="s">
        <v>79</v>
      </c>
      <c r="D65" s="19" t="s">
        <v>26</v>
      </c>
      <c r="E65" s="19" t="s">
        <v>27</v>
      </c>
      <c r="F65" s="19" t="s">
        <v>80</v>
      </c>
      <c r="G65" s="19" t="s">
        <v>15</v>
      </c>
      <c r="H65" s="20">
        <v>499</v>
      </c>
      <c r="I65" s="20">
        <v>174.64999999999998</v>
      </c>
      <c r="J65" s="21">
        <v>0.2</v>
      </c>
      <c r="K65" s="20">
        <f>Ventas[[#This Row],[Precio]]*$J$4</f>
        <v>79.84</v>
      </c>
      <c r="L65" s="20">
        <f>Ventas[[#This Row],[Precio]]-Ventas[[#This Row],[Costo]]-Ventas[[#This Row],[Desc $]]</f>
        <v>224.55</v>
      </c>
      <c r="M65" s="20">
        <f>Ventas[[#This Row],[Precio]]*Ventas[[#This Row],[Descuento]]</f>
        <v>99.800000000000011</v>
      </c>
    </row>
    <row r="66" spans="1:13" x14ac:dyDescent="0.25">
      <c r="A66" s="16">
        <v>56</v>
      </c>
      <c r="B66" s="18">
        <v>42479</v>
      </c>
      <c r="C66" s="16" t="s">
        <v>41</v>
      </c>
      <c r="D66" s="19" t="s">
        <v>22</v>
      </c>
      <c r="E66" s="19" t="s">
        <v>18</v>
      </c>
      <c r="F66" s="19" t="s">
        <v>42</v>
      </c>
      <c r="G66" s="19" t="s">
        <v>43</v>
      </c>
      <c r="H66" s="20">
        <v>1149</v>
      </c>
      <c r="I66" s="20">
        <v>896.22</v>
      </c>
      <c r="J66" s="21">
        <v>0.15</v>
      </c>
      <c r="K66" s="20">
        <f>Ventas[[#This Row],[Precio]]*$J$4</f>
        <v>183.84</v>
      </c>
      <c r="L66" s="20">
        <f>Ventas[[#This Row],[Precio]]-Ventas[[#This Row],[Costo]]-Ventas[[#This Row],[Desc $]]</f>
        <v>80.429999999999978</v>
      </c>
      <c r="M66" s="20">
        <f>Ventas[[#This Row],[Precio]]*Ventas[[#This Row],[Descuento]]</f>
        <v>172.35</v>
      </c>
    </row>
    <row r="67" spans="1:13" x14ac:dyDescent="0.25">
      <c r="A67" s="16">
        <v>57</v>
      </c>
      <c r="B67" s="18">
        <v>42536</v>
      </c>
      <c r="C67" s="16" t="s">
        <v>29</v>
      </c>
      <c r="D67" s="19" t="s">
        <v>26</v>
      </c>
      <c r="E67" s="19" t="s">
        <v>27</v>
      </c>
      <c r="F67" s="19" t="s">
        <v>30</v>
      </c>
      <c r="G67" s="19" t="s">
        <v>15</v>
      </c>
      <c r="H67" s="20">
        <v>259</v>
      </c>
      <c r="I67" s="20">
        <v>220.15</v>
      </c>
      <c r="J67" s="21">
        <v>0</v>
      </c>
      <c r="K67" s="20">
        <f>Ventas[[#This Row],[Precio]]*$J$4</f>
        <v>41.44</v>
      </c>
      <c r="L67" s="20">
        <f>Ventas[[#This Row],[Precio]]-Ventas[[#This Row],[Costo]]-Ventas[[#This Row],[Desc $]]</f>
        <v>38.849999999999994</v>
      </c>
      <c r="M67" s="20">
        <f>Ventas[[#This Row],[Precio]]*Ventas[[#This Row],[Descuento]]</f>
        <v>0</v>
      </c>
    </row>
    <row r="68" spans="1:13" x14ac:dyDescent="0.25">
      <c r="A68" s="16">
        <v>58</v>
      </c>
      <c r="B68" s="18">
        <v>42545</v>
      </c>
      <c r="C68" s="16" t="s">
        <v>11</v>
      </c>
      <c r="D68" s="19" t="s">
        <v>12</v>
      </c>
      <c r="E68" s="19" t="s">
        <v>13</v>
      </c>
      <c r="F68" s="19" t="s">
        <v>14</v>
      </c>
      <c r="G68" s="19" t="s">
        <v>15</v>
      </c>
      <c r="H68" s="20">
        <v>1299</v>
      </c>
      <c r="I68" s="20">
        <v>727.44</v>
      </c>
      <c r="J68" s="21">
        <v>0</v>
      </c>
      <c r="K68" s="20">
        <f>Ventas[[#This Row],[Precio]]*$J$4</f>
        <v>207.84</v>
      </c>
      <c r="L68" s="20">
        <f>Ventas[[#This Row],[Precio]]-Ventas[[#This Row],[Costo]]-Ventas[[#This Row],[Desc $]]</f>
        <v>571.55999999999995</v>
      </c>
      <c r="M68" s="20">
        <f>Ventas[[#This Row],[Precio]]*Ventas[[#This Row],[Descuento]]</f>
        <v>0</v>
      </c>
    </row>
    <row r="69" spans="1:13" x14ac:dyDescent="0.25">
      <c r="A69" s="16">
        <v>59</v>
      </c>
      <c r="B69" s="18">
        <v>42424</v>
      </c>
      <c r="C69" s="16" t="s">
        <v>81</v>
      </c>
      <c r="D69" s="19" t="s">
        <v>22</v>
      </c>
      <c r="E69" s="19" t="s">
        <v>18</v>
      </c>
      <c r="F69" s="19" t="s">
        <v>82</v>
      </c>
      <c r="G69" s="19" t="s">
        <v>78</v>
      </c>
      <c r="H69" s="20">
        <v>1299</v>
      </c>
      <c r="I69" s="20">
        <v>909.3</v>
      </c>
      <c r="J69" s="21">
        <v>0.15</v>
      </c>
      <c r="K69" s="20">
        <f>Ventas[[#This Row],[Precio]]*$J$4</f>
        <v>207.84</v>
      </c>
      <c r="L69" s="20">
        <f>Ventas[[#This Row],[Precio]]-Ventas[[#This Row],[Costo]]-Ventas[[#This Row],[Desc $]]</f>
        <v>194.85000000000005</v>
      </c>
      <c r="M69" s="20">
        <f>Ventas[[#This Row],[Precio]]*Ventas[[#This Row],[Descuento]]</f>
        <v>194.85</v>
      </c>
    </row>
    <row r="70" spans="1:13" x14ac:dyDescent="0.25">
      <c r="A70" s="16">
        <v>60</v>
      </c>
      <c r="B70" s="18">
        <v>42455</v>
      </c>
      <c r="C70" s="16" t="s">
        <v>41</v>
      </c>
      <c r="D70" s="19" t="s">
        <v>22</v>
      </c>
      <c r="E70" s="19" t="s">
        <v>18</v>
      </c>
      <c r="F70" s="19" t="s">
        <v>42</v>
      </c>
      <c r="G70" s="19" t="s">
        <v>43</v>
      </c>
      <c r="H70" s="20">
        <v>1149</v>
      </c>
      <c r="I70" s="20">
        <v>896.22</v>
      </c>
      <c r="J70" s="21">
        <v>0.2</v>
      </c>
      <c r="K70" s="20">
        <f>Ventas[[#This Row],[Precio]]*$J$4</f>
        <v>183.84</v>
      </c>
      <c r="L70" s="20">
        <f>Ventas[[#This Row],[Precio]]-Ventas[[#This Row],[Costo]]-Ventas[[#This Row],[Desc $]]</f>
        <v>22.979999999999961</v>
      </c>
      <c r="M70" s="20">
        <f>Ventas[[#This Row],[Precio]]*Ventas[[#This Row],[Descuento]]</f>
        <v>229.8</v>
      </c>
    </row>
    <row r="71" spans="1:13" x14ac:dyDescent="0.25">
      <c r="A71" s="16">
        <v>61</v>
      </c>
      <c r="B71" s="18">
        <v>42626</v>
      </c>
      <c r="C71" s="16" t="s">
        <v>31</v>
      </c>
      <c r="D71" s="19" t="s">
        <v>22</v>
      </c>
      <c r="E71" s="19" t="s">
        <v>18</v>
      </c>
      <c r="F71" s="19" t="s">
        <v>32</v>
      </c>
      <c r="G71" s="19" t="s">
        <v>33</v>
      </c>
      <c r="H71" s="20">
        <v>1199</v>
      </c>
      <c r="I71" s="20">
        <v>887.26</v>
      </c>
      <c r="J71" s="21">
        <v>0</v>
      </c>
      <c r="K71" s="20">
        <f>Ventas[[#This Row],[Precio]]*$J$4</f>
        <v>191.84</v>
      </c>
      <c r="L71" s="20">
        <f>Ventas[[#This Row],[Precio]]-Ventas[[#This Row],[Costo]]-Ventas[[#This Row],[Desc $]]</f>
        <v>311.74</v>
      </c>
      <c r="M71" s="20">
        <f>Ventas[[#This Row],[Precio]]*Ventas[[#This Row],[Descuento]]</f>
        <v>0</v>
      </c>
    </row>
    <row r="72" spans="1:13" x14ac:dyDescent="0.25">
      <c r="A72" s="16">
        <v>62</v>
      </c>
      <c r="B72" s="18">
        <v>42479</v>
      </c>
      <c r="C72" s="16" t="s">
        <v>31</v>
      </c>
      <c r="D72" s="19" t="s">
        <v>22</v>
      </c>
      <c r="E72" s="19" t="s">
        <v>18</v>
      </c>
      <c r="F72" s="19" t="s">
        <v>32</v>
      </c>
      <c r="G72" s="19" t="s">
        <v>33</v>
      </c>
      <c r="H72" s="20">
        <v>1199</v>
      </c>
      <c r="I72" s="20">
        <v>887.26</v>
      </c>
      <c r="J72" s="21">
        <v>0.15</v>
      </c>
      <c r="K72" s="20">
        <f>Ventas[[#This Row],[Precio]]*$J$4</f>
        <v>191.84</v>
      </c>
      <c r="L72" s="20">
        <f>Ventas[[#This Row],[Precio]]-Ventas[[#This Row],[Costo]]-Ventas[[#This Row],[Desc $]]</f>
        <v>131.89000000000001</v>
      </c>
      <c r="M72" s="20">
        <f>Ventas[[#This Row],[Precio]]*Ventas[[#This Row],[Descuento]]</f>
        <v>179.85</v>
      </c>
    </row>
    <row r="73" spans="1:13" x14ac:dyDescent="0.25">
      <c r="A73" s="16">
        <v>63</v>
      </c>
      <c r="B73" s="18">
        <v>42519</v>
      </c>
      <c r="C73" s="16" t="s">
        <v>41</v>
      </c>
      <c r="D73" s="19" t="s">
        <v>22</v>
      </c>
      <c r="E73" s="19" t="s">
        <v>18</v>
      </c>
      <c r="F73" s="19" t="s">
        <v>42</v>
      </c>
      <c r="G73" s="19" t="s">
        <v>43</v>
      </c>
      <c r="H73" s="20">
        <v>1149</v>
      </c>
      <c r="I73" s="20">
        <v>896.22</v>
      </c>
      <c r="J73" s="21">
        <v>0</v>
      </c>
      <c r="K73" s="20">
        <f>Ventas[[#This Row],[Precio]]*$J$4</f>
        <v>183.84</v>
      </c>
      <c r="L73" s="20">
        <f>Ventas[[#This Row],[Precio]]-Ventas[[#This Row],[Costo]]-Ventas[[#This Row],[Desc $]]</f>
        <v>252.77999999999997</v>
      </c>
      <c r="M73" s="20">
        <f>Ventas[[#This Row],[Precio]]*Ventas[[#This Row],[Descuento]]</f>
        <v>0</v>
      </c>
    </row>
    <row r="74" spans="1:13" x14ac:dyDescent="0.25">
      <c r="A74" s="16">
        <v>64</v>
      </c>
      <c r="B74" s="18">
        <v>42672</v>
      </c>
      <c r="C74" s="16" t="s">
        <v>41</v>
      </c>
      <c r="D74" s="19" t="s">
        <v>22</v>
      </c>
      <c r="E74" s="19" t="s">
        <v>18</v>
      </c>
      <c r="F74" s="19" t="s">
        <v>42</v>
      </c>
      <c r="G74" s="19" t="s">
        <v>43</v>
      </c>
      <c r="H74" s="20">
        <v>1149</v>
      </c>
      <c r="I74" s="20">
        <v>896.22</v>
      </c>
      <c r="J74" s="21">
        <v>0.15</v>
      </c>
      <c r="K74" s="20">
        <f>Ventas[[#This Row],[Precio]]*$J$4</f>
        <v>183.84</v>
      </c>
      <c r="L74" s="20">
        <f>Ventas[[#This Row],[Precio]]-Ventas[[#This Row],[Costo]]-Ventas[[#This Row],[Desc $]]</f>
        <v>80.429999999999978</v>
      </c>
      <c r="M74" s="20">
        <f>Ventas[[#This Row],[Precio]]*Ventas[[#This Row],[Descuento]]</f>
        <v>172.35</v>
      </c>
    </row>
    <row r="75" spans="1:13" x14ac:dyDescent="0.25">
      <c r="A75" s="16">
        <v>65</v>
      </c>
      <c r="B75" s="18">
        <v>42643</v>
      </c>
      <c r="C75" s="16" t="s">
        <v>61</v>
      </c>
      <c r="D75" s="19" t="s">
        <v>26</v>
      </c>
      <c r="E75" s="19" t="s">
        <v>45</v>
      </c>
      <c r="F75" s="19" t="s">
        <v>62</v>
      </c>
      <c r="G75" s="19" t="s">
        <v>15</v>
      </c>
      <c r="H75" s="20">
        <v>799</v>
      </c>
      <c r="I75" s="20">
        <v>679.15</v>
      </c>
      <c r="J75" s="21">
        <v>0.2</v>
      </c>
      <c r="K75" s="20">
        <f>Ventas[[#This Row],[Precio]]*$J$4</f>
        <v>127.84</v>
      </c>
      <c r="L75" s="20">
        <f>Ventas[[#This Row],[Precio]]-Ventas[[#This Row],[Costo]]-Ventas[[#This Row],[Desc $]]</f>
        <v>-39.949999999999989</v>
      </c>
      <c r="M75" s="20">
        <f>Ventas[[#This Row],[Precio]]*Ventas[[#This Row],[Descuento]]</f>
        <v>159.80000000000001</v>
      </c>
    </row>
    <row r="76" spans="1:13" x14ac:dyDescent="0.25">
      <c r="A76" s="16">
        <v>66</v>
      </c>
      <c r="B76" s="18">
        <v>42546</v>
      </c>
      <c r="C76" s="16" t="s">
        <v>83</v>
      </c>
      <c r="D76" s="19" t="s">
        <v>26</v>
      </c>
      <c r="E76" s="19" t="s">
        <v>45</v>
      </c>
      <c r="F76" s="19" t="s">
        <v>84</v>
      </c>
      <c r="G76" s="19" t="s">
        <v>15</v>
      </c>
      <c r="H76" s="20">
        <v>999</v>
      </c>
      <c r="I76" s="20">
        <v>509.49</v>
      </c>
      <c r="J76" s="21">
        <v>0.2</v>
      </c>
      <c r="K76" s="20">
        <f>Ventas[[#This Row],[Precio]]*$J$4</f>
        <v>159.84</v>
      </c>
      <c r="L76" s="20">
        <f>Ventas[[#This Row],[Precio]]-Ventas[[#This Row],[Costo]]-Ventas[[#This Row],[Desc $]]</f>
        <v>289.70999999999998</v>
      </c>
      <c r="M76" s="20">
        <f>Ventas[[#This Row],[Precio]]*Ventas[[#This Row],[Descuento]]</f>
        <v>199.8</v>
      </c>
    </row>
    <row r="77" spans="1:13" x14ac:dyDescent="0.25">
      <c r="A77" s="16">
        <v>67</v>
      </c>
      <c r="B77" s="18">
        <v>42400</v>
      </c>
      <c r="C77" s="16" t="s">
        <v>63</v>
      </c>
      <c r="D77" s="19" t="s">
        <v>12</v>
      </c>
      <c r="E77" s="19" t="s">
        <v>35</v>
      </c>
      <c r="F77" s="19" t="s">
        <v>64</v>
      </c>
      <c r="G77" s="19" t="s">
        <v>15</v>
      </c>
      <c r="H77" s="20">
        <v>13999</v>
      </c>
      <c r="I77" s="20">
        <v>9659.31</v>
      </c>
      <c r="J77" s="21">
        <v>0</v>
      </c>
      <c r="K77" s="20">
        <f>Ventas[[#This Row],[Precio]]*$J$4</f>
        <v>2239.84</v>
      </c>
      <c r="L77" s="20">
        <f>Ventas[[#This Row],[Precio]]-Ventas[[#This Row],[Costo]]-Ventas[[#This Row],[Desc $]]</f>
        <v>4339.6900000000005</v>
      </c>
      <c r="M77" s="20">
        <f>Ventas[[#This Row],[Precio]]*Ventas[[#This Row],[Descuento]]</f>
        <v>0</v>
      </c>
    </row>
    <row r="78" spans="1:13" x14ac:dyDescent="0.25">
      <c r="A78" s="16">
        <v>68</v>
      </c>
      <c r="B78" s="18">
        <v>42631</v>
      </c>
      <c r="C78" s="16" t="s">
        <v>85</v>
      </c>
      <c r="D78" s="19" t="s">
        <v>22</v>
      </c>
      <c r="E78" s="19" t="s">
        <v>86</v>
      </c>
      <c r="F78" s="19" t="s">
        <v>87</v>
      </c>
      <c r="G78" s="19" t="s">
        <v>15</v>
      </c>
      <c r="H78" s="20">
        <v>3999</v>
      </c>
      <c r="I78" s="20">
        <v>1399.6499999999999</v>
      </c>
      <c r="J78" s="21">
        <v>0.1</v>
      </c>
      <c r="K78" s="20">
        <f>Ventas[[#This Row],[Precio]]*$J$4</f>
        <v>639.84</v>
      </c>
      <c r="L78" s="20">
        <f>Ventas[[#This Row],[Precio]]-Ventas[[#This Row],[Costo]]-Ventas[[#This Row],[Desc $]]</f>
        <v>2199.4500000000003</v>
      </c>
      <c r="M78" s="20">
        <f>Ventas[[#This Row],[Precio]]*Ventas[[#This Row],[Descuento]]</f>
        <v>399.90000000000003</v>
      </c>
    </row>
    <row r="79" spans="1:13" x14ac:dyDescent="0.25">
      <c r="A79" s="16">
        <v>69</v>
      </c>
      <c r="B79" s="18">
        <v>42506</v>
      </c>
      <c r="C79" s="16" t="s">
        <v>44</v>
      </c>
      <c r="D79" s="19" t="s">
        <v>26</v>
      </c>
      <c r="E79" s="19" t="s">
        <v>45</v>
      </c>
      <c r="F79" s="19" t="s">
        <v>46</v>
      </c>
      <c r="G79" s="19" t="s">
        <v>15</v>
      </c>
      <c r="H79" s="20">
        <v>699</v>
      </c>
      <c r="I79" s="20">
        <v>531.24</v>
      </c>
      <c r="J79" s="21">
        <v>0.3</v>
      </c>
      <c r="K79" s="20">
        <f>Ventas[[#This Row],[Precio]]*$J$4</f>
        <v>111.84</v>
      </c>
      <c r="L79" s="20">
        <f>Ventas[[#This Row],[Precio]]-Ventas[[#This Row],[Costo]]-Ventas[[#This Row],[Desc $]]</f>
        <v>-41.94</v>
      </c>
      <c r="M79" s="20">
        <f>Ventas[[#This Row],[Precio]]*Ventas[[#This Row],[Descuento]]</f>
        <v>209.7</v>
      </c>
    </row>
    <row r="80" spans="1:13" x14ac:dyDescent="0.25">
      <c r="A80" s="16">
        <v>70</v>
      </c>
      <c r="B80" s="18">
        <v>42520</v>
      </c>
      <c r="C80" s="16" t="s">
        <v>41</v>
      </c>
      <c r="D80" s="19" t="s">
        <v>22</v>
      </c>
      <c r="E80" s="19" t="s">
        <v>18</v>
      </c>
      <c r="F80" s="19" t="s">
        <v>42</v>
      </c>
      <c r="G80" s="19" t="s">
        <v>43</v>
      </c>
      <c r="H80" s="20">
        <v>1149</v>
      </c>
      <c r="I80" s="20">
        <v>896.22</v>
      </c>
      <c r="J80" s="21">
        <v>0.2</v>
      </c>
      <c r="K80" s="20">
        <f>Ventas[[#This Row],[Precio]]*$J$4</f>
        <v>183.84</v>
      </c>
      <c r="L80" s="20">
        <f>Ventas[[#This Row],[Precio]]-Ventas[[#This Row],[Costo]]-Ventas[[#This Row],[Desc $]]</f>
        <v>22.979999999999961</v>
      </c>
      <c r="M80" s="20">
        <f>Ventas[[#This Row],[Precio]]*Ventas[[#This Row],[Descuento]]</f>
        <v>229.8</v>
      </c>
    </row>
    <row r="81" spans="1:13" x14ac:dyDescent="0.25">
      <c r="A81" s="16">
        <v>71</v>
      </c>
      <c r="B81" s="18">
        <v>42402</v>
      </c>
      <c r="C81" s="16" t="s">
        <v>88</v>
      </c>
      <c r="D81" s="19" t="s">
        <v>22</v>
      </c>
      <c r="E81" s="19" t="s">
        <v>86</v>
      </c>
      <c r="F81" s="19" t="s">
        <v>89</v>
      </c>
      <c r="G81" s="19" t="s">
        <v>15</v>
      </c>
      <c r="H81" s="20">
        <v>7999</v>
      </c>
      <c r="I81" s="20">
        <v>2399.6999999999998</v>
      </c>
      <c r="J81" s="21">
        <v>0.2</v>
      </c>
      <c r="K81" s="20">
        <f>Ventas[[#This Row],[Precio]]*$J$4</f>
        <v>1279.8399999999999</v>
      </c>
      <c r="L81" s="20">
        <f>Ventas[[#This Row],[Precio]]-Ventas[[#This Row],[Costo]]-Ventas[[#This Row],[Desc $]]</f>
        <v>3999.5</v>
      </c>
      <c r="M81" s="20">
        <f>Ventas[[#This Row],[Precio]]*Ventas[[#This Row],[Descuento]]</f>
        <v>1599.8000000000002</v>
      </c>
    </row>
    <row r="82" spans="1:13" x14ac:dyDescent="0.25">
      <c r="A82" s="16">
        <v>72</v>
      </c>
      <c r="B82" s="18">
        <v>42512</v>
      </c>
      <c r="C82" s="16" t="s">
        <v>85</v>
      </c>
      <c r="D82" s="19" t="s">
        <v>22</v>
      </c>
      <c r="E82" s="19" t="s">
        <v>86</v>
      </c>
      <c r="F82" s="19" t="s">
        <v>87</v>
      </c>
      <c r="G82" s="19" t="s">
        <v>15</v>
      </c>
      <c r="H82" s="20">
        <v>3999</v>
      </c>
      <c r="I82" s="20">
        <v>1399.6499999999999</v>
      </c>
      <c r="J82" s="21">
        <v>0.15</v>
      </c>
      <c r="K82" s="20">
        <f>Ventas[[#This Row],[Precio]]*$J$4</f>
        <v>639.84</v>
      </c>
      <c r="L82" s="20">
        <f>Ventas[[#This Row],[Precio]]-Ventas[[#This Row],[Costo]]-Ventas[[#This Row],[Desc $]]</f>
        <v>1999.5000000000005</v>
      </c>
      <c r="M82" s="20">
        <f>Ventas[[#This Row],[Precio]]*Ventas[[#This Row],[Descuento]]</f>
        <v>599.85</v>
      </c>
    </row>
    <row r="83" spans="1:13" x14ac:dyDescent="0.25">
      <c r="A83" s="16">
        <v>73</v>
      </c>
      <c r="B83" s="18">
        <v>42379</v>
      </c>
      <c r="C83" s="16" t="s">
        <v>51</v>
      </c>
      <c r="D83" s="19" t="s">
        <v>22</v>
      </c>
      <c r="E83" s="19" t="s">
        <v>23</v>
      </c>
      <c r="F83" s="19" t="s">
        <v>52</v>
      </c>
      <c r="G83" s="19" t="s">
        <v>15</v>
      </c>
      <c r="H83" s="20">
        <v>599</v>
      </c>
      <c r="I83" s="20">
        <v>455.24</v>
      </c>
      <c r="J83" s="21">
        <v>0</v>
      </c>
      <c r="K83" s="20">
        <f>Ventas[[#This Row],[Precio]]*$J$4</f>
        <v>95.84</v>
      </c>
      <c r="L83" s="20">
        <f>Ventas[[#This Row],[Precio]]-Ventas[[#This Row],[Costo]]-Ventas[[#This Row],[Desc $]]</f>
        <v>143.76</v>
      </c>
      <c r="M83" s="20">
        <f>Ventas[[#This Row],[Precio]]*Ventas[[#This Row],[Descuento]]</f>
        <v>0</v>
      </c>
    </row>
    <row r="84" spans="1:13" x14ac:dyDescent="0.25">
      <c r="A84" s="16">
        <v>74</v>
      </c>
      <c r="B84" s="18">
        <v>42402</v>
      </c>
      <c r="C84" s="16" t="s">
        <v>11</v>
      </c>
      <c r="D84" s="19" t="s">
        <v>12</v>
      </c>
      <c r="E84" s="19" t="s">
        <v>13</v>
      </c>
      <c r="F84" s="19" t="s">
        <v>14</v>
      </c>
      <c r="G84" s="19" t="s">
        <v>15</v>
      </c>
      <c r="H84" s="20">
        <v>1299</v>
      </c>
      <c r="I84" s="20">
        <v>727.44</v>
      </c>
      <c r="J84" s="21">
        <v>0.2</v>
      </c>
      <c r="K84" s="20">
        <f>Ventas[[#This Row],[Precio]]*$J$4</f>
        <v>207.84</v>
      </c>
      <c r="L84" s="20">
        <f>Ventas[[#This Row],[Precio]]-Ventas[[#This Row],[Costo]]-Ventas[[#This Row],[Desc $]]</f>
        <v>311.75999999999993</v>
      </c>
      <c r="M84" s="20">
        <f>Ventas[[#This Row],[Precio]]*Ventas[[#This Row],[Descuento]]</f>
        <v>259.8</v>
      </c>
    </row>
    <row r="85" spans="1:13" x14ac:dyDescent="0.25">
      <c r="A85" s="16">
        <v>75</v>
      </c>
      <c r="B85" s="18">
        <v>42575</v>
      </c>
      <c r="C85" s="16" t="s">
        <v>90</v>
      </c>
      <c r="D85" s="19" t="s">
        <v>12</v>
      </c>
      <c r="E85" s="19" t="s">
        <v>35</v>
      </c>
      <c r="F85" s="19" t="s">
        <v>91</v>
      </c>
      <c r="G85" s="19" t="s">
        <v>15</v>
      </c>
      <c r="H85" s="20">
        <v>6999</v>
      </c>
      <c r="I85" s="20">
        <v>4829.3099999999995</v>
      </c>
      <c r="J85" s="21">
        <v>0.2</v>
      </c>
      <c r="K85" s="20">
        <f>Ventas[[#This Row],[Precio]]*$J$4</f>
        <v>1119.8399999999999</v>
      </c>
      <c r="L85" s="20">
        <f>Ventas[[#This Row],[Precio]]-Ventas[[#This Row],[Costo]]-Ventas[[#This Row],[Desc $]]</f>
        <v>769.89000000000033</v>
      </c>
      <c r="M85" s="20">
        <f>Ventas[[#This Row],[Precio]]*Ventas[[#This Row],[Descuento]]</f>
        <v>1399.8000000000002</v>
      </c>
    </row>
    <row r="86" spans="1:13" x14ac:dyDescent="0.25">
      <c r="A86" s="16">
        <v>76</v>
      </c>
      <c r="B86" s="18">
        <v>42657</v>
      </c>
      <c r="C86" s="16" t="s">
        <v>92</v>
      </c>
      <c r="D86" s="19" t="s">
        <v>22</v>
      </c>
      <c r="E86" s="19" t="s">
        <v>86</v>
      </c>
      <c r="F86" s="19" t="s">
        <v>93</v>
      </c>
      <c r="G86" s="19" t="s">
        <v>15</v>
      </c>
      <c r="H86" s="20">
        <v>11999</v>
      </c>
      <c r="I86" s="20">
        <v>4199.6499999999996</v>
      </c>
      <c r="J86" s="21">
        <v>0.15</v>
      </c>
      <c r="K86" s="20">
        <f>Ventas[[#This Row],[Precio]]*$J$4</f>
        <v>1919.8400000000001</v>
      </c>
      <c r="L86" s="20">
        <f>Ventas[[#This Row],[Precio]]-Ventas[[#This Row],[Costo]]-Ventas[[#This Row],[Desc $]]</f>
        <v>5999.5</v>
      </c>
      <c r="M86" s="20">
        <f>Ventas[[#This Row],[Precio]]*Ventas[[#This Row],[Descuento]]</f>
        <v>1799.85</v>
      </c>
    </row>
    <row r="87" spans="1:13" x14ac:dyDescent="0.25">
      <c r="A87" s="16">
        <v>77</v>
      </c>
      <c r="B87" s="18">
        <v>42425</v>
      </c>
      <c r="C87" s="16" t="s">
        <v>94</v>
      </c>
      <c r="D87" s="19" t="s">
        <v>26</v>
      </c>
      <c r="E87" s="19" t="s">
        <v>45</v>
      </c>
      <c r="F87" s="19" t="s">
        <v>95</v>
      </c>
      <c r="G87" s="19" t="s">
        <v>15</v>
      </c>
      <c r="H87" s="20">
        <v>819</v>
      </c>
      <c r="I87" s="20">
        <v>319.41000000000003</v>
      </c>
      <c r="J87" s="21">
        <v>0</v>
      </c>
      <c r="K87" s="20">
        <f>Ventas[[#This Row],[Precio]]*$J$4</f>
        <v>131.04</v>
      </c>
      <c r="L87" s="20">
        <f>Ventas[[#This Row],[Precio]]-Ventas[[#This Row],[Costo]]-Ventas[[#This Row],[Desc $]]</f>
        <v>499.59</v>
      </c>
      <c r="M87" s="20">
        <f>Ventas[[#This Row],[Precio]]*Ventas[[#This Row],[Descuento]]</f>
        <v>0</v>
      </c>
    </row>
    <row r="88" spans="1:13" x14ac:dyDescent="0.25">
      <c r="A88" s="16">
        <v>78</v>
      </c>
      <c r="B88" s="18">
        <v>42506</v>
      </c>
      <c r="C88" s="16" t="s">
        <v>41</v>
      </c>
      <c r="D88" s="19" t="s">
        <v>22</v>
      </c>
      <c r="E88" s="19" t="s">
        <v>18</v>
      </c>
      <c r="F88" s="19" t="s">
        <v>42</v>
      </c>
      <c r="G88" s="19" t="s">
        <v>43</v>
      </c>
      <c r="H88" s="20">
        <v>1149</v>
      </c>
      <c r="I88" s="20">
        <v>896.22</v>
      </c>
      <c r="J88" s="21">
        <v>0.3</v>
      </c>
      <c r="K88" s="20">
        <f>Ventas[[#This Row],[Precio]]*$J$4</f>
        <v>183.84</v>
      </c>
      <c r="L88" s="20">
        <f>Ventas[[#This Row],[Precio]]-Ventas[[#This Row],[Costo]]-Ventas[[#This Row],[Desc $]]</f>
        <v>-91.920000000000016</v>
      </c>
      <c r="M88" s="20">
        <f>Ventas[[#This Row],[Precio]]*Ventas[[#This Row],[Descuento]]</f>
        <v>344.7</v>
      </c>
    </row>
    <row r="89" spans="1:13" x14ac:dyDescent="0.25">
      <c r="A89" s="16">
        <v>79</v>
      </c>
      <c r="B89" s="18">
        <v>42402</v>
      </c>
      <c r="C89" s="16" t="s">
        <v>21</v>
      </c>
      <c r="D89" s="19" t="s">
        <v>22</v>
      </c>
      <c r="E89" s="19" t="s">
        <v>23</v>
      </c>
      <c r="F89" s="19" t="s">
        <v>24</v>
      </c>
      <c r="G89" s="19" t="s">
        <v>15</v>
      </c>
      <c r="H89" s="20">
        <v>359</v>
      </c>
      <c r="I89" s="20">
        <v>244.12</v>
      </c>
      <c r="J89" s="21">
        <v>0.2</v>
      </c>
      <c r="K89" s="20">
        <f>Ventas[[#This Row],[Precio]]*$J$4</f>
        <v>57.44</v>
      </c>
      <c r="L89" s="20">
        <f>Ventas[[#This Row],[Precio]]-Ventas[[#This Row],[Costo]]-Ventas[[#This Row],[Desc $]]</f>
        <v>43.08</v>
      </c>
      <c r="M89" s="20">
        <f>Ventas[[#This Row],[Precio]]*Ventas[[#This Row],[Descuento]]</f>
        <v>71.8</v>
      </c>
    </row>
    <row r="90" spans="1:13" x14ac:dyDescent="0.25">
      <c r="A90" s="16">
        <v>80</v>
      </c>
      <c r="B90" s="18">
        <v>38817</v>
      </c>
      <c r="C90" s="16" t="s">
        <v>85</v>
      </c>
      <c r="D90" s="19" t="s">
        <v>22</v>
      </c>
      <c r="E90" s="19" t="s">
        <v>86</v>
      </c>
      <c r="F90" s="19" t="s">
        <v>87</v>
      </c>
      <c r="G90" s="19" t="s">
        <v>15</v>
      </c>
      <c r="H90" s="20">
        <v>3999</v>
      </c>
      <c r="I90" s="20">
        <v>1399.6499999999999</v>
      </c>
      <c r="J90" s="21">
        <v>0</v>
      </c>
      <c r="K90" s="20">
        <f>Ventas[[#This Row],[Precio]]*$J$4</f>
        <v>639.84</v>
      </c>
      <c r="L90" s="20">
        <f>Ventas[[#This Row],[Precio]]-Ventas[[#This Row],[Costo]]-Ventas[[#This Row],[Desc $]]</f>
        <v>2599.3500000000004</v>
      </c>
      <c r="M90" s="20">
        <f>Ventas[[#This Row],[Precio]]*Ventas[[#This Row],[Descuento]]</f>
        <v>0</v>
      </c>
    </row>
    <row r="91" spans="1:13" x14ac:dyDescent="0.25">
      <c r="A91" s="16">
        <v>81</v>
      </c>
      <c r="B91" s="18">
        <v>42657</v>
      </c>
      <c r="C91" s="16" t="s">
        <v>96</v>
      </c>
      <c r="D91" s="19" t="s">
        <v>12</v>
      </c>
      <c r="E91" s="19" t="s">
        <v>35</v>
      </c>
      <c r="F91" s="19" t="s">
        <v>97</v>
      </c>
      <c r="G91" s="19" t="s">
        <v>15</v>
      </c>
      <c r="H91" s="20">
        <v>11999</v>
      </c>
      <c r="I91" s="20">
        <v>7799.35</v>
      </c>
      <c r="J91" s="21">
        <v>0.15</v>
      </c>
      <c r="K91" s="20">
        <f>Ventas[[#This Row],[Precio]]*$J$4</f>
        <v>1919.8400000000001</v>
      </c>
      <c r="L91" s="20">
        <f>Ventas[[#This Row],[Precio]]-Ventas[[#This Row],[Costo]]-Ventas[[#This Row],[Desc $]]</f>
        <v>2399.7999999999997</v>
      </c>
      <c r="M91" s="20">
        <f>Ventas[[#This Row],[Precio]]*Ventas[[#This Row],[Descuento]]</f>
        <v>1799.85</v>
      </c>
    </row>
    <row r="92" spans="1:13" x14ac:dyDescent="0.25">
      <c r="A92" s="16">
        <v>82</v>
      </c>
      <c r="B92" s="18">
        <v>42605</v>
      </c>
      <c r="C92" s="16" t="s">
        <v>41</v>
      </c>
      <c r="D92" s="19" t="s">
        <v>22</v>
      </c>
      <c r="E92" s="19" t="s">
        <v>18</v>
      </c>
      <c r="F92" s="19" t="s">
        <v>42</v>
      </c>
      <c r="G92" s="19" t="s">
        <v>43</v>
      </c>
      <c r="H92" s="20">
        <v>1149</v>
      </c>
      <c r="I92" s="20">
        <v>896.22</v>
      </c>
      <c r="J92" s="21">
        <v>0</v>
      </c>
      <c r="K92" s="20">
        <f>Ventas[[#This Row],[Precio]]*$J$4</f>
        <v>183.84</v>
      </c>
      <c r="L92" s="20">
        <f>Ventas[[#This Row],[Precio]]-Ventas[[#This Row],[Costo]]-Ventas[[#This Row],[Desc $]]</f>
        <v>252.77999999999997</v>
      </c>
      <c r="M92" s="20">
        <f>Ventas[[#This Row],[Precio]]*Ventas[[#This Row],[Descuento]]</f>
        <v>0</v>
      </c>
    </row>
    <row r="93" spans="1:13" x14ac:dyDescent="0.25">
      <c r="A93" s="16">
        <v>83</v>
      </c>
      <c r="B93" s="18">
        <v>42388</v>
      </c>
      <c r="C93" s="16" t="s">
        <v>61</v>
      </c>
      <c r="D93" s="19" t="s">
        <v>26</v>
      </c>
      <c r="E93" s="19" t="s">
        <v>45</v>
      </c>
      <c r="F93" s="19" t="s">
        <v>62</v>
      </c>
      <c r="G93" s="19" t="s">
        <v>15</v>
      </c>
      <c r="H93" s="20">
        <v>799</v>
      </c>
      <c r="I93" s="20">
        <v>679.15</v>
      </c>
      <c r="J93" s="21">
        <v>0.15</v>
      </c>
      <c r="K93" s="20">
        <f>Ventas[[#This Row],[Precio]]*$J$4</f>
        <v>127.84</v>
      </c>
      <c r="L93" s="20">
        <f>Ventas[[#This Row],[Precio]]-Ventas[[#This Row],[Costo]]-Ventas[[#This Row],[Desc $]]</f>
        <v>0</v>
      </c>
      <c r="M93" s="20">
        <f>Ventas[[#This Row],[Precio]]*Ventas[[#This Row],[Descuento]]</f>
        <v>119.85</v>
      </c>
    </row>
    <row r="94" spans="1:13" x14ac:dyDescent="0.25">
      <c r="A94" s="16">
        <v>84</v>
      </c>
      <c r="B94" s="18">
        <v>42736</v>
      </c>
      <c r="C94" s="16" t="s">
        <v>41</v>
      </c>
      <c r="D94" s="19" t="s">
        <v>22</v>
      </c>
      <c r="E94" s="19" t="s">
        <v>18</v>
      </c>
      <c r="F94" s="19" t="s">
        <v>42</v>
      </c>
      <c r="G94" s="19" t="s">
        <v>43</v>
      </c>
      <c r="H94" s="20">
        <v>1149</v>
      </c>
      <c r="I94" s="20">
        <v>896.22</v>
      </c>
      <c r="J94" s="21">
        <v>0.15</v>
      </c>
      <c r="K94" s="20">
        <f>Ventas[[#This Row],[Precio]]*$J$4</f>
        <v>183.84</v>
      </c>
      <c r="L94" s="20">
        <f>Ventas[[#This Row],[Precio]]-Ventas[[#This Row],[Costo]]-Ventas[[#This Row],[Desc $]]</f>
        <v>80.429999999999978</v>
      </c>
      <c r="M94" s="20">
        <f>Ventas[[#This Row],[Precio]]*Ventas[[#This Row],[Descuento]]</f>
        <v>172.35</v>
      </c>
    </row>
    <row r="95" spans="1:13" x14ac:dyDescent="0.25">
      <c r="A95" s="16">
        <v>85</v>
      </c>
      <c r="B95" s="18">
        <v>42531</v>
      </c>
      <c r="C95" s="16" t="s">
        <v>41</v>
      </c>
      <c r="D95" s="19" t="s">
        <v>22</v>
      </c>
      <c r="E95" s="19" t="s">
        <v>18</v>
      </c>
      <c r="F95" s="19" t="s">
        <v>42</v>
      </c>
      <c r="G95" s="19" t="s">
        <v>43</v>
      </c>
      <c r="H95" s="20">
        <v>1149</v>
      </c>
      <c r="I95" s="20">
        <v>896.22</v>
      </c>
      <c r="J95" s="21">
        <v>0</v>
      </c>
      <c r="K95" s="20">
        <f>Ventas[[#This Row],[Precio]]*$J$4</f>
        <v>183.84</v>
      </c>
      <c r="L95" s="20">
        <f>Ventas[[#This Row],[Precio]]-Ventas[[#This Row],[Costo]]-Ventas[[#This Row],[Desc $]]</f>
        <v>252.77999999999997</v>
      </c>
      <c r="M95" s="20">
        <f>Ventas[[#This Row],[Precio]]*Ventas[[#This Row],[Descuento]]</f>
        <v>0</v>
      </c>
    </row>
    <row r="96" spans="1:13" x14ac:dyDescent="0.25">
      <c r="A96" s="16">
        <v>86</v>
      </c>
      <c r="B96" s="18">
        <v>42489</v>
      </c>
      <c r="C96" s="16" t="s">
        <v>49</v>
      </c>
      <c r="D96" s="19" t="s">
        <v>26</v>
      </c>
      <c r="E96" s="19" t="s">
        <v>27</v>
      </c>
      <c r="F96" s="19" t="s">
        <v>50</v>
      </c>
      <c r="G96" s="19" t="s">
        <v>15</v>
      </c>
      <c r="H96" s="20">
        <v>259</v>
      </c>
      <c r="I96" s="20">
        <v>106.19</v>
      </c>
      <c r="J96" s="21">
        <v>0</v>
      </c>
      <c r="K96" s="20">
        <f>Ventas[[#This Row],[Precio]]*$J$4</f>
        <v>41.44</v>
      </c>
      <c r="L96" s="20">
        <f>Ventas[[#This Row],[Precio]]-Ventas[[#This Row],[Costo]]-Ventas[[#This Row],[Desc $]]</f>
        <v>152.81</v>
      </c>
      <c r="M96" s="20">
        <f>Ventas[[#This Row],[Precio]]*Ventas[[#This Row],[Descuento]]</f>
        <v>0</v>
      </c>
    </row>
    <row r="97" spans="1:13" x14ac:dyDescent="0.25">
      <c r="A97" s="16">
        <v>87</v>
      </c>
      <c r="B97" s="18">
        <v>42417</v>
      </c>
      <c r="C97" s="16" t="s">
        <v>11</v>
      </c>
      <c r="D97" s="19" t="s">
        <v>12</v>
      </c>
      <c r="E97" s="19" t="s">
        <v>13</v>
      </c>
      <c r="F97" s="19" t="s">
        <v>14</v>
      </c>
      <c r="G97" s="19" t="s">
        <v>15</v>
      </c>
      <c r="H97" s="20">
        <v>1299</v>
      </c>
      <c r="I97" s="20">
        <v>727.44</v>
      </c>
      <c r="J97" s="21">
        <v>0</v>
      </c>
      <c r="K97" s="20">
        <f>Ventas[[#This Row],[Precio]]*$J$4</f>
        <v>207.84</v>
      </c>
      <c r="L97" s="20">
        <f>Ventas[[#This Row],[Precio]]-Ventas[[#This Row],[Costo]]-Ventas[[#This Row],[Desc $]]</f>
        <v>571.55999999999995</v>
      </c>
      <c r="M97" s="20">
        <f>Ventas[[#This Row],[Precio]]*Ventas[[#This Row],[Descuento]]</f>
        <v>0</v>
      </c>
    </row>
    <row r="98" spans="1:13" x14ac:dyDescent="0.25">
      <c r="A98" s="16">
        <v>88</v>
      </c>
      <c r="B98" s="18">
        <v>42459</v>
      </c>
      <c r="C98" s="16" t="s">
        <v>70</v>
      </c>
      <c r="D98" s="19" t="s">
        <v>26</v>
      </c>
      <c r="E98" s="19" t="s">
        <v>45</v>
      </c>
      <c r="F98" s="19" t="s">
        <v>71</v>
      </c>
      <c r="G98" s="19" t="s">
        <v>15</v>
      </c>
      <c r="H98" s="20">
        <v>449</v>
      </c>
      <c r="I98" s="20">
        <v>161.63999999999999</v>
      </c>
      <c r="J98" s="21">
        <v>0</v>
      </c>
      <c r="K98" s="20">
        <f>Ventas[[#This Row],[Precio]]*$J$4</f>
        <v>71.84</v>
      </c>
      <c r="L98" s="20">
        <f>Ventas[[#This Row],[Precio]]-Ventas[[#This Row],[Costo]]-Ventas[[#This Row],[Desc $]]</f>
        <v>287.36</v>
      </c>
      <c r="M98" s="20">
        <f>Ventas[[#This Row],[Precio]]*Ventas[[#This Row],[Descuento]]</f>
        <v>0</v>
      </c>
    </row>
    <row r="99" spans="1:13" x14ac:dyDescent="0.25">
      <c r="A99" s="16">
        <v>89</v>
      </c>
      <c r="B99" s="18">
        <v>42728</v>
      </c>
      <c r="C99" s="16" t="s">
        <v>98</v>
      </c>
      <c r="D99" s="19" t="s">
        <v>22</v>
      </c>
      <c r="E99" s="19" t="s">
        <v>86</v>
      </c>
      <c r="F99" s="19" t="s">
        <v>99</v>
      </c>
      <c r="G99" s="19" t="s">
        <v>15</v>
      </c>
      <c r="H99" s="20">
        <v>5999</v>
      </c>
      <c r="I99" s="20">
        <v>3419.43</v>
      </c>
      <c r="J99" s="21">
        <v>0</v>
      </c>
      <c r="K99" s="20">
        <f>Ventas[[#This Row],[Precio]]*$J$4</f>
        <v>959.84</v>
      </c>
      <c r="L99" s="20">
        <f>Ventas[[#This Row],[Precio]]-Ventas[[#This Row],[Costo]]-Ventas[[#This Row],[Desc $]]</f>
        <v>2579.5700000000002</v>
      </c>
      <c r="M99" s="20">
        <f>Ventas[[#This Row],[Precio]]*Ventas[[#This Row],[Descuento]]</f>
        <v>0</v>
      </c>
    </row>
    <row r="100" spans="1:13" x14ac:dyDescent="0.25">
      <c r="A100" s="16">
        <v>90</v>
      </c>
      <c r="B100" s="18">
        <v>42512</v>
      </c>
      <c r="C100" s="16" t="s">
        <v>41</v>
      </c>
      <c r="D100" s="19" t="s">
        <v>22</v>
      </c>
      <c r="E100" s="19" t="s">
        <v>18</v>
      </c>
      <c r="F100" s="19" t="s">
        <v>42</v>
      </c>
      <c r="G100" s="19" t="s">
        <v>43</v>
      </c>
      <c r="H100" s="20">
        <v>1149</v>
      </c>
      <c r="I100" s="20">
        <v>896.22</v>
      </c>
      <c r="J100" s="21">
        <v>0.15</v>
      </c>
      <c r="K100" s="20">
        <f>Ventas[[#This Row],[Precio]]*$J$4</f>
        <v>183.84</v>
      </c>
      <c r="L100" s="20">
        <f>Ventas[[#This Row],[Precio]]-Ventas[[#This Row],[Costo]]-Ventas[[#This Row],[Desc $]]</f>
        <v>80.429999999999978</v>
      </c>
      <c r="M100" s="20">
        <f>Ventas[[#This Row],[Precio]]*Ventas[[#This Row],[Descuento]]</f>
        <v>172.35</v>
      </c>
    </row>
    <row r="101" spans="1:13" x14ac:dyDescent="0.25">
      <c r="A101" s="16">
        <v>91</v>
      </c>
      <c r="B101" s="18">
        <v>42657</v>
      </c>
      <c r="C101" s="16" t="s">
        <v>11</v>
      </c>
      <c r="D101" s="19" t="s">
        <v>12</v>
      </c>
      <c r="E101" s="19" t="s">
        <v>13</v>
      </c>
      <c r="F101" s="19" t="s">
        <v>14</v>
      </c>
      <c r="G101" s="19" t="s">
        <v>15</v>
      </c>
      <c r="H101" s="20">
        <v>1299</v>
      </c>
      <c r="I101" s="20">
        <v>727.44</v>
      </c>
      <c r="J101" s="21">
        <v>0.15</v>
      </c>
      <c r="K101" s="20">
        <f>Ventas[[#This Row],[Precio]]*$J$4</f>
        <v>207.84</v>
      </c>
      <c r="L101" s="20">
        <f>Ventas[[#This Row],[Precio]]-Ventas[[#This Row],[Costo]]-Ventas[[#This Row],[Desc $]]</f>
        <v>376.70999999999992</v>
      </c>
      <c r="M101" s="20">
        <f>Ventas[[#This Row],[Precio]]*Ventas[[#This Row],[Descuento]]</f>
        <v>194.85</v>
      </c>
    </row>
    <row r="102" spans="1:13" x14ac:dyDescent="0.25">
      <c r="A102" s="16">
        <v>92</v>
      </c>
      <c r="B102" s="18">
        <v>42575</v>
      </c>
      <c r="C102" s="16" t="s">
        <v>41</v>
      </c>
      <c r="D102" s="19" t="s">
        <v>22</v>
      </c>
      <c r="E102" s="19" t="s">
        <v>18</v>
      </c>
      <c r="F102" s="19" t="s">
        <v>42</v>
      </c>
      <c r="G102" s="19" t="s">
        <v>43</v>
      </c>
      <c r="H102" s="20">
        <v>1149</v>
      </c>
      <c r="I102" s="20">
        <v>896.22</v>
      </c>
      <c r="J102" s="21">
        <v>0.2</v>
      </c>
      <c r="K102" s="20">
        <f>Ventas[[#This Row],[Precio]]*$J$4</f>
        <v>183.84</v>
      </c>
      <c r="L102" s="20">
        <f>Ventas[[#This Row],[Precio]]-Ventas[[#This Row],[Costo]]-Ventas[[#This Row],[Desc $]]</f>
        <v>22.979999999999961</v>
      </c>
      <c r="M102" s="20">
        <f>Ventas[[#This Row],[Precio]]*Ventas[[#This Row],[Descuento]]</f>
        <v>229.8</v>
      </c>
    </row>
    <row r="103" spans="1:13" x14ac:dyDescent="0.25">
      <c r="A103" s="16">
        <v>93</v>
      </c>
      <c r="B103" s="18">
        <v>42391</v>
      </c>
      <c r="C103" s="16" t="s">
        <v>61</v>
      </c>
      <c r="D103" s="19" t="s">
        <v>26</v>
      </c>
      <c r="E103" s="19" t="s">
        <v>45</v>
      </c>
      <c r="F103" s="19" t="s">
        <v>62</v>
      </c>
      <c r="G103" s="19" t="s">
        <v>15</v>
      </c>
      <c r="H103" s="20">
        <v>799</v>
      </c>
      <c r="I103" s="20">
        <v>679.15</v>
      </c>
      <c r="J103" s="21">
        <v>0</v>
      </c>
      <c r="K103" s="20">
        <f>Ventas[[#This Row],[Precio]]*$J$4</f>
        <v>127.84</v>
      </c>
      <c r="L103" s="20">
        <f>Ventas[[#This Row],[Precio]]-Ventas[[#This Row],[Costo]]-Ventas[[#This Row],[Desc $]]</f>
        <v>119.85000000000002</v>
      </c>
      <c r="M103" s="20">
        <f>Ventas[[#This Row],[Precio]]*Ventas[[#This Row],[Descuento]]</f>
        <v>0</v>
      </c>
    </row>
    <row r="104" spans="1:13" x14ac:dyDescent="0.25">
      <c r="A104" s="16">
        <v>94</v>
      </c>
      <c r="B104" s="18">
        <v>42524</v>
      </c>
      <c r="C104" s="16" t="s">
        <v>25</v>
      </c>
      <c r="D104" s="19" t="s">
        <v>26</v>
      </c>
      <c r="E104" s="19" t="s">
        <v>27</v>
      </c>
      <c r="F104" s="19" t="s">
        <v>28</v>
      </c>
      <c r="G104" s="19" t="s">
        <v>15</v>
      </c>
      <c r="H104" s="20">
        <v>1499</v>
      </c>
      <c r="I104" s="20">
        <v>794.47</v>
      </c>
      <c r="J104" s="21">
        <v>0</v>
      </c>
      <c r="K104" s="20">
        <f>Ventas[[#This Row],[Precio]]*$J$4</f>
        <v>239.84</v>
      </c>
      <c r="L104" s="20">
        <f>Ventas[[#This Row],[Precio]]-Ventas[[#This Row],[Costo]]-Ventas[[#This Row],[Desc $]]</f>
        <v>704.53</v>
      </c>
      <c r="M104" s="20">
        <f>Ventas[[#This Row],[Precio]]*Ventas[[#This Row],[Descuento]]</f>
        <v>0</v>
      </c>
    </row>
    <row r="105" spans="1:13" x14ac:dyDescent="0.25">
      <c r="A105" s="16">
        <v>95</v>
      </c>
      <c r="B105" s="18">
        <v>42404</v>
      </c>
      <c r="C105" s="16" t="s">
        <v>100</v>
      </c>
      <c r="D105" s="19" t="s">
        <v>12</v>
      </c>
      <c r="E105" s="19" t="s">
        <v>35</v>
      </c>
      <c r="F105" s="19" t="s">
        <v>101</v>
      </c>
      <c r="G105" s="19" t="s">
        <v>15</v>
      </c>
      <c r="H105" s="20">
        <v>7599</v>
      </c>
      <c r="I105" s="20">
        <v>6307.17</v>
      </c>
      <c r="J105" s="21">
        <v>0.15</v>
      </c>
      <c r="K105" s="20">
        <f>Ventas[[#This Row],[Precio]]*$J$4</f>
        <v>1215.8399999999999</v>
      </c>
      <c r="L105" s="20">
        <f>Ventas[[#This Row],[Precio]]-Ventas[[#This Row],[Costo]]-Ventas[[#This Row],[Desc $]]</f>
        <v>151.98000000000002</v>
      </c>
      <c r="M105" s="20">
        <f>Ventas[[#This Row],[Precio]]*Ventas[[#This Row],[Descuento]]</f>
        <v>1139.8499999999999</v>
      </c>
    </row>
    <row r="106" spans="1:13" x14ac:dyDescent="0.25">
      <c r="A106" s="16">
        <v>96</v>
      </c>
      <c r="B106" s="18">
        <v>42439</v>
      </c>
      <c r="C106" s="16" t="s">
        <v>102</v>
      </c>
      <c r="D106" s="19" t="s">
        <v>17</v>
      </c>
      <c r="E106" s="19" t="s">
        <v>18</v>
      </c>
      <c r="F106" s="19" t="s">
        <v>103</v>
      </c>
      <c r="G106" s="19" t="s">
        <v>33</v>
      </c>
      <c r="H106" s="20">
        <v>899</v>
      </c>
      <c r="I106" s="20">
        <v>440.51</v>
      </c>
      <c r="J106" s="21">
        <v>0</v>
      </c>
      <c r="K106" s="20">
        <f>Ventas[[#This Row],[Precio]]*$J$4</f>
        <v>143.84</v>
      </c>
      <c r="L106" s="20">
        <f>Ventas[[#This Row],[Precio]]-Ventas[[#This Row],[Costo]]-Ventas[[#This Row],[Desc $]]</f>
        <v>458.49</v>
      </c>
      <c r="M106" s="20">
        <f>Ventas[[#This Row],[Precio]]*Ventas[[#This Row],[Descuento]]</f>
        <v>0</v>
      </c>
    </row>
    <row r="107" spans="1:13" x14ac:dyDescent="0.25">
      <c r="A107" s="16">
        <v>97</v>
      </c>
      <c r="B107" s="18">
        <v>42404</v>
      </c>
      <c r="C107" s="16" t="s">
        <v>41</v>
      </c>
      <c r="D107" s="19" t="s">
        <v>22</v>
      </c>
      <c r="E107" s="19" t="s">
        <v>18</v>
      </c>
      <c r="F107" s="19" t="s">
        <v>42</v>
      </c>
      <c r="G107" s="19" t="s">
        <v>43</v>
      </c>
      <c r="H107" s="20">
        <v>1149</v>
      </c>
      <c r="I107" s="20">
        <v>896.22</v>
      </c>
      <c r="J107" s="21">
        <v>0.15</v>
      </c>
      <c r="K107" s="20">
        <f>Ventas[[#This Row],[Precio]]*$J$4</f>
        <v>183.84</v>
      </c>
      <c r="L107" s="20">
        <f>Ventas[[#This Row],[Precio]]-Ventas[[#This Row],[Costo]]-Ventas[[#This Row],[Desc $]]</f>
        <v>80.429999999999978</v>
      </c>
      <c r="M107" s="20">
        <f>Ventas[[#This Row],[Precio]]*Ventas[[#This Row],[Descuento]]</f>
        <v>172.35</v>
      </c>
    </row>
    <row r="108" spans="1:13" x14ac:dyDescent="0.25">
      <c r="A108" s="16">
        <v>98</v>
      </c>
      <c r="B108" s="18">
        <v>42820</v>
      </c>
      <c r="C108" s="16" t="s">
        <v>16</v>
      </c>
      <c r="D108" s="19" t="s">
        <v>22</v>
      </c>
      <c r="E108" s="19" t="s">
        <v>18</v>
      </c>
      <c r="F108" s="19" t="s">
        <v>19</v>
      </c>
      <c r="G108" s="19" t="s">
        <v>20</v>
      </c>
      <c r="H108" s="20">
        <v>1149</v>
      </c>
      <c r="I108" s="20">
        <v>792.81</v>
      </c>
      <c r="J108" s="21">
        <v>0</v>
      </c>
      <c r="K108" s="20">
        <f>Ventas[[#This Row],[Precio]]*$J$4</f>
        <v>183.84</v>
      </c>
      <c r="L108" s="20">
        <f>Ventas[[#This Row],[Precio]]-Ventas[[#This Row],[Costo]]-Ventas[[#This Row],[Desc $]]</f>
        <v>356.19000000000005</v>
      </c>
      <c r="M108" s="20">
        <f>Ventas[[#This Row],[Precio]]*Ventas[[#This Row],[Descuento]]</f>
        <v>0</v>
      </c>
    </row>
    <row r="109" spans="1:13" x14ac:dyDescent="0.25">
      <c r="A109" s="16">
        <v>99</v>
      </c>
      <c r="B109" s="18">
        <v>42512</v>
      </c>
      <c r="C109" s="16" t="s">
        <v>11</v>
      </c>
      <c r="D109" s="19" t="s">
        <v>12</v>
      </c>
      <c r="E109" s="19" t="s">
        <v>13</v>
      </c>
      <c r="F109" s="19" t="s">
        <v>14</v>
      </c>
      <c r="G109" s="19" t="s">
        <v>15</v>
      </c>
      <c r="H109" s="20">
        <v>1299</v>
      </c>
      <c r="I109" s="20">
        <v>727.44</v>
      </c>
      <c r="J109" s="21">
        <v>0.15</v>
      </c>
      <c r="K109" s="20">
        <f>Ventas[[#This Row],[Precio]]*$J$4</f>
        <v>207.84</v>
      </c>
      <c r="L109" s="20">
        <f>Ventas[[#This Row],[Precio]]-Ventas[[#This Row],[Costo]]-Ventas[[#This Row],[Desc $]]</f>
        <v>376.70999999999992</v>
      </c>
      <c r="M109" s="20">
        <f>Ventas[[#This Row],[Precio]]*Ventas[[#This Row],[Descuento]]</f>
        <v>194.85</v>
      </c>
    </row>
    <row r="110" spans="1:13" x14ac:dyDescent="0.25">
      <c r="A110" s="16">
        <v>100</v>
      </c>
      <c r="B110" s="18">
        <v>42696</v>
      </c>
      <c r="C110" s="16" t="s">
        <v>104</v>
      </c>
      <c r="D110" s="19" t="s">
        <v>22</v>
      </c>
      <c r="E110" s="19" t="s">
        <v>23</v>
      </c>
      <c r="F110" s="19" t="s">
        <v>105</v>
      </c>
      <c r="G110" s="19" t="s">
        <v>15</v>
      </c>
      <c r="H110" s="20">
        <v>359</v>
      </c>
      <c r="I110" s="20">
        <v>294.38</v>
      </c>
      <c r="J110" s="21">
        <v>0</v>
      </c>
      <c r="K110" s="20">
        <f>Ventas[[#This Row],[Precio]]*$J$4</f>
        <v>57.44</v>
      </c>
      <c r="L110" s="20">
        <f>Ventas[[#This Row],[Precio]]-Ventas[[#This Row],[Costo]]-Ventas[[#This Row],[Desc $]]</f>
        <v>64.62</v>
      </c>
      <c r="M110" s="20">
        <f>Ventas[[#This Row],[Precio]]*Ventas[[#This Row],[Descuento]]</f>
        <v>0</v>
      </c>
    </row>
    <row r="111" spans="1:13" x14ac:dyDescent="0.25">
      <c r="A111" s="16">
        <v>101</v>
      </c>
      <c r="B111" s="18">
        <v>42462</v>
      </c>
      <c r="C111" s="16" t="s">
        <v>90</v>
      </c>
      <c r="D111" s="19" t="s">
        <v>12</v>
      </c>
      <c r="E111" s="19" t="s">
        <v>35</v>
      </c>
      <c r="F111" s="19" t="s">
        <v>91</v>
      </c>
      <c r="G111" s="19" t="s">
        <v>15</v>
      </c>
      <c r="H111" s="20">
        <v>6999</v>
      </c>
      <c r="I111" s="20">
        <v>4829.3099999999995</v>
      </c>
      <c r="J111" s="21">
        <v>0</v>
      </c>
      <c r="K111" s="20">
        <f>Ventas[[#This Row],[Precio]]*$J$4</f>
        <v>1119.8399999999999</v>
      </c>
      <c r="L111" s="20">
        <f>Ventas[[#This Row],[Precio]]-Ventas[[#This Row],[Costo]]-Ventas[[#This Row],[Desc $]]</f>
        <v>2169.6900000000005</v>
      </c>
      <c r="M111" s="20">
        <f>Ventas[[#This Row],[Precio]]*Ventas[[#This Row],[Descuento]]</f>
        <v>0</v>
      </c>
    </row>
    <row r="112" spans="1:13" x14ac:dyDescent="0.25">
      <c r="A112" s="16">
        <v>102</v>
      </c>
      <c r="B112" s="18">
        <v>42718</v>
      </c>
      <c r="C112" s="16" t="s">
        <v>88</v>
      </c>
      <c r="D112" s="19" t="s">
        <v>22</v>
      </c>
      <c r="E112" s="19" t="s">
        <v>86</v>
      </c>
      <c r="F112" s="19" t="s">
        <v>89</v>
      </c>
      <c r="G112" s="19" t="s">
        <v>15</v>
      </c>
      <c r="H112" s="20">
        <v>7999</v>
      </c>
      <c r="I112" s="20">
        <v>2399.6999999999998</v>
      </c>
      <c r="J112" s="21">
        <v>0</v>
      </c>
      <c r="K112" s="20">
        <f>Ventas[[#This Row],[Precio]]*$J$4</f>
        <v>1279.8399999999999</v>
      </c>
      <c r="L112" s="20">
        <f>Ventas[[#This Row],[Precio]]-Ventas[[#This Row],[Costo]]-Ventas[[#This Row],[Desc $]]</f>
        <v>5599.3</v>
      </c>
      <c r="M112" s="20">
        <f>Ventas[[#This Row],[Precio]]*Ventas[[#This Row],[Descuento]]</f>
        <v>0</v>
      </c>
    </row>
    <row r="113" spans="1:13" x14ac:dyDescent="0.25">
      <c r="A113" s="16">
        <v>103</v>
      </c>
      <c r="B113" s="18">
        <v>42755</v>
      </c>
      <c r="C113" s="16" t="s">
        <v>29</v>
      </c>
      <c r="D113" s="19" t="s">
        <v>26</v>
      </c>
      <c r="E113" s="19" t="s">
        <v>27</v>
      </c>
      <c r="F113" s="19" t="s">
        <v>30</v>
      </c>
      <c r="G113" s="19" t="s">
        <v>15</v>
      </c>
      <c r="H113" s="20">
        <v>259</v>
      </c>
      <c r="I113" s="20">
        <v>220.15</v>
      </c>
      <c r="J113" s="21">
        <v>0</v>
      </c>
      <c r="K113" s="20">
        <f>Ventas[[#This Row],[Precio]]*$J$4</f>
        <v>41.44</v>
      </c>
      <c r="L113" s="20">
        <f>Ventas[[#This Row],[Precio]]-Ventas[[#This Row],[Costo]]-Ventas[[#This Row],[Desc $]]</f>
        <v>38.849999999999994</v>
      </c>
      <c r="M113" s="20">
        <f>Ventas[[#This Row],[Precio]]*Ventas[[#This Row],[Descuento]]</f>
        <v>0</v>
      </c>
    </row>
    <row r="114" spans="1:13" x14ac:dyDescent="0.25">
      <c r="A114" s="16">
        <v>104</v>
      </c>
      <c r="B114" s="18">
        <v>42506</v>
      </c>
      <c r="C114" s="16" t="s">
        <v>51</v>
      </c>
      <c r="D114" s="19" t="s">
        <v>22</v>
      </c>
      <c r="E114" s="19" t="s">
        <v>23</v>
      </c>
      <c r="F114" s="19" t="s">
        <v>52</v>
      </c>
      <c r="G114" s="19" t="s">
        <v>15</v>
      </c>
      <c r="H114" s="20">
        <v>599</v>
      </c>
      <c r="I114" s="20">
        <v>455.24</v>
      </c>
      <c r="J114" s="21">
        <v>0.3</v>
      </c>
      <c r="K114" s="20">
        <f>Ventas[[#This Row],[Precio]]*$J$4</f>
        <v>95.84</v>
      </c>
      <c r="L114" s="20">
        <f>Ventas[[#This Row],[Precio]]-Ventas[[#This Row],[Costo]]-Ventas[[#This Row],[Desc $]]</f>
        <v>-35.94</v>
      </c>
      <c r="M114" s="20">
        <f>Ventas[[#This Row],[Precio]]*Ventas[[#This Row],[Descuento]]</f>
        <v>179.7</v>
      </c>
    </row>
    <row r="115" spans="1:13" x14ac:dyDescent="0.25">
      <c r="A115" s="16">
        <v>105</v>
      </c>
      <c r="B115" s="18">
        <v>42657</v>
      </c>
      <c r="C115" s="16" t="s">
        <v>79</v>
      </c>
      <c r="D115" s="19" t="s">
        <v>26</v>
      </c>
      <c r="E115" s="19" t="s">
        <v>27</v>
      </c>
      <c r="F115" s="19" t="s">
        <v>80</v>
      </c>
      <c r="G115" s="19" t="s">
        <v>15</v>
      </c>
      <c r="H115" s="20">
        <v>499</v>
      </c>
      <c r="I115" s="20">
        <v>174.64999999999998</v>
      </c>
      <c r="J115" s="21">
        <v>0.15</v>
      </c>
      <c r="K115" s="20">
        <f>Ventas[[#This Row],[Precio]]*$J$4</f>
        <v>79.84</v>
      </c>
      <c r="L115" s="20">
        <f>Ventas[[#This Row],[Precio]]-Ventas[[#This Row],[Costo]]-Ventas[[#This Row],[Desc $]]</f>
        <v>249.50000000000003</v>
      </c>
      <c r="M115" s="20">
        <f>Ventas[[#This Row],[Precio]]*Ventas[[#This Row],[Descuento]]</f>
        <v>74.849999999999994</v>
      </c>
    </row>
    <row r="116" spans="1:13" x14ac:dyDescent="0.25">
      <c r="A116" s="16">
        <v>106</v>
      </c>
      <c r="B116" s="18">
        <v>42547</v>
      </c>
      <c r="C116" s="16" t="s">
        <v>31</v>
      </c>
      <c r="D116" s="19" t="s">
        <v>22</v>
      </c>
      <c r="E116" s="19" t="s">
        <v>18</v>
      </c>
      <c r="F116" s="19" t="s">
        <v>32</v>
      </c>
      <c r="G116" s="19" t="s">
        <v>33</v>
      </c>
      <c r="H116" s="20">
        <v>1199</v>
      </c>
      <c r="I116" s="20">
        <v>887.26</v>
      </c>
      <c r="J116" s="21">
        <v>0</v>
      </c>
      <c r="K116" s="20">
        <f>Ventas[[#This Row],[Precio]]*$J$4</f>
        <v>191.84</v>
      </c>
      <c r="L116" s="20">
        <f>Ventas[[#This Row],[Precio]]-Ventas[[#This Row],[Costo]]-Ventas[[#This Row],[Desc $]]</f>
        <v>311.74</v>
      </c>
      <c r="M116" s="20">
        <f>Ventas[[#This Row],[Precio]]*Ventas[[#This Row],[Descuento]]</f>
        <v>0</v>
      </c>
    </row>
    <row r="117" spans="1:13" x14ac:dyDescent="0.25">
      <c r="A117" s="16">
        <v>107</v>
      </c>
      <c r="B117" s="18">
        <v>42438</v>
      </c>
      <c r="C117" s="16" t="s">
        <v>11</v>
      </c>
      <c r="D117" s="19" t="s">
        <v>12</v>
      </c>
      <c r="E117" s="19" t="s">
        <v>13</v>
      </c>
      <c r="F117" s="19" t="s">
        <v>14</v>
      </c>
      <c r="G117" s="19" t="s">
        <v>15</v>
      </c>
      <c r="H117" s="20">
        <v>1299</v>
      </c>
      <c r="I117" s="20">
        <v>727.44</v>
      </c>
      <c r="J117" s="21">
        <v>0.15</v>
      </c>
      <c r="K117" s="20">
        <f>Ventas[[#This Row],[Precio]]*$J$4</f>
        <v>207.84</v>
      </c>
      <c r="L117" s="20">
        <f>Ventas[[#This Row],[Precio]]-Ventas[[#This Row],[Costo]]-Ventas[[#This Row],[Desc $]]</f>
        <v>376.70999999999992</v>
      </c>
      <c r="M117" s="20">
        <f>Ventas[[#This Row],[Precio]]*Ventas[[#This Row],[Descuento]]</f>
        <v>194.85</v>
      </c>
    </row>
    <row r="118" spans="1:13" x14ac:dyDescent="0.25">
      <c r="A118" s="16">
        <v>108</v>
      </c>
      <c r="B118" s="18">
        <v>42684</v>
      </c>
      <c r="C118" s="16" t="s">
        <v>61</v>
      </c>
      <c r="D118" s="19" t="s">
        <v>26</v>
      </c>
      <c r="E118" s="19" t="s">
        <v>45</v>
      </c>
      <c r="F118" s="19" t="s">
        <v>62</v>
      </c>
      <c r="G118" s="19" t="s">
        <v>15</v>
      </c>
      <c r="H118" s="20">
        <v>799</v>
      </c>
      <c r="I118" s="20">
        <v>679.15</v>
      </c>
      <c r="J118" s="21">
        <v>0.2</v>
      </c>
      <c r="K118" s="20">
        <f>Ventas[[#This Row],[Precio]]*$J$4</f>
        <v>127.84</v>
      </c>
      <c r="L118" s="20">
        <f>Ventas[[#This Row],[Precio]]-Ventas[[#This Row],[Costo]]-Ventas[[#This Row],[Desc $]]</f>
        <v>-39.949999999999989</v>
      </c>
      <c r="M118" s="20">
        <f>Ventas[[#This Row],[Precio]]*Ventas[[#This Row],[Descuento]]</f>
        <v>159.80000000000001</v>
      </c>
    </row>
    <row r="119" spans="1:13" x14ac:dyDescent="0.25">
      <c r="A119" s="16">
        <v>109</v>
      </c>
      <c r="B119" s="18">
        <v>42479</v>
      </c>
      <c r="C119" s="16" t="s">
        <v>11</v>
      </c>
      <c r="D119" s="19" t="s">
        <v>12</v>
      </c>
      <c r="E119" s="19" t="s">
        <v>13</v>
      </c>
      <c r="F119" s="19" t="s">
        <v>14</v>
      </c>
      <c r="G119" s="19" t="s">
        <v>15</v>
      </c>
      <c r="H119" s="20">
        <v>1299</v>
      </c>
      <c r="I119" s="20">
        <v>727.44</v>
      </c>
      <c r="J119" s="21">
        <v>0.15</v>
      </c>
      <c r="K119" s="20">
        <f>Ventas[[#This Row],[Precio]]*$J$4</f>
        <v>207.84</v>
      </c>
      <c r="L119" s="20">
        <f>Ventas[[#This Row],[Precio]]-Ventas[[#This Row],[Costo]]-Ventas[[#This Row],[Desc $]]</f>
        <v>376.70999999999992</v>
      </c>
      <c r="M119" s="20">
        <f>Ventas[[#This Row],[Precio]]*Ventas[[#This Row],[Descuento]]</f>
        <v>194.85</v>
      </c>
    </row>
    <row r="120" spans="1:13" x14ac:dyDescent="0.25">
      <c r="A120" s="16">
        <v>110</v>
      </c>
      <c r="B120" s="18">
        <v>42583</v>
      </c>
      <c r="C120" s="16" t="s">
        <v>41</v>
      </c>
      <c r="D120" s="19" t="s">
        <v>22</v>
      </c>
      <c r="E120" s="19" t="s">
        <v>18</v>
      </c>
      <c r="F120" s="19" t="s">
        <v>42</v>
      </c>
      <c r="G120" s="19" t="s">
        <v>43</v>
      </c>
      <c r="H120" s="20">
        <v>1149</v>
      </c>
      <c r="I120" s="20">
        <v>896.22</v>
      </c>
      <c r="J120" s="21">
        <v>0</v>
      </c>
      <c r="K120" s="20">
        <f>Ventas[[#This Row],[Precio]]*$J$4</f>
        <v>183.84</v>
      </c>
      <c r="L120" s="20">
        <f>Ventas[[#This Row],[Precio]]-Ventas[[#This Row],[Costo]]-Ventas[[#This Row],[Desc $]]</f>
        <v>252.77999999999997</v>
      </c>
      <c r="M120" s="20">
        <f>Ventas[[#This Row],[Precio]]*Ventas[[#This Row],[Descuento]]</f>
        <v>0</v>
      </c>
    </row>
    <row r="121" spans="1:13" x14ac:dyDescent="0.25">
      <c r="A121" s="16">
        <v>111</v>
      </c>
      <c r="B121" s="18">
        <v>42404</v>
      </c>
      <c r="C121" s="16" t="s">
        <v>74</v>
      </c>
      <c r="D121" s="19" t="s">
        <v>12</v>
      </c>
      <c r="E121" s="19" t="s">
        <v>13</v>
      </c>
      <c r="F121" s="19" t="s">
        <v>75</v>
      </c>
      <c r="G121" s="19" t="s">
        <v>15</v>
      </c>
      <c r="H121" s="20">
        <v>2599</v>
      </c>
      <c r="I121" s="20">
        <v>1819.3</v>
      </c>
      <c r="J121" s="21">
        <v>0.15</v>
      </c>
      <c r="K121" s="20">
        <f>Ventas[[#This Row],[Precio]]*$J$4</f>
        <v>415.84000000000003</v>
      </c>
      <c r="L121" s="20">
        <f>Ventas[[#This Row],[Precio]]-Ventas[[#This Row],[Costo]]-Ventas[[#This Row],[Desc $]]</f>
        <v>389.85000000000008</v>
      </c>
      <c r="M121" s="20">
        <f>Ventas[[#This Row],[Precio]]*Ventas[[#This Row],[Descuento]]</f>
        <v>389.84999999999997</v>
      </c>
    </row>
    <row r="122" spans="1:13" x14ac:dyDescent="0.25">
      <c r="A122" s="16">
        <v>112</v>
      </c>
      <c r="B122" s="18">
        <v>42753</v>
      </c>
      <c r="C122" s="16" t="s">
        <v>106</v>
      </c>
      <c r="D122" s="19" t="s">
        <v>22</v>
      </c>
      <c r="E122" s="19" t="s">
        <v>23</v>
      </c>
      <c r="F122" s="19" t="s">
        <v>107</v>
      </c>
      <c r="G122" s="19" t="s">
        <v>15</v>
      </c>
      <c r="H122" s="20">
        <v>259</v>
      </c>
      <c r="I122" s="20">
        <v>111.37</v>
      </c>
      <c r="J122" s="21">
        <v>0</v>
      </c>
      <c r="K122" s="20">
        <f>Ventas[[#This Row],[Precio]]*$J$4</f>
        <v>41.44</v>
      </c>
      <c r="L122" s="20">
        <f>Ventas[[#This Row],[Precio]]-Ventas[[#This Row],[Costo]]-Ventas[[#This Row],[Desc $]]</f>
        <v>147.63</v>
      </c>
      <c r="M122" s="20">
        <f>Ventas[[#This Row],[Precio]]*Ventas[[#This Row],[Descuento]]</f>
        <v>0</v>
      </c>
    </row>
    <row r="123" spans="1:13" x14ac:dyDescent="0.25">
      <c r="A123" s="16">
        <v>113</v>
      </c>
      <c r="B123" s="18">
        <v>42643</v>
      </c>
      <c r="C123" s="16" t="s">
        <v>53</v>
      </c>
      <c r="D123" s="19" t="s">
        <v>22</v>
      </c>
      <c r="E123" s="19" t="s">
        <v>18</v>
      </c>
      <c r="F123" s="19" t="s">
        <v>54</v>
      </c>
      <c r="G123" s="19" t="s">
        <v>33</v>
      </c>
      <c r="H123" s="20">
        <v>1299</v>
      </c>
      <c r="I123" s="20">
        <v>766.41</v>
      </c>
      <c r="J123" s="21">
        <v>0.2</v>
      </c>
      <c r="K123" s="20">
        <f>Ventas[[#This Row],[Precio]]*$J$4</f>
        <v>207.84</v>
      </c>
      <c r="L123" s="20">
        <f>Ventas[[#This Row],[Precio]]-Ventas[[#This Row],[Costo]]-Ventas[[#This Row],[Desc $]]</f>
        <v>272.79000000000002</v>
      </c>
      <c r="M123" s="20">
        <f>Ventas[[#This Row],[Precio]]*Ventas[[#This Row],[Descuento]]</f>
        <v>259.8</v>
      </c>
    </row>
    <row r="124" spans="1:13" x14ac:dyDescent="0.25">
      <c r="A124" s="16">
        <v>114</v>
      </c>
      <c r="B124" s="18">
        <v>42424</v>
      </c>
      <c r="C124" s="16" t="s">
        <v>90</v>
      </c>
      <c r="D124" s="19" t="s">
        <v>12</v>
      </c>
      <c r="E124" s="19" t="s">
        <v>35</v>
      </c>
      <c r="F124" s="19" t="s">
        <v>91</v>
      </c>
      <c r="G124" s="19" t="s">
        <v>15</v>
      </c>
      <c r="H124" s="20">
        <v>6999</v>
      </c>
      <c r="I124" s="20">
        <v>4829.3099999999995</v>
      </c>
      <c r="J124" s="21">
        <v>0.15</v>
      </c>
      <c r="K124" s="20">
        <f>Ventas[[#This Row],[Precio]]*$J$4</f>
        <v>1119.8399999999999</v>
      </c>
      <c r="L124" s="20">
        <f>Ventas[[#This Row],[Precio]]-Ventas[[#This Row],[Costo]]-Ventas[[#This Row],[Desc $]]</f>
        <v>1119.8400000000006</v>
      </c>
      <c r="M124" s="20">
        <f>Ventas[[#This Row],[Precio]]*Ventas[[#This Row],[Descuento]]</f>
        <v>1049.8499999999999</v>
      </c>
    </row>
    <row r="125" spans="1:13" x14ac:dyDescent="0.25">
      <c r="A125" s="16">
        <v>115</v>
      </c>
      <c r="B125" s="18">
        <v>42546</v>
      </c>
      <c r="C125" s="16" t="s">
        <v>16</v>
      </c>
      <c r="D125" s="19" t="s">
        <v>22</v>
      </c>
      <c r="E125" s="19" t="s">
        <v>18</v>
      </c>
      <c r="F125" s="19" t="s">
        <v>19</v>
      </c>
      <c r="G125" s="19" t="s">
        <v>20</v>
      </c>
      <c r="H125" s="20">
        <v>1149</v>
      </c>
      <c r="I125" s="20">
        <v>792.81</v>
      </c>
      <c r="J125" s="21">
        <v>0.2</v>
      </c>
      <c r="K125" s="20">
        <f>Ventas[[#This Row],[Precio]]*$J$4</f>
        <v>183.84</v>
      </c>
      <c r="L125" s="20">
        <f>Ventas[[#This Row],[Precio]]-Ventas[[#This Row],[Costo]]-Ventas[[#This Row],[Desc $]]</f>
        <v>126.39000000000004</v>
      </c>
      <c r="M125" s="20">
        <f>Ventas[[#This Row],[Precio]]*Ventas[[#This Row],[Descuento]]</f>
        <v>229.8</v>
      </c>
    </row>
    <row r="126" spans="1:13" x14ac:dyDescent="0.25">
      <c r="A126" s="16">
        <v>116</v>
      </c>
      <c r="B126" s="18">
        <v>42506</v>
      </c>
      <c r="C126" s="16" t="s">
        <v>92</v>
      </c>
      <c r="D126" s="19" t="s">
        <v>22</v>
      </c>
      <c r="E126" s="19" t="s">
        <v>86</v>
      </c>
      <c r="F126" s="19" t="s">
        <v>93</v>
      </c>
      <c r="G126" s="19" t="s">
        <v>15</v>
      </c>
      <c r="H126" s="20">
        <v>11999</v>
      </c>
      <c r="I126" s="20">
        <v>4199.6499999999996</v>
      </c>
      <c r="J126" s="21">
        <v>0.3</v>
      </c>
      <c r="K126" s="20">
        <f>Ventas[[#This Row],[Precio]]*$J$4</f>
        <v>1919.8400000000001</v>
      </c>
      <c r="L126" s="20">
        <f>Ventas[[#This Row],[Precio]]-Ventas[[#This Row],[Costo]]-Ventas[[#This Row],[Desc $]]</f>
        <v>4199.6500000000005</v>
      </c>
      <c r="M126" s="20">
        <f>Ventas[[#This Row],[Precio]]*Ventas[[#This Row],[Descuento]]</f>
        <v>3599.7</v>
      </c>
    </row>
    <row r="127" spans="1:13" x14ac:dyDescent="0.25">
      <c r="A127" s="16">
        <v>117</v>
      </c>
      <c r="B127" s="18">
        <v>42731</v>
      </c>
      <c r="C127" s="16" t="s">
        <v>25</v>
      </c>
      <c r="D127" s="19" t="s">
        <v>26</v>
      </c>
      <c r="E127" s="19" t="s">
        <v>27</v>
      </c>
      <c r="F127" s="19" t="s">
        <v>28</v>
      </c>
      <c r="G127" s="19" t="s">
        <v>15</v>
      </c>
      <c r="H127" s="20">
        <v>1499</v>
      </c>
      <c r="I127" s="20">
        <v>794.47</v>
      </c>
      <c r="J127" s="21">
        <v>0</v>
      </c>
      <c r="K127" s="20">
        <f>Ventas[[#This Row],[Precio]]*$J$4</f>
        <v>239.84</v>
      </c>
      <c r="L127" s="20">
        <f>Ventas[[#This Row],[Precio]]-Ventas[[#This Row],[Costo]]-Ventas[[#This Row],[Desc $]]</f>
        <v>704.53</v>
      </c>
      <c r="M127" s="20">
        <f>Ventas[[#This Row],[Precio]]*Ventas[[#This Row],[Descuento]]</f>
        <v>0</v>
      </c>
    </row>
    <row r="128" spans="1:13" x14ac:dyDescent="0.25">
      <c r="A128" s="16">
        <v>118</v>
      </c>
      <c r="B128" s="18">
        <v>42684</v>
      </c>
      <c r="C128" s="16" t="s">
        <v>63</v>
      </c>
      <c r="D128" s="19" t="s">
        <v>12</v>
      </c>
      <c r="E128" s="19" t="s">
        <v>35</v>
      </c>
      <c r="F128" s="19" t="s">
        <v>64</v>
      </c>
      <c r="G128" s="19" t="s">
        <v>15</v>
      </c>
      <c r="H128" s="20">
        <v>13999</v>
      </c>
      <c r="I128" s="20">
        <v>9659.31</v>
      </c>
      <c r="J128" s="21">
        <v>0.2</v>
      </c>
      <c r="K128" s="20">
        <f>Ventas[[#This Row],[Precio]]*$J$4</f>
        <v>2239.84</v>
      </c>
      <c r="L128" s="20">
        <f>Ventas[[#This Row],[Precio]]-Ventas[[#This Row],[Costo]]-Ventas[[#This Row],[Desc $]]</f>
        <v>1539.8900000000003</v>
      </c>
      <c r="M128" s="20">
        <f>Ventas[[#This Row],[Precio]]*Ventas[[#This Row],[Descuento]]</f>
        <v>2799.8</v>
      </c>
    </row>
    <row r="129" spans="1:13" x14ac:dyDescent="0.25">
      <c r="A129" s="16">
        <v>119</v>
      </c>
      <c r="B129" s="18">
        <v>42643</v>
      </c>
      <c r="C129" s="16" t="s">
        <v>65</v>
      </c>
      <c r="D129" s="19" t="s">
        <v>12</v>
      </c>
      <c r="E129" s="19" t="s">
        <v>13</v>
      </c>
      <c r="F129" s="19" t="s">
        <v>66</v>
      </c>
      <c r="G129" s="19" t="s">
        <v>15</v>
      </c>
      <c r="H129" s="20">
        <v>1499</v>
      </c>
      <c r="I129" s="20">
        <v>584.61</v>
      </c>
      <c r="J129" s="21">
        <v>0.2</v>
      </c>
      <c r="K129" s="20">
        <f>Ventas[[#This Row],[Precio]]*$J$4</f>
        <v>239.84</v>
      </c>
      <c r="L129" s="20">
        <f>Ventas[[#This Row],[Precio]]-Ventas[[#This Row],[Costo]]-Ventas[[#This Row],[Desc $]]</f>
        <v>614.58999999999992</v>
      </c>
      <c r="M129" s="20">
        <f>Ventas[[#This Row],[Precio]]*Ventas[[#This Row],[Descuento]]</f>
        <v>299.8</v>
      </c>
    </row>
    <row r="130" spans="1:13" x14ac:dyDescent="0.25">
      <c r="A130" s="16">
        <v>120</v>
      </c>
      <c r="B130" s="18">
        <v>42657</v>
      </c>
      <c r="C130" s="16" t="s">
        <v>25</v>
      </c>
      <c r="D130" s="19" t="s">
        <v>26</v>
      </c>
      <c r="E130" s="19" t="s">
        <v>27</v>
      </c>
      <c r="F130" s="19" t="s">
        <v>28</v>
      </c>
      <c r="G130" s="19" t="s">
        <v>15</v>
      </c>
      <c r="H130" s="20">
        <v>1499</v>
      </c>
      <c r="I130" s="20">
        <v>794.47</v>
      </c>
      <c r="J130" s="21">
        <v>0.15</v>
      </c>
      <c r="K130" s="20">
        <f>Ventas[[#This Row],[Precio]]*$J$4</f>
        <v>239.84</v>
      </c>
      <c r="L130" s="20">
        <f>Ventas[[#This Row],[Precio]]-Ventas[[#This Row],[Costo]]-Ventas[[#This Row],[Desc $]]</f>
        <v>479.67999999999995</v>
      </c>
      <c r="M130" s="20">
        <f>Ventas[[#This Row],[Precio]]*Ventas[[#This Row],[Descuento]]</f>
        <v>224.85</v>
      </c>
    </row>
    <row r="131" spans="1:13" x14ac:dyDescent="0.25">
      <c r="A131" s="16">
        <v>121</v>
      </c>
      <c r="B131" s="18">
        <v>42454</v>
      </c>
      <c r="C131" s="16" t="s">
        <v>108</v>
      </c>
      <c r="D131" s="19" t="s">
        <v>22</v>
      </c>
      <c r="E131" s="19" t="s">
        <v>23</v>
      </c>
      <c r="F131" s="19" t="s">
        <v>109</v>
      </c>
      <c r="G131" s="19" t="s">
        <v>15</v>
      </c>
      <c r="H131" s="20">
        <v>1899</v>
      </c>
      <c r="I131" s="20">
        <v>1177.3799999999999</v>
      </c>
      <c r="J131" s="21">
        <v>0.15</v>
      </c>
      <c r="K131" s="20">
        <f>Ventas[[#This Row],[Precio]]*$J$4</f>
        <v>303.84000000000003</v>
      </c>
      <c r="L131" s="20">
        <f>Ventas[[#This Row],[Precio]]-Ventas[[#This Row],[Costo]]-Ventas[[#This Row],[Desc $]]</f>
        <v>436.77000000000015</v>
      </c>
      <c r="M131" s="20">
        <f>Ventas[[#This Row],[Precio]]*Ventas[[#This Row],[Descuento]]</f>
        <v>284.84999999999997</v>
      </c>
    </row>
    <row r="132" spans="1:13" x14ac:dyDescent="0.25">
      <c r="A132" s="16">
        <v>122</v>
      </c>
      <c r="B132" s="18">
        <v>42604</v>
      </c>
      <c r="C132" s="16" t="s">
        <v>108</v>
      </c>
      <c r="D132" s="19" t="s">
        <v>22</v>
      </c>
      <c r="E132" s="19" t="s">
        <v>23</v>
      </c>
      <c r="F132" s="19" t="s">
        <v>109</v>
      </c>
      <c r="G132" s="19" t="s">
        <v>15</v>
      </c>
      <c r="H132" s="20">
        <v>1899</v>
      </c>
      <c r="I132" s="20">
        <v>1177.3799999999999</v>
      </c>
      <c r="J132" s="21">
        <v>0</v>
      </c>
      <c r="K132" s="20">
        <f>Ventas[[#This Row],[Precio]]*$J$4</f>
        <v>303.84000000000003</v>
      </c>
      <c r="L132" s="20">
        <f>Ventas[[#This Row],[Precio]]-Ventas[[#This Row],[Costo]]-Ventas[[#This Row],[Desc $]]</f>
        <v>721.62000000000012</v>
      </c>
      <c r="M132" s="20">
        <f>Ventas[[#This Row],[Precio]]*Ventas[[#This Row],[Descuento]]</f>
        <v>0</v>
      </c>
    </row>
    <row r="133" spans="1:13" x14ac:dyDescent="0.25">
      <c r="A133" s="16">
        <v>123</v>
      </c>
      <c r="B133" s="18">
        <v>42455</v>
      </c>
      <c r="C133" s="16" t="s">
        <v>110</v>
      </c>
      <c r="D133" s="19" t="s">
        <v>12</v>
      </c>
      <c r="E133" s="19" t="s">
        <v>35</v>
      </c>
      <c r="F133" s="19" t="s">
        <v>111</v>
      </c>
      <c r="G133" s="19" t="s">
        <v>15</v>
      </c>
      <c r="H133" s="20">
        <v>4599</v>
      </c>
      <c r="I133" s="20">
        <v>1747.6200000000001</v>
      </c>
      <c r="J133" s="21">
        <v>0.2</v>
      </c>
      <c r="K133" s="20">
        <f>Ventas[[#This Row],[Precio]]*$J$4</f>
        <v>735.84</v>
      </c>
      <c r="L133" s="20">
        <f>Ventas[[#This Row],[Precio]]-Ventas[[#This Row],[Costo]]-Ventas[[#This Row],[Desc $]]</f>
        <v>1931.58</v>
      </c>
      <c r="M133" s="20">
        <f>Ventas[[#This Row],[Precio]]*Ventas[[#This Row],[Descuento]]</f>
        <v>919.80000000000007</v>
      </c>
    </row>
    <row r="134" spans="1:13" x14ac:dyDescent="0.25">
      <c r="A134" s="16">
        <v>124</v>
      </c>
      <c r="B134" s="18">
        <v>42477</v>
      </c>
      <c r="C134" s="16" t="s">
        <v>41</v>
      </c>
      <c r="D134" s="19" t="s">
        <v>22</v>
      </c>
      <c r="E134" s="19" t="s">
        <v>18</v>
      </c>
      <c r="F134" s="19" t="s">
        <v>42</v>
      </c>
      <c r="G134" s="19" t="s">
        <v>43</v>
      </c>
      <c r="H134" s="20">
        <v>1149</v>
      </c>
      <c r="I134" s="20">
        <v>896.22</v>
      </c>
      <c r="J134" s="21">
        <v>0</v>
      </c>
      <c r="K134" s="20">
        <f>Ventas[[#This Row],[Precio]]*$J$4</f>
        <v>183.84</v>
      </c>
      <c r="L134" s="20">
        <f>Ventas[[#This Row],[Precio]]-Ventas[[#This Row],[Costo]]-Ventas[[#This Row],[Desc $]]</f>
        <v>252.77999999999997</v>
      </c>
      <c r="M134" s="20">
        <f>Ventas[[#This Row],[Precio]]*Ventas[[#This Row],[Descuento]]</f>
        <v>0</v>
      </c>
    </row>
    <row r="135" spans="1:13" x14ac:dyDescent="0.25">
      <c r="A135" s="16">
        <v>125</v>
      </c>
      <c r="B135" s="18">
        <v>42479</v>
      </c>
      <c r="C135" s="16" t="s">
        <v>112</v>
      </c>
      <c r="D135" s="19" t="s">
        <v>22</v>
      </c>
      <c r="E135" s="19" t="s">
        <v>23</v>
      </c>
      <c r="F135" s="19" t="s">
        <v>113</v>
      </c>
      <c r="G135" s="19" t="s">
        <v>15</v>
      </c>
      <c r="H135" s="20">
        <v>459</v>
      </c>
      <c r="I135" s="20">
        <v>325.89</v>
      </c>
      <c r="J135" s="21">
        <v>0.15</v>
      </c>
      <c r="K135" s="20">
        <f>Ventas[[#This Row],[Precio]]*$J$4</f>
        <v>73.44</v>
      </c>
      <c r="L135" s="20">
        <f>Ventas[[#This Row],[Precio]]-Ventas[[#This Row],[Costo]]-Ventas[[#This Row],[Desc $]]</f>
        <v>64.260000000000019</v>
      </c>
      <c r="M135" s="20">
        <f>Ventas[[#This Row],[Precio]]*Ventas[[#This Row],[Descuento]]</f>
        <v>68.849999999999994</v>
      </c>
    </row>
    <row r="136" spans="1:13" x14ac:dyDescent="0.25">
      <c r="A136" s="16">
        <v>126</v>
      </c>
      <c r="B136" s="18">
        <v>42520</v>
      </c>
      <c r="C136" s="16" t="s">
        <v>41</v>
      </c>
      <c r="D136" s="19" t="s">
        <v>22</v>
      </c>
      <c r="E136" s="19" t="s">
        <v>18</v>
      </c>
      <c r="F136" s="19" t="s">
        <v>42</v>
      </c>
      <c r="G136" s="19" t="s">
        <v>43</v>
      </c>
      <c r="H136" s="20">
        <v>1149</v>
      </c>
      <c r="I136" s="20">
        <v>896.22</v>
      </c>
      <c r="J136" s="21">
        <v>0.2</v>
      </c>
      <c r="K136" s="20">
        <f>Ventas[[#This Row],[Precio]]*$J$4</f>
        <v>183.84</v>
      </c>
      <c r="L136" s="20">
        <f>Ventas[[#This Row],[Precio]]-Ventas[[#This Row],[Costo]]-Ventas[[#This Row],[Desc $]]</f>
        <v>22.979999999999961</v>
      </c>
      <c r="M136" s="20">
        <f>Ventas[[#This Row],[Precio]]*Ventas[[#This Row],[Descuento]]</f>
        <v>229.8</v>
      </c>
    </row>
    <row r="137" spans="1:13" x14ac:dyDescent="0.25">
      <c r="A137" s="16">
        <v>127</v>
      </c>
      <c r="B137" s="18">
        <v>42424</v>
      </c>
      <c r="C137" s="16" t="s">
        <v>11</v>
      </c>
      <c r="D137" s="19" t="s">
        <v>12</v>
      </c>
      <c r="E137" s="19" t="s">
        <v>13</v>
      </c>
      <c r="F137" s="19" t="s">
        <v>14</v>
      </c>
      <c r="G137" s="19" t="s">
        <v>15</v>
      </c>
      <c r="H137" s="20">
        <v>1299</v>
      </c>
      <c r="I137" s="20">
        <v>727.44</v>
      </c>
      <c r="J137" s="21">
        <v>0.15</v>
      </c>
      <c r="K137" s="20">
        <f>Ventas[[#This Row],[Precio]]*$J$4</f>
        <v>207.84</v>
      </c>
      <c r="L137" s="20">
        <f>Ventas[[#This Row],[Precio]]-Ventas[[#This Row],[Costo]]-Ventas[[#This Row],[Desc $]]</f>
        <v>376.70999999999992</v>
      </c>
      <c r="M137" s="20">
        <f>Ventas[[#This Row],[Precio]]*Ventas[[#This Row],[Descuento]]</f>
        <v>194.85</v>
      </c>
    </row>
    <row r="138" spans="1:13" x14ac:dyDescent="0.25">
      <c r="A138" s="16">
        <v>128</v>
      </c>
      <c r="B138" s="18">
        <v>42455</v>
      </c>
      <c r="C138" s="16" t="s">
        <v>41</v>
      </c>
      <c r="D138" s="19" t="s">
        <v>22</v>
      </c>
      <c r="E138" s="19" t="s">
        <v>18</v>
      </c>
      <c r="F138" s="19" t="s">
        <v>42</v>
      </c>
      <c r="G138" s="19" t="s">
        <v>43</v>
      </c>
      <c r="H138" s="20">
        <v>1149</v>
      </c>
      <c r="I138" s="20">
        <v>896.22</v>
      </c>
      <c r="J138" s="21">
        <v>0.2</v>
      </c>
      <c r="K138" s="20">
        <f>Ventas[[#This Row],[Precio]]*$J$4</f>
        <v>183.84</v>
      </c>
      <c r="L138" s="20">
        <f>Ventas[[#This Row],[Precio]]-Ventas[[#This Row],[Costo]]-Ventas[[#This Row],[Desc $]]</f>
        <v>22.979999999999961</v>
      </c>
      <c r="M138" s="20">
        <f>Ventas[[#This Row],[Precio]]*Ventas[[#This Row],[Descuento]]</f>
        <v>229.8</v>
      </c>
    </row>
    <row r="139" spans="1:13" x14ac:dyDescent="0.25">
      <c r="A139" s="16">
        <v>129</v>
      </c>
      <c r="B139" s="18">
        <v>42545</v>
      </c>
      <c r="C139" s="16" t="s">
        <v>25</v>
      </c>
      <c r="D139" s="19" t="s">
        <v>26</v>
      </c>
      <c r="E139" s="19" t="s">
        <v>27</v>
      </c>
      <c r="F139" s="19" t="s">
        <v>28</v>
      </c>
      <c r="G139" s="19" t="s">
        <v>15</v>
      </c>
      <c r="H139" s="20">
        <v>1499</v>
      </c>
      <c r="I139" s="20">
        <v>794.47</v>
      </c>
      <c r="J139" s="21">
        <v>0</v>
      </c>
      <c r="K139" s="20">
        <f>Ventas[[#This Row],[Precio]]*$J$4</f>
        <v>239.84</v>
      </c>
      <c r="L139" s="20">
        <f>Ventas[[#This Row],[Precio]]-Ventas[[#This Row],[Costo]]-Ventas[[#This Row],[Desc $]]</f>
        <v>704.53</v>
      </c>
      <c r="M139" s="20">
        <f>Ventas[[#This Row],[Precio]]*Ventas[[#This Row],[Descuento]]</f>
        <v>0</v>
      </c>
    </row>
    <row r="140" spans="1:13" x14ac:dyDescent="0.25">
      <c r="A140" s="16">
        <v>130</v>
      </c>
      <c r="B140" s="18">
        <v>38938</v>
      </c>
      <c r="C140" s="16" t="s">
        <v>44</v>
      </c>
      <c r="D140" s="19" t="s">
        <v>26</v>
      </c>
      <c r="E140" s="19" t="s">
        <v>45</v>
      </c>
      <c r="F140" s="19" t="s">
        <v>46</v>
      </c>
      <c r="G140" s="19" t="s">
        <v>15</v>
      </c>
      <c r="H140" s="20">
        <v>699</v>
      </c>
      <c r="I140" s="20">
        <v>531.24</v>
      </c>
      <c r="J140" s="21">
        <v>0</v>
      </c>
      <c r="K140" s="20">
        <f>Ventas[[#This Row],[Precio]]*$J$4</f>
        <v>111.84</v>
      </c>
      <c r="L140" s="20">
        <f>Ventas[[#This Row],[Precio]]-Ventas[[#This Row],[Costo]]-Ventas[[#This Row],[Desc $]]</f>
        <v>167.76</v>
      </c>
      <c r="M140" s="20">
        <f>Ventas[[#This Row],[Precio]]*Ventas[[#This Row],[Descuento]]</f>
        <v>0</v>
      </c>
    </row>
    <row r="141" spans="1:13" x14ac:dyDescent="0.25">
      <c r="A141" s="16">
        <v>131</v>
      </c>
      <c r="B141" s="18">
        <v>42402</v>
      </c>
      <c r="C141" s="16" t="s">
        <v>85</v>
      </c>
      <c r="D141" s="19" t="s">
        <v>22</v>
      </c>
      <c r="E141" s="19" t="s">
        <v>86</v>
      </c>
      <c r="F141" s="19" t="s">
        <v>87</v>
      </c>
      <c r="G141" s="19" t="s">
        <v>15</v>
      </c>
      <c r="H141" s="20">
        <v>3999</v>
      </c>
      <c r="I141" s="20">
        <v>1399.6499999999999</v>
      </c>
      <c r="J141" s="21">
        <v>0.2</v>
      </c>
      <c r="K141" s="20">
        <f>Ventas[[#This Row],[Precio]]*$J$4</f>
        <v>639.84</v>
      </c>
      <c r="L141" s="20">
        <f>Ventas[[#This Row],[Precio]]-Ventas[[#This Row],[Costo]]-Ventas[[#This Row],[Desc $]]</f>
        <v>1799.5500000000002</v>
      </c>
      <c r="M141" s="20">
        <f>Ventas[[#This Row],[Precio]]*Ventas[[#This Row],[Descuento]]</f>
        <v>799.80000000000007</v>
      </c>
    </row>
    <row r="142" spans="1:13" x14ac:dyDescent="0.25">
      <c r="A142" s="16">
        <v>132</v>
      </c>
      <c r="B142" s="18">
        <v>42402</v>
      </c>
      <c r="C142" s="16" t="s">
        <v>92</v>
      </c>
      <c r="D142" s="19" t="s">
        <v>22</v>
      </c>
      <c r="E142" s="19" t="s">
        <v>86</v>
      </c>
      <c r="F142" s="19" t="s">
        <v>93</v>
      </c>
      <c r="G142" s="19" t="s">
        <v>15</v>
      </c>
      <c r="H142" s="20">
        <v>11999</v>
      </c>
      <c r="I142" s="20">
        <v>4199.6499999999996</v>
      </c>
      <c r="J142" s="21">
        <v>0.2</v>
      </c>
      <c r="K142" s="20">
        <f>Ventas[[#This Row],[Precio]]*$J$4</f>
        <v>1919.8400000000001</v>
      </c>
      <c r="L142" s="20">
        <f>Ventas[[#This Row],[Precio]]-Ventas[[#This Row],[Costo]]-Ventas[[#This Row],[Desc $]]</f>
        <v>5399.55</v>
      </c>
      <c r="M142" s="20">
        <f>Ventas[[#This Row],[Precio]]*Ventas[[#This Row],[Descuento]]</f>
        <v>2399.8000000000002</v>
      </c>
    </row>
    <row r="143" spans="1:13" x14ac:dyDescent="0.25">
      <c r="A143" s="16">
        <v>133</v>
      </c>
      <c r="B143" s="18">
        <v>42792</v>
      </c>
      <c r="C143" s="16" t="s">
        <v>53</v>
      </c>
      <c r="D143" s="19" t="s">
        <v>22</v>
      </c>
      <c r="E143" s="19" t="s">
        <v>18</v>
      </c>
      <c r="F143" s="19" t="s">
        <v>54</v>
      </c>
      <c r="G143" s="19" t="s">
        <v>33</v>
      </c>
      <c r="H143" s="20">
        <v>1299</v>
      </c>
      <c r="I143" s="20">
        <v>766.41</v>
      </c>
      <c r="J143" s="21">
        <v>0.1</v>
      </c>
      <c r="K143" s="20">
        <f>Ventas[[#This Row],[Precio]]*$J$4</f>
        <v>207.84</v>
      </c>
      <c r="L143" s="20">
        <f>Ventas[[#This Row],[Precio]]-Ventas[[#This Row],[Costo]]-Ventas[[#This Row],[Desc $]]</f>
        <v>402.69000000000005</v>
      </c>
      <c r="M143" s="20">
        <f>Ventas[[#This Row],[Precio]]*Ventas[[#This Row],[Descuento]]</f>
        <v>129.9</v>
      </c>
    </row>
    <row r="144" spans="1:13" x14ac:dyDescent="0.25">
      <c r="A144" s="16">
        <v>134</v>
      </c>
      <c r="B144" s="18">
        <v>42449</v>
      </c>
      <c r="C144" s="16" t="s">
        <v>44</v>
      </c>
      <c r="D144" s="19" t="s">
        <v>26</v>
      </c>
      <c r="E144" s="19" t="s">
        <v>45</v>
      </c>
      <c r="F144" s="19" t="s">
        <v>46</v>
      </c>
      <c r="G144" s="19" t="s">
        <v>15</v>
      </c>
      <c r="H144" s="20">
        <v>699</v>
      </c>
      <c r="I144" s="20">
        <v>531.24</v>
      </c>
      <c r="J144" s="21">
        <v>0</v>
      </c>
      <c r="K144" s="20">
        <f>Ventas[[#This Row],[Precio]]*$J$4</f>
        <v>111.84</v>
      </c>
      <c r="L144" s="20">
        <f>Ventas[[#This Row],[Precio]]-Ventas[[#This Row],[Costo]]-Ventas[[#This Row],[Desc $]]</f>
        <v>167.76</v>
      </c>
      <c r="M144" s="20">
        <f>Ventas[[#This Row],[Precio]]*Ventas[[#This Row],[Descuento]]</f>
        <v>0</v>
      </c>
    </row>
    <row r="145" spans="1:13" x14ac:dyDescent="0.25">
      <c r="A145" s="16">
        <v>135</v>
      </c>
      <c r="B145" s="18">
        <v>42520</v>
      </c>
      <c r="C145" s="16" t="s">
        <v>21</v>
      </c>
      <c r="D145" s="19" t="s">
        <v>22</v>
      </c>
      <c r="E145" s="19" t="s">
        <v>23</v>
      </c>
      <c r="F145" s="19" t="s">
        <v>24</v>
      </c>
      <c r="G145" s="19" t="s">
        <v>15</v>
      </c>
      <c r="H145" s="20">
        <v>359</v>
      </c>
      <c r="I145" s="20">
        <v>244.12</v>
      </c>
      <c r="J145" s="21">
        <v>0.2</v>
      </c>
      <c r="K145" s="20">
        <f>Ventas[[#This Row],[Precio]]*$J$4</f>
        <v>57.44</v>
      </c>
      <c r="L145" s="20">
        <f>Ventas[[#This Row],[Precio]]-Ventas[[#This Row],[Costo]]-Ventas[[#This Row],[Desc $]]</f>
        <v>43.08</v>
      </c>
      <c r="M145" s="20">
        <f>Ventas[[#This Row],[Precio]]*Ventas[[#This Row],[Descuento]]</f>
        <v>71.8</v>
      </c>
    </row>
    <row r="146" spans="1:13" x14ac:dyDescent="0.25">
      <c r="A146" s="16">
        <v>136</v>
      </c>
      <c r="B146" s="18">
        <v>42721</v>
      </c>
      <c r="C146" s="16" t="s">
        <v>41</v>
      </c>
      <c r="D146" s="19" t="s">
        <v>22</v>
      </c>
      <c r="E146" s="19" t="s">
        <v>18</v>
      </c>
      <c r="F146" s="19" t="s">
        <v>42</v>
      </c>
      <c r="G146" s="19" t="s">
        <v>43</v>
      </c>
      <c r="H146" s="20">
        <v>1149</v>
      </c>
      <c r="I146" s="20">
        <v>896.22</v>
      </c>
      <c r="J146" s="21">
        <v>0</v>
      </c>
      <c r="K146" s="20">
        <f>Ventas[[#This Row],[Precio]]*$J$4</f>
        <v>183.84</v>
      </c>
      <c r="L146" s="20">
        <f>Ventas[[#This Row],[Precio]]-Ventas[[#This Row],[Costo]]-Ventas[[#This Row],[Desc $]]</f>
        <v>252.77999999999997</v>
      </c>
      <c r="M146" s="20">
        <f>Ventas[[#This Row],[Precio]]*Ventas[[#This Row],[Descuento]]</f>
        <v>0</v>
      </c>
    </row>
    <row r="147" spans="1:13" x14ac:dyDescent="0.25">
      <c r="A147" s="16">
        <v>137</v>
      </c>
      <c r="B147" s="18">
        <v>42742</v>
      </c>
      <c r="C147" s="16" t="s">
        <v>21</v>
      </c>
      <c r="D147" s="19" t="s">
        <v>22</v>
      </c>
      <c r="E147" s="19" t="s">
        <v>23</v>
      </c>
      <c r="F147" s="19" t="s">
        <v>24</v>
      </c>
      <c r="G147" s="19" t="s">
        <v>15</v>
      </c>
      <c r="H147" s="20">
        <v>359</v>
      </c>
      <c r="I147" s="20">
        <v>244.12</v>
      </c>
      <c r="J147" s="21">
        <v>0</v>
      </c>
      <c r="K147" s="20">
        <f>Ventas[[#This Row],[Precio]]*$J$4</f>
        <v>57.44</v>
      </c>
      <c r="L147" s="20">
        <f>Ventas[[#This Row],[Precio]]-Ventas[[#This Row],[Costo]]-Ventas[[#This Row],[Desc $]]</f>
        <v>114.88</v>
      </c>
      <c r="M147" s="20">
        <f>Ventas[[#This Row],[Precio]]*Ventas[[#This Row],[Descuento]]</f>
        <v>0</v>
      </c>
    </row>
    <row r="148" spans="1:13" x14ac:dyDescent="0.25">
      <c r="A148" s="16">
        <v>138</v>
      </c>
      <c r="B148" s="18">
        <v>42520</v>
      </c>
      <c r="C148" s="16" t="s">
        <v>41</v>
      </c>
      <c r="D148" s="19" t="s">
        <v>22</v>
      </c>
      <c r="E148" s="19" t="s">
        <v>18</v>
      </c>
      <c r="F148" s="19" t="s">
        <v>42</v>
      </c>
      <c r="G148" s="19" t="s">
        <v>43</v>
      </c>
      <c r="H148" s="20">
        <v>1149</v>
      </c>
      <c r="I148" s="20">
        <v>896.22</v>
      </c>
      <c r="J148" s="21">
        <v>0.2</v>
      </c>
      <c r="K148" s="20">
        <f>Ventas[[#This Row],[Precio]]*$J$4</f>
        <v>183.84</v>
      </c>
      <c r="L148" s="20">
        <f>Ventas[[#This Row],[Precio]]-Ventas[[#This Row],[Costo]]-Ventas[[#This Row],[Desc $]]</f>
        <v>22.979999999999961</v>
      </c>
      <c r="M148" s="20">
        <f>Ventas[[#This Row],[Precio]]*Ventas[[#This Row],[Descuento]]</f>
        <v>229.8</v>
      </c>
    </row>
    <row r="149" spans="1:13" x14ac:dyDescent="0.25">
      <c r="A149" s="16">
        <v>139</v>
      </c>
      <c r="B149" s="18">
        <v>42404</v>
      </c>
      <c r="C149" s="16" t="s">
        <v>114</v>
      </c>
      <c r="D149" s="19" t="s">
        <v>22</v>
      </c>
      <c r="E149" s="19" t="s">
        <v>86</v>
      </c>
      <c r="F149" s="19" t="s">
        <v>115</v>
      </c>
      <c r="G149" s="19" t="s">
        <v>15</v>
      </c>
      <c r="H149" s="20">
        <v>7999</v>
      </c>
      <c r="I149" s="20">
        <v>5039.37</v>
      </c>
      <c r="J149" s="21">
        <v>0.15</v>
      </c>
      <c r="K149" s="20">
        <f>Ventas[[#This Row],[Precio]]*$J$4</f>
        <v>1279.8399999999999</v>
      </c>
      <c r="L149" s="20">
        <f>Ventas[[#This Row],[Precio]]-Ventas[[#This Row],[Costo]]-Ventas[[#This Row],[Desc $]]</f>
        <v>1759.7800000000002</v>
      </c>
      <c r="M149" s="20">
        <f>Ventas[[#This Row],[Precio]]*Ventas[[#This Row],[Descuento]]</f>
        <v>1199.8499999999999</v>
      </c>
    </row>
    <row r="150" spans="1:13" x14ac:dyDescent="0.25">
      <c r="A150" s="16">
        <v>140</v>
      </c>
      <c r="B150" s="18">
        <v>42710</v>
      </c>
      <c r="C150" s="16" t="s">
        <v>11</v>
      </c>
      <c r="D150" s="19" t="s">
        <v>12</v>
      </c>
      <c r="E150" s="19" t="s">
        <v>13</v>
      </c>
      <c r="F150" s="19" t="s">
        <v>14</v>
      </c>
      <c r="G150" s="19" t="s">
        <v>15</v>
      </c>
      <c r="H150" s="20">
        <v>1299</v>
      </c>
      <c r="I150" s="20">
        <v>727.44</v>
      </c>
      <c r="J150" s="21">
        <v>0</v>
      </c>
      <c r="K150" s="20">
        <f>Ventas[[#This Row],[Precio]]*$J$4</f>
        <v>207.84</v>
      </c>
      <c r="L150" s="20">
        <f>Ventas[[#This Row],[Precio]]-Ventas[[#This Row],[Costo]]-Ventas[[#This Row],[Desc $]]</f>
        <v>571.55999999999995</v>
      </c>
      <c r="M150" s="20">
        <f>Ventas[[#This Row],[Precio]]*Ventas[[#This Row],[Descuento]]</f>
        <v>0</v>
      </c>
    </row>
    <row r="151" spans="1:13" x14ac:dyDescent="0.25">
      <c r="A151" s="16">
        <v>141</v>
      </c>
      <c r="B151" s="18">
        <v>42699</v>
      </c>
      <c r="C151" s="16" t="s">
        <v>21</v>
      </c>
      <c r="D151" s="19" t="s">
        <v>22</v>
      </c>
      <c r="E151" s="19" t="s">
        <v>23</v>
      </c>
      <c r="F151" s="19" t="s">
        <v>24</v>
      </c>
      <c r="G151" s="19" t="s">
        <v>15</v>
      </c>
      <c r="H151" s="20">
        <v>359</v>
      </c>
      <c r="I151" s="20">
        <v>244.12</v>
      </c>
      <c r="J151" s="21">
        <v>0.15</v>
      </c>
      <c r="K151" s="20">
        <f>Ventas[[#This Row],[Precio]]*$J$4</f>
        <v>57.44</v>
      </c>
      <c r="L151" s="20">
        <f>Ventas[[#This Row],[Precio]]-Ventas[[#This Row],[Costo]]-Ventas[[#This Row],[Desc $]]</f>
        <v>61.029999999999994</v>
      </c>
      <c r="M151" s="20">
        <f>Ventas[[#This Row],[Precio]]*Ventas[[#This Row],[Descuento]]</f>
        <v>53.85</v>
      </c>
    </row>
    <row r="152" spans="1:13" x14ac:dyDescent="0.25">
      <c r="A152" s="16">
        <v>142</v>
      </c>
      <c r="B152" s="18">
        <v>42787</v>
      </c>
      <c r="C152" s="16" t="s">
        <v>116</v>
      </c>
      <c r="D152" s="19" t="s">
        <v>22</v>
      </c>
      <c r="E152" s="19" t="s">
        <v>86</v>
      </c>
      <c r="F152" s="19" t="s">
        <v>117</v>
      </c>
      <c r="G152" s="19" t="s">
        <v>15</v>
      </c>
      <c r="H152" s="20">
        <v>5999</v>
      </c>
      <c r="I152" s="20">
        <v>3659.39</v>
      </c>
      <c r="J152" s="21">
        <v>0.1</v>
      </c>
      <c r="K152" s="20">
        <f>Ventas[[#This Row],[Precio]]*$J$4</f>
        <v>959.84</v>
      </c>
      <c r="L152" s="20">
        <f>Ventas[[#This Row],[Precio]]-Ventas[[#This Row],[Costo]]-Ventas[[#This Row],[Desc $]]</f>
        <v>1739.71</v>
      </c>
      <c r="M152" s="20">
        <f>Ventas[[#This Row],[Precio]]*Ventas[[#This Row],[Descuento]]</f>
        <v>599.9</v>
      </c>
    </row>
    <row r="153" spans="1:13" x14ac:dyDescent="0.25">
      <c r="A153" s="16">
        <v>143</v>
      </c>
      <c r="B153" s="18">
        <v>42608</v>
      </c>
      <c r="C153" s="16" t="s">
        <v>63</v>
      </c>
      <c r="D153" s="19" t="s">
        <v>12</v>
      </c>
      <c r="E153" s="19" t="s">
        <v>35</v>
      </c>
      <c r="F153" s="19" t="s">
        <v>64</v>
      </c>
      <c r="G153" s="19" t="s">
        <v>15</v>
      </c>
      <c r="H153" s="20">
        <v>13999</v>
      </c>
      <c r="I153" s="20">
        <v>9659.31</v>
      </c>
      <c r="J153" s="21">
        <v>0</v>
      </c>
      <c r="K153" s="20">
        <f>Ventas[[#This Row],[Precio]]*$J$4</f>
        <v>2239.84</v>
      </c>
      <c r="L153" s="20">
        <f>Ventas[[#This Row],[Precio]]-Ventas[[#This Row],[Costo]]-Ventas[[#This Row],[Desc $]]</f>
        <v>4339.6900000000005</v>
      </c>
      <c r="M153" s="20">
        <f>Ventas[[#This Row],[Precio]]*Ventas[[#This Row],[Descuento]]</f>
        <v>0</v>
      </c>
    </row>
    <row r="154" spans="1:13" x14ac:dyDescent="0.25">
      <c r="A154" s="16">
        <v>144</v>
      </c>
      <c r="B154" s="18">
        <v>42737</v>
      </c>
      <c r="C154" s="16" t="s">
        <v>31</v>
      </c>
      <c r="D154" s="19" t="s">
        <v>22</v>
      </c>
      <c r="E154" s="19" t="s">
        <v>18</v>
      </c>
      <c r="F154" s="19" t="s">
        <v>32</v>
      </c>
      <c r="G154" s="19" t="s">
        <v>33</v>
      </c>
      <c r="H154" s="20">
        <v>1199</v>
      </c>
      <c r="I154" s="20">
        <v>887.26</v>
      </c>
      <c r="J154" s="21">
        <v>0</v>
      </c>
      <c r="K154" s="20">
        <f>Ventas[[#This Row],[Precio]]*$J$4</f>
        <v>191.84</v>
      </c>
      <c r="L154" s="20">
        <f>Ventas[[#This Row],[Precio]]-Ventas[[#This Row],[Costo]]-Ventas[[#This Row],[Desc $]]</f>
        <v>311.74</v>
      </c>
      <c r="M154" s="20">
        <f>Ventas[[#This Row],[Precio]]*Ventas[[#This Row],[Descuento]]</f>
        <v>0</v>
      </c>
    </row>
    <row r="155" spans="1:13" x14ac:dyDescent="0.25">
      <c r="A155" s="16">
        <v>145</v>
      </c>
      <c r="B155" s="18">
        <v>42657</v>
      </c>
      <c r="C155" s="16" t="s">
        <v>118</v>
      </c>
      <c r="D155" s="19" t="s">
        <v>22</v>
      </c>
      <c r="E155" s="19" t="s">
        <v>18</v>
      </c>
      <c r="F155" s="19" t="s">
        <v>119</v>
      </c>
      <c r="G155" s="19" t="s">
        <v>43</v>
      </c>
      <c r="H155" s="20">
        <v>1299</v>
      </c>
      <c r="I155" s="20">
        <v>597.54000000000008</v>
      </c>
      <c r="J155" s="21">
        <v>0.15</v>
      </c>
      <c r="K155" s="20">
        <f>Ventas[[#This Row],[Precio]]*$J$4</f>
        <v>207.84</v>
      </c>
      <c r="L155" s="20">
        <f>Ventas[[#This Row],[Precio]]-Ventas[[#This Row],[Costo]]-Ventas[[#This Row],[Desc $]]</f>
        <v>506.6099999999999</v>
      </c>
      <c r="M155" s="20">
        <f>Ventas[[#This Row],[Precio]]*Ventas[[#This Row],[Descuento]]</f>
        <v>194.85</v>
      </c>
    </row>
    <row r="156" spans="1:13" x14ac:dyDescent="0.25">
      <c r="A156" s="16">
        <v>146</v>
      </c>
      <c r="B156" s="18">
        <v>42800</v>
      </c>
      <c r="C156" s="16" t="s">
        <v>53</v>
      </c>
      <c r="D156" s="19" t="s">
        <v>22</v>
      </c>
      <c r="E156" s="19" t="s">
        <v>18</v>
      </c>
      <c r="F156" s="19" t="s">
        <v>54</v>
      </c>
      <c r="G156" s="19" t="s">
        <v>33</v>
      </c>
      <c r="H156" s="20">
        <v>1299</v>
      </c>
      <c r="I156" s="20">
        <v>766.41</v>
      </c>
      <c r="J156" s="21">
        <v>0</v>
      </c>
      <c r="K156" s="20">
        <f>Ventas[[#This Row],[Precio]]*$J$4</f>
        <v>207.84</v>
      </c>
      <c r="L156" s="20">
        <f>Ventas[[#This Row],[Precio]]-Ventas[[#This Row],[Costo]]-Ventas[[#This Row],[Desc $]]</f>
        <v>532.59</v>
      </c>
      <c r="M156" s="20">
        <f>Ventas[[#This Row],[Precio]]*Ventas[[#This Row],[Descuento]]</f>
        <v>0</v>
      </c>
    </row>
    <row r="157" spans="1:13" x14ac:dyDescent="0.25">
      <c r="A157" s="16">
        <v>147</v>
      </c>
      <c r="B157" s="18">
        <v>42402</v>
      </c>
      <c r="C157" s="16" t="s">
        <v>102</v>
      </c>
      <c r="D157" s="19" t="s">
        <v>22</v>
      </c>
      <c r="E157" s="19" t="s">
        <v>18</v>
      </c>
      <c r="F157" s="19" t="s">
        <v>103</v>
      </c>
      <c r="G157" s="19" t="s">
        <v>33</v>
      </c>
      <c r="H157" s="20">
        <v>899</v>
      </c>
      <c r="I157" s="20">
        <v>440.51</v>
      </c>
      <c r="J157" s="21">
        <v>0.2</v>
      </c>
      <c r="K157" s="20">
        <f>Ventas[[#This Row],[Precio]]*$J$4</f>
        <v>143.84</v>
      </c>
      <c r="L157" s="20">
        <f>Ventas[[#This Row],[Precio]]-Ventas[[#This Row],[Costo]]-Ventas[[#This Row],[Desc $]]</f>
        <v>278.69</v>
      </c>
      <c r="M157" s="20">
        <f>Ventas[[#This Row],[Precio]]*Ventas[[#This Row],[Descuento]]</f>
        <v>179.8</v>
      </c>
    </row>
    <row r="158" spans="1:13" x14ac:dyDescent="0.25">
      <c r="A158" s="16">
        <v>148</v>
      </c>
      <c r="B158" s="18">
        <v>42719</v>
      </c>
      <c r="C158" s="16" t="s">
        <v>120</v>
      </c>
      <c r="D158" s="19" t="s">
        <v>22</v>
      </c>
      <c r="E158" s="19" t="s">
        <v>23</v>
      </c>
      <c r="F158" s="19" t="s">
        <v>121</v>
      </c>
      <c r="G158" s="19" t="s">
        <v>15</v>
      </c>
      <c r="H158" s="20">
        <v>169</v>
      </c>
      <c r="I158" s="20">
        <v>130.13</v>
      </c>
      <c r="J158" s="21">
        <v>0</v>
      </c>
      <c r="K158" s="20">
        <f>Ventas[[#This Row],[Precio]]*$J$4</f>
        <v>27.04</v>
      </c>
      <c r="L158" s="20">
        <f>Ventas[[#This Row],[Precio]]-Ventas[[#This Row],[Costo]]-Ventas[[#This Row],[Desc $]]</f>
        <v>38.870000000000005</v>
      </c>
      <c r="M158" s="20">
        <f>Ventas[[#This Row],[Precio]]*Ventas[[#This Row],[Descuento]]</f>
        <v>0</v>
      </c>
    </row>
    <row r="159" spans="1:13" x14ac:dyDescent="0.25">
      <c r="A159" s="16">
        <v>149</v>
      </c>
      <c r="B159" s="18">
        <v>42438</v>
      </c>
      <c r="C159" s="16" t="s">
        <v>16</v>
      </c>
      <c r="D159" s="19" t="s">
        <v>22</v>
      </c>
      <c r="E159" s="19" t="s">
        <v>18</v>
      </c>
      <c r="F159" s="19" t="s">
        <v>19</v>
      </c>
      <c r="G159" s="19" t="s">
        <v>20</v>
      </c>
      <c r="H159" s="20">
        <v>1149</v>
      </c>
      <c r="I159" s="20">
        <v>792.81</v>
      </c>
      <c r="J159" s="21">
        <v>0.15</v>
      </c>
      <c r="K159" s="20">
        <f>Ventas[[#This Row],[Precio]]*$J$4</f>
        <v>183.84</v>
      </c>
      <c r="L159" s="20">
        <f>Ventas[[#This Row],[Precio]]-Ventas[[#This Row],[Costo]]-Ventas[[#This Row],[Desc $]]</f>
        <v>183.84000000000006</v>
      </c>
      <c r="M159" s="20">
        <f>Ventas[[#This Row],[Precio]]*Ventas[[#This Row],[Descuento]]</f>
        <v>172.35</v>
      </c>
    </row>
    <row r="160" spans="1:13" x14ac:dyDescent="0.25">
      <c r="A160" s="16">
        <v>150</v>
      </c>
      <c r="B160" s="18">
        <v>42479</v>
      </c>
      <c r="C160" s="16" t="s">
        <v>44</v>
      </c>
      <c r="D160" s="19" t="s">
        <v>26</v>
      </c>
      <c r="E160" s="19" t="s">
        <v>45</v>
      </c>
      <c r="F160" s="19" t="s">
        <v>46</v>
      </c>
      <c r="G160" s="19" t="s">
        <v>15</v>
      </c>
      <c r="H160" s="20">
        <v>699</v>
      </c>
      <c r="I160" s="20">
        <v>531.24</v>
      </c>
      <c r="J160" s="21">
        <v>0.15</v>
      </c>
      <c r="K160" s="20">
        <f>Ventas[[#This Row],[Precio]]*$J$4</f>
        <v>111.84</v>
      </c>
      <c r="L160" s="20">
        <f>Ventas[[#This Row],[Precio]]-Ventas[[#This Row],[Costo]]-Ventas[[#This Row],[Desc $]]</f>
        <v>62.91</v>
      </c>
      <c r="M160" s="20">
        <f>Ventas[[#This Row],[Precio]]*Ventas[[#This Row],[Descuento]]</f>
        <v>104.85</v>
      </c>
    </row>
    <row r="161" spans="1:13" x14ac:dyDescent="0.25">
      <c r="A161" s="16">
        <v>151</v>
      </c>
      <c r="B161" s="18">
        <v>42762</v>
      </c>
      <c r="C161" s="16" t="s">
        <v>31</v>
      </c>
      <c r="D161" s="19" t="s">
        <v>22</v>
      </c>
      <c r="E161" s="19" t="s">
        <v>18</v>
      </c>
      <c r="F161" s="19" t="s">
        <v>32</v>
      </c>
      <c r="G161" s="19" t="s">
        <v>33</v>
      </c>
      <c r="H161" s="20">
        <v>1199</v>
      </c>
      <c r="I161" s="20">
        <v>887.26</v>
      </c>
      <c r="J161" s="21">
        <v>0.15</v>
      </c>
      <c r="K161" s="20">
        <f>Ventas[[#This Row],[Precio]]*$J$4</f>
        <v>191.84</v>
      </c>
      <c r="L161" s="20">
        <f>Ventas[[#This Row],[Precio]]-Ventas[[#This Row],[Costo]]-Ventas[[#This Row],[Desc $]]</f>
        <v>131.89000000000001</v>
      </c>
      <c r="M161" s="20">
        <f>Ventas[[#This Row],[Precio]]*Ventas[[#This Row],[Descuento]]</f>
        <v>179.85</v>
      </c>
    </row>
    <row r="162" spans="1:13" x14ac:dyDescent="0.25">
      <c r="A162" s="16">
        <v>152</v>
      </c>
      <c r="B162" s="18">
        <v>42643</v>
      </c>
      <c r="C162" s="16" t="s">
        <v>61</v>
      </c>
      <c r="D162" s="19" t="s">
        <v>26</v>
      </c>
      <c r="E162" s="19" t="s">
        <v>45</v>
      </c>
      <c r="F162" s="19" t="s">
        <v>62</v>
      </c>
      <c r="G162" s="19" t="s">
        <v>15</v>
      </c>
      <c r="H162" s="20">
        <v>799</v>
      </c>
      <c r="I162" s="20">
        <v>679.15</v>
      </c>
      <c r="J162" s="21">
        <v>0.2</v>
      </c>
      <c r="K162" s="20">
        <f>Ventas[[#This Row],[Precio]]*$J$4</f>
        <v>127.84</v>
      </c>
      <c r="L162" s="20">
        <f>Ventas[[#This Row],[Precio]]-Ventas[[#This Row],[Costo]]-Ventas[[#This Row],[Desc $]]</f>
        <v>-39.949999999999989</v>
      </c>
      <c r="M162" s="20">
        <f>Ventas[[#This Row],[Precio]]*Ventas[[#This Row],[Descuento]]</f>
        <v>159.80000000000001</v>
      </c>
    </row>
    <row r="163" spans="1:13" x14ac:dyDescent="0.25">
      <c r="A163" s="16">
        <v>153</v>
      </c>
      <c r="B163" s="18">
        <v>42438</v>
      </c>
      <c r="C163" s="16" t="s">
        <v>94</v>
      </c>
      <c r="D163" s="19" t="s">
        <v>26</v>
      </c>
      <c r="E163" s="19" t="s">
        <v>45</v>
      </c>
      <c r="F163" s="19" t="s">
        <v>95</v>
      </c>
      <c r="G163" s="19" t="s">
        <v>15</v>
      </c>
      <c r="H163" s="20">
        <v>819</v>
      </c>
      <c r="I163" s="20">
        <v>319.41000000000003</v>
      </c>
      <c r="J163" s="21">
        <v>0.15</v>
      </c>
      <c r="K163" s="20">
        <f>Ventas[[#This Row],[Precio]]*$J$4</f>
        <v>131.04</v>
      </c>
      <c r="L163" s="20">
        <f>Ventas[[#This Row],[Precio]]-Ventas[[#This Row],[Costo]]-Ventas[[#This Row],[Desc $]]</f>
        <v>376.74</v>
      </c>
      <c r="M163" s="20">
        <f>Ventas[[#This Row],[Precio]]*Ventas[[#This Row],[Descuento]]</f>
        <v>122.85</v>
      </c>
    </row>
    <row r="164" spans="1:13" x14ac:dyDescent="0.25">
      <c r="A164" s="16">
        <v>154</v>
      </c>
      <c r="B164" s="18">
        <v>42520</v>
      </c>
      <c r="C164" s="16" t="s">
        <v>98</v>
      </c>
      <c r="D164" s="19" t="s">
        <v>22</v>
      </c>
      <c r="E164" s="19" t="s">
        <v>86</v>
      </c>
      <c r="F164" s="19" t="s">
        <v>99</v>
      </c>
      <c r="G164" s="19" t="s">
        <v>15</v>
      </c>
      <c r="H164" s="20">
        <v>5999</v>
      </c>
      <c r="I164" s="20">
        <v>3419.43</v>
      </c>
      <c r="J164" s="21">
        <v>0.2</v>
      </c>
      <c r="K164" s="20">
        <f>Ventas[[#This Row],[Precio]]*$J$4</f>
        <v>959.84</v>
      </c>
      <c r="L164" s="20">
        <f>Ventas[[#This Row],[Precio]]-Ventas[[#This Row],[Costo]]-Ventas[[#This Row],[Desc $]]</f>
        <v>1379.7700000000002</v>
      </c>
      <c r="M164" s="20">
        <f>Ventas[[#This Row],[Precio]]*Ventas[[#This Row],[Descuento]]</f>
        <v>1199.8</v>
      </c>
    </row>
    <row r="165" spans="1:13" x14ac:dyDescent="0.25">
      <c r="A165" s="16">
        <v>155</v>
      </c>
      <c r="B165" s="18">
        <v>42506</v>
      </c>
      <c r="C165" s="16" t="s">
        <v>76</v>
      </c>
      <c r="D165" s="19" t="s">
        <v>22</v>
      </c>
      <c r="E165" s="19" t="s">
        <v>18</v>
      </c>
      <c r="F165" s="19" t="s">
        <v>77</v>
      </c>
      <c r="G165" s="19" t="s">
        <v>78</v>
      </c>
      <c r="H165" s="20">
        <v>799</v>
      </c>
      <c r="I165" s="20">
        <v>631.21</v>
      </c>
      <c r="J165" s="21">
        <v>0.3</v>
      </c>
      <c r="K165" s="20">
        <f>Ventas[[#This Row],[Precio]]*$J$4</f>
        <v>127.84</v>
      </c>
      <c r="L165" s="20">
        <f>Ventas[[#This Row],[Precio]]-Ventas[[#This Row],[Costo]]-Ventas[[#This Row],[Desc $]]</f>
        <v>-71.910000000000025</v>
      </c>
      <c r="M165" s="20">
        <f>Ventas[[#This Row],[Precio]]*Ventas[[#This Row],[Descuento]]</f>
        <v>239.7</v>
      </c>
    </row>
    <row r="166" spans="1:13" x14ac:dyDescent="0.25">
      <c r="A166" s="16">
        <v>156</v>
      </c>
      <c r="B166" s="18">
        <v>42506</v>
      </c>
      <c r="C166" s="16" t="s">
        <v>96</v>
      </c>
      <c r="D166" s="19" t="s">
        <v>12</v>
      </c>
      <c r="E166" s="19" t="s">
        <v>35</v>
      </c>
      <c r="F166" s="19" t="s">
        <v>97</v>
      </c>
      <c r="G166" s="19" t="s">
        <v>15</v>
      </c>
      <c r="H166" s="20">
        <v>11999</v>
      </c>
      <c r="I166" s="20">
        <v>7799.35</v>
      </c>
      <c r="J166" s="21">
        <v>0.3</v>
      </c>
      <c r="K166" s="20">
        <f>Ventas[[#This Row],[Precio]]*$J$4</f>
        <v>1919.8400000000001</v>
      </c>
      <c r="L166" s="20">
        <f>Ventas[[#This Row],[Precio]]-Ventas[[#This Row],[Costo]]-Ventas[[#This Row],[Desc $]]</f>
        <v>599.94999999999982</v>
      </c>
      <c r="M166" s="20">
        <f>Ventas[[#This Row],[Precio]]*Ventas[[#This Row],[Descuento]]</f>
        <v>3599.7</v>
      </c>
    </row>
    <row r="167" spans="1:13" x14ac:dyDescent="0.25">
      <c r="A167" s="16">
        <v>157</v>
      </c>
      <c r="B167" s="18">
        <v>42471</v>
      </c>
      <c r="C167" s="16" t="s">
        <v>25</v>
      </c>
      <c r="D167" s="19" t="s">
        <v>26</v>
      </c>
      <c r="E167" s="19" t="s">
        <v>27</v>
      </c>
      <c r="F167" s="19" t="s">
        <v>28</v>
      </c>
      <c r="G167" s="19" t="s">
        <v>15</v>
      </c>
      <c r="H167" s="20">
        <v>1499</v>
      </c>
      <c r="I167" s="20">
        <v>794.47</v>
      </c>
      <c r="J167" s="21">
        <v>0</v>
      </c>
      <c r="K167" s="20">
        <f>Ventas[[#This Row],[Precio]]*$J$4</f>
        <v>239.84</v>
      </c>
      <c r="L167" s="20">
        <f>Ventas[[#This Row],[Precio]]-Ventas[[#This Row],[Costo]]-Ventas[[#This Row],[Desc $]]</f>
        <v>704.53</v>
      </c>
      <c r="M167" s="20">
        <f>Ventas[[#This Row],[Precio]]*Ventas[[#This Row],[Descuento]]</f>
        <v>0</v>
      </c>
    </row>
    <row r="168" spans="1:13" x14ac:dyDescent="0.25">
      <c r="A168" s="16">
        <v>158</v>
      </c>
      <c r="B168" s="18">
        <v>42664</v>
      </c>
      <c r="C168" s="16" t="s">
        <v>122</v>
      </c>
      <c r="D168" s="19" t="s">
        <v>22</v>
      </c>
      <c r="E168" s="19" t="s">
        <v>23</v>
      </c>
      <c r="F168" s="19" t="s">
        <v>123</v>
      </c>
      <c r="G168" s="19" t="s">
        <v>15</v>
      </c>
      <c r="H168" s="20">
        <v>999</v>
      </c>
      <c r="I168" s="20">
        <v>569.42999999999995</v>
      </c>
      <c r="J168" s="21">
        <v>0</v>
      </c>
      <c r="K168" s="20">
        <f>Ventas[[#This Row],[Precio]]*$J$4</f>
        <v>159.84</v>
      </c>
      <c r="L168" s="20">
        <f>Ventas[[#This Row],[Precio]]-Ventas[[#This Row],[Costo]]-Ventas[[#This Row],[Desc $]]</f>
        <v>429.57000000000005</v>
      </c>
      <c r="M168" s="20">
        <f>Ventas[[#This Row],[Precio]]*Ventas[[#This Row],[Descuento]]</f>
        <v>0</v>
      </c>
    </row>
    <row r="169" spans="1:13" x14ac:dyDescent="0.25">
      <c r="A169" s="16">
        <v>159</v>
      </c>
      <c r="B169" s="18">
        <v>42764</v>
      </c>
      <c r="C169" s="16" t="s">
        <v>114</v>
      </c>
      <c r="D169" s="19" t="s">
        <v>22</v>
      </c>
      <c r="E169" s="19" t="s">
        <v>86</v>
      </c>
      <c r="F169" s="19" t="s">
        <v>115</v>
      </c>
      <c r="G169" s="19" t="s">
        <v>15</v>
      </c>
      <c r="H169" s="20">
        <v>7999</v>
      </c>
      <c r="I169" s="20">
        <v>5039.37</v>
      </c>
      <c r="J169" s="21">
        <v>0</v>
      </c>
      <c r="K169" s="20">
        <f>Ventas[[#This Row],[Precio]]*$J$4</f>
        <v>1279.8399999999999</v>
      </c>
      <c r="L169" s="20">
        <f>Ventas[[#This Row],[Precio]]-Ventas[[#This Row],[Costo]]-Ventas[[#This Row],[Desc $]]</f>
        <v>2959.63</v>
      </c>
      <c r="M169" s="20">
        <f>Ventas[[#This Row],[Precio]]*Ventas[[#This Row],[Descuento]]</f>
        <v>0</v>
      </c>
    </row>
    <row r="170" spans="1:13" x14ac:dyDescent="0.25">
      <c r="A170" s="16">
        <v>160</v>
      </c>
      <c r="B170" s="18">
        <v>42402</v>
      </c>
      <c r="C170" s="16" t="s">
        <v>90</v>
      </c>
      <c r="D170" s="19" t="s">
        <v>12</v>
      </c>
      <c r="E170" s="19" t="s">
        <v>35</v>
      </c>
      <c r="F170" s="19" t="s">
        <v>91</v>
      </c>
      <c r="G170" s="19" t="s">
        <v>15</v>
      </c>
      <c r="H170" s="20">
        <v>6999</v>
      </c>
      <c r="I170" s="20">
        <v>4829.3099999999995</v>
      </c>
      <c r="J170" s="21">
        <v>0.2</v>
      </c>
      <c r="K170" s="20">
        <f>Ventas[[#This Row],[Precio]]*$J$4</f>
        <v>1119.8399999999999</v>
      </c>
      <c r="L170" s="20">
        <f>Ventas[[#This Row],[Precio]]-Ventas[[#This Row],[Costo]]-Ventas[[#This Row],[Desc $]]</f>
        <v>769.89000000000033</v>
      </c>
      <c r="M170" s="20">
        <f>Ventas[[#This Row],[Precio]]*Ventas[[#This Row],[Descuento]]</f>
        <v>1399.8000000000002</v>
      </c>
    </row>
    <row r="171" spans="1:13" x14ac:dyDescent="0.25">
      <c r="A171" s="16">
        <v>161</v>
      </c>
      <c r="B171" s="18">
        <v>42645</v>
      </c>
      <c r="C171" s="16" t="s">
        <v>122</v>
      </c>
      <c r="D171" s="19" t="s">
        <v>22</v>
      </c>
      <c r="E171" s="19" t="s">
        <v>23</v>
      </c>
      <c r="F171" s="19" t="s">
        <v>123</v>
      </c>
      <c r="G171" s="19" t="s">
        <v>15</v>
      </c>
      <c r="H171" s="20">
        <v>999</v>
      </c>
      <c r="I171" s="20">
        <v>569.42999999999995</v>
      </c>
      <c r="J171" s="21">
        <v>0</v>
      </c>
      <c r="K171" s="20">
        <f>Ventas[[#This Row],[Precio]]*$J$4</f>
        <v>159.84</v>
      </c>
      <c r="L171" s="20">
        <f>Ventas[[#This Row],[Precio]]-Ventas[[#This Row],[Costo]]-Ventas[[#This Row],[Desc $]]</f>
        <v>429.57000000000005</v>
      </c>
      <c r="M171" s="20">
        <f>Ventas[[#This Row],[Precio]]*Ventas[[#This Row],[Descuento]]</f>
        <v>0</v>
      </c>
    </row>
    <row r="172" spans="1:13" x14ac:dyDescent="0.25">
      <c r="A172" s="16">
        <v>162</v>
      </c>
      <c r="B172" s="18">
        <v>42376</v>
      </c>
      <c r="C172" s="16" t="s">
        <v>21</v>
      </c>
      <c r="D172" s="19" t="s">
        <v>22</v>
      </c>
      <c r="E172" s="19" t="s">
        <v>23</v>
      </c>
      <c r="F172" s="19" t="s">
        <v>24</v>
      </c>
      <c r="G172" s="19" t="s">
        <v>15</v>
      </c>
      <c r="H172" s="20">
        <v>359</v>
      </c>
      <c r="I172" s="20">
        <v>244.12</v>
      </c>
      <c r="J172" s="21">
        <v>0</v>
      </c>
      <c r="K172" s="20">
        <f>Ventas[[#This Row],[Precio]]*$J$4</f>
        <v>57.44</v>
      </c>
      <c r="L172" s="20">
        <f>Ventas[[#This Row],[Precio]]-Ventas[[#This Row],[Costo]]-Ventas[[#This Row],[Desc $]]</f>
        <v>114.88</v>
      </c>
      <c r="M172" s="20">
        <f>Ventas[[#This Row],[Precio]]*Ventas[[#This Row],[Descuento]]</f>
        <v>0</v>
      </c>
    </row>
    <row r="173" spans="1:13" x14ac:dyDescent="0.25">
      <c r="A173" s="16">
        <v>163</v>
      </c>
      <c r="B173" s="18">
        <v>42454</v>
      </c>
      <c r="C173" s="16" t="s">
        <v>72</v>
      </c>
      <c r="D173" s="19" t="s">
        <v>22</v>
      </c>
      <c r="E173" s="19" t="s">
        <v>18</v>
      </c>
      <c r="F173" s="19" t="s">
        <v>73</v>
      </c>
      <c r="G173" s="19" t="s">
        <v>69</v>
      </c>
      <c r="H173" s="20">
        <v>799</v>
      </c>
      <c r="I173" s="20">
        <v>535.33000000000004</v>
      </c>
      <c r="J173" s="21">
        <v>0.15</v>
      </c>
      <c r="K173" s="20">
        <f>Ventas[[#This Row],[Precio]]*$J$4</f>
        <v>127.84</v>
      </c>
      <c r="L173" s="20">
        <f>Ventas[[#This Row],[Precio]]-Ventas[[#This Row],[Costo]]-Ventas[[#This Row],[Desc $]]</f>
        <v>143.81999999999996</v>
      </c>
      <c r="M173" s="20">
        <f>Ventas[[#This Row],[Precio]]*Ventas[[#This Row],[Descuento]]</f>
        <v>119.85</v>
      </c>
    </row>
    <row r="174" spans="1:13" x14ac:dyDescent="0.25">
      <c r="A174" s="16">
        <v>164</v>
      </c>
      <c r="B174" s="18">
        <v>42424</v>
      </c>
      <c r="C174" s="16" t="s">
        <v>11</v>
      </c>
      <c r="D174" s="19" t="s">
        <v>12</v>
      </c>
      <c r="E174" s="19" t="s">
        <v>13</v>
      </c>
      <c r="F174" s="19" t="s">
        <v>14</v>
      </c>
      <c r="G174" s="19" t="s">
        <v>15</v>
      </c>
      <c r="H174" s="20">
        <v>1299</v>
      </c>
      <c r="I174" s="20">
        <v>727.44</v>
      </c>
      <c r="J174" s="21">
        <v>0.15</v>
      </c>
      <c r="K174" s="20">
        <f>Ventas[[#This Row],[Precio]]*$J$4</f>
        <v>207.84</v>
      </c>
      <c r="L174" s="20">
        <f>Ventas[[#This Row],[Precio]]-Ventas[[#This Row],[Costo]]-Ventas[[#This Row],[Desc $]]</f>
        <v>376.70999999999992</v>
      </c>
      <c r="M174" s="20">
        <f>Ventas[[#This Row],[Precio]]*Ventas[[#This Row],[Descuento]]</f>
        <v>194.85</v>
      </c>
    </row>
    <row r="175" spans="1:13" x14ac:dyDescent="0.25">
      <c r="A175" s="16">
        <v>165</v>
      </c>
      <c r="B175" s="18">
        <v>42672</v>
      </c>
      <c r="C175" s="16" t="s">
        <v>74</v>
      </c>
      <c r="D175" s="19" t="s">
        <v>12</v>
      </c>
      <c r="E175" s="19" t="s">
        <v>13</v>
      </c>
      <c r="F175" s="19" t="s">
        <v>75</v>
      </c>
      <c r="G175" s="19" t="s">
        <v>15</v>
      </c>
      <c r="H175" s="20">
        <v>2599</v>
      </c>
      <c r="I175" s="20">
        <v>1819.3</v>
      </c>
      <c r="J175" s="21">
        <v>0.15</v>
      </c>
      <c r="K175" s="20">
        <f>Ventas[[#This Row],[Precio]]*$J$4</f>
        <v>415.84000000000003</v>
      </c>
      <c r="L175" s="20">
        <f>Ventas[[#This Row],[Precio]]-Ventas[[#This Row],[Costo]]-Ventas[[#This Row],[Desc $]]</f>
        <v>389.85000000000008</v>
      </c>
      <c r="M175" s="20">
        <f>Ventas[[#This Row],[Precio]]*Ventas[[#This Row],[Descuento]]</f>
        <v>389.84999999999997</v>
      </c>
    </row>
    <row r="176" spans="1:13" x14ac:dyDescent="0.25">
      <c r="A176" s="16">
        <v>166</v>
      </c>
      <c r="B176" s="18">
        <v>42575</v>
      </c>
      <c r="C176" s="16" t="s">
        <v>59</v>
      </c>
      <c r="D176" s="19" t="s">
        <v>12</v>
      </c>
      <c r="E176" s="19" t="s">
        <v>35</v>
      </c>
      <c r="F176" s="19" t="s">
        <v>60</v>
      </c>
      <c r="G176" s="19" t="s">
        <v>15</v>
      </c>
      <c r="H176" s="20">
        <v>8999</v>
      </c>
      <c r="I176" s="20">
        <v>4499.5</v>
      </c>
      <c r="J176" s="21">
        <v>0.2</v>
      </c>
      <c r="K176" s="20">
        <f>Ventas[[#This Row],[Precio]]*$J$4</f>
        <v>1439.84</v>
      </c>
      <c r="L176" s="20">
        <f>Ventas[[#This Row],[Precio]]-Ventas[[#This Row],[Costo]]-Ventas[[#This Row],[Desc $]]</f>
        <v>2699.7</v>
      </c>
      <c r="M176" s="20">
        <f>Ventas[[#This Row],[Precio]]*Ventas[[#This Row],[Descuento]]</f>
        <v>1799.8000000000002</v>
      </c>
    </row>
    <row r="177" spans="1:13" x14ac:dyDescent="0.25">
      <c r="A177" s="16">
        <v>167</v>
      </c>
      <c r="B177" s="18">
        <v>42575</v>
      </c>
      <c r="C177" s="16" t="s">
        <v>16</v>
      </c>
      <c r="D177" s="19" t="s">
        <v>22</v>
      </c>
      <c r="E177" s="19" t="s">
        <v>18</v>
      </c>
      <c r="F177" s="19" t="s">
        <v>19</v>
      </c>
      <c r="G177" s="19" t="s">
        <v>20</v>
      </c>
      <c r="H177" s="20">
        <v>1149</v>
      </c>
      <c r="I177" s="20">
        <v>792.81</v>
      </c>
      <c r="J177" s="21">
        <v>0.2</v>
      </c>
      <c r="K177" s="20">
        <f>Ventas[[#This Row],[Precio]]*$J$4</f>
        <v>183.84</v>
      </c>
      <c r="L177" s="20">
        <f>Ventas[[#This Row],[Precio]]-Ventas[[#This Row],[Costo]]-Ventas[[#This Row],[Desc $]]</f>
        <v>126.39000000000004</v>
      </c>
      <c r="M177" s="20">
        <f>Ventas[[#This Row],[Precio]]*Ventas[[#This Row],[Descuento]]</f>
        <v>229.8</v>
      </c>
    </row>
    <row r="178" spans="1:13" x14ac:dyDescent="0.25">
      <c r="A178" s="16">
        <v>168</v>
      </c>
      <c r="B178" s="18">
        <v>42506</v>
      </c>
      <c r="C178" s="16" t="s">
        <v>79</v>
      </c>
      <c r="D178" s="19" t="s">
        <v>26</v>
      </c>
      <c r="E178" s="19" t="s">
        <v>27</v>
      </c>
      <c r="F178" s="19" t="s">
        <v>80</v>
      </c>
      <c r="G178" s="19" t="s">
        <v>15</v>
      </c>
      <c r="H178" s="20">
        <v>499</v>
      </c>
      <c r="I178" s="20">
        <v>174.64999999999998</v>
      </c>
      <c r="J178" s="21">
        <v>0.3</v>
      </c>
      <c r="K178" s="20">
        <f>Ventas[[#This Row],[Precio]]*$J$4</f>
        <v>79.84</v>
      </c>
      <c r="L178" s="20">
        <f>Ventas[[#This Row],[Precio]]-Ventas[[#This Row],[Costo]]-Ventas[[#This Row],[Desc $]]</f>
        <v>174.65000000000003</v>
      </c>
      <c r="M178" s="20">
        <f>Ventas[[#This Row],[Precio]]*Ventas[[#This Row],[Descuento]]</f>
        <v>149.69999999999999</v>
      </c>
    </row>
    <row r="179" spans="1:13" x14ac:dyDescent="0.25">
      <c r="A179" s="16">
        <v>169</v>
      </c>
      <c r="B179" s="18">
        <v>42643</v>
      </c>
      <c r="C179" s="16" t="s">
        <v>114</v>
      </c>
      <c r="D179" s="19" t="s">
        <v>22</v>
      </c>
      <c r="E179" s="19" t="s">
        <v>86</v>
      </c>
      <c r="F179" s="19" t="s">
        <v>115</v>
      </c>
      <c r="G179" s="19" t="s">
        <v>15</v>
      </c>
      <c r="H179" s="20">
        <v>7999</v>
      </c>
      <c r="I179" s="20">
        <v>5039.37</v>
      </c>
      <c r="J179" s="21">
        <v>0.2</v>
      </c>
      <c r="K179" s="20">
        <f>Ventas[[#This Row],[Precio]]*$J$4</f>
        <v>1279.8399999999999</v>
      </c>
      <c r="L179" s="20">
        <f>Ventas[[#This Row],[Precio]]-Ventas[[#This Row],[Costo]]-Ventas[[#This Row],[Desc $]]</f>
        <v>1359.83</v>
      </c>
      <c r="M179" s="20">
        <f>Ventas[[#This Row],[Precio]]*Ventas[[#This Row],[Descuento]]</f>
        <v>1599.8000000000002</v>
      </c>
    </row>
    <row r="180" spans="1:13" x14ac:dyDescent="0.25">
      <c r="A180" s="16">
        <v>170</v>
      </c>
      <c r="B180" s="18">
        <v>42438</v>
      </c>
      <c r="C180" s="16" t="s">
        <v>47</v>
      </c>
      <c r="D180" s="19" t="s">
        <v>26</v>
      </c>
      <c r="E180" s="19" t="s">
        <v>27</v>
      </c>
      <c r="F180" s="19" t="s">
        <v>48</v>
      </c>
      <c r="G180" s="19" t="s">
        <v>15</v>
      </c>
      <c r="H180" s="20">
        <v>699</v>
      </c>
      <c r="I180" s="20">
        <v>482.30999999999995</v>
      </c>
      <c r="J180" s="21">
        <v>0.15</v>
      </c>
      <c r="K180" s="20">
        <f>Ventas[[#This Row],[Precio]]*$J$4</f>
        <v>111.84</v>
      </c>
      <c r="L180" s="20">
        <f>Ventas[[#This Row],[Precio]]-Ventas[[#This Row],[Costo]]-Ventas[[#This Row],[Desc $]]</f>
        <v>111.84000000000006</v>
      </c>
      <c r="M180" s="20">
        <f>Ventas[[#This Row],[Precio]]*Ventas[[#This Row],[Descuento]]</f>
        <v>104.85</v>
      </c>
    </row>
    <row r="181" spans="1:13" x14ac:dyDescent="0.25">
      <c r="A181" s="16">
        <v>171</v>
      </c>
      <c r="B181" s="18">
        <v>42530</v>
      </c>
      <c r="C181" s="16" t="s">
        <v>25</v>
      </c>
      <c r="D181" s="19" t="s">
        <v>26</v>
      </c>
      <c r="E181" s="19" t="s">
        <v>27</v>
      </c>
      <c r="F181" s="19" t="s">
        <v>28</v>
      </c>
      <c r="G181" s="19" t="s">
        <v>15</v>
      </c>
      <c r="H181" s="20">
        <v>1499</v>
      </c>
      <c r="I181" s="20">
        <v>794.47</v>
      </c>
      <c r="J181" s="21">
        <v>0</v>
      </c>
      <c r="K181" s="20">
        <f>Ventas[[#This Row],[Precio]]*$J$4</f>
        <v>239.84</v>
      </c>
      <c r="L181" s="20">
        <f>Ventas[[#This Row],[Precio]]-Ventas[[#This Row],[Costo]]-Ventas[[#This Row],[Desc $]]</f>
        <v>704.53</v>
      </c>
      <c r="M181" s="20">
        <f>Ventas[[#This Row],[Precio]]*Ventas[[#This Row],[Descuento]]</f>
        <v>0</v>
      </c>
    </row>
    <row r="182" spans="1:13" x14ac:dyDescent="0.25">
      <c r="A182" s="16">
        <v>172</v>
      </c>
      <c r="B182" s="18">
        <v>42762</v>
      </c>
      <c r="C182" s="16" t="s">
        <v>61</v>
      </c>
      <c r="D182" s="19" t="s">
        <v>26</v>
      </c>
      <c r="E182" s="19" t="s">
        <v>45</v>
      </c>
      <c r="F182" s="19" t="s">
        <v>62</v>
      </c>
      <c r="G182" s="19" t="s">
        <v>15</v>
      </c>
      <c r="H182" s="20">
        <v>799</v>
      </c>
      <c r="I182" s="20">
        <v>679.15</v>
      </c>
      <c r="J182" s="21">
        <v>0.15</v>
      </c>
      <c r="K182" s="20">
        <f>Ventas[[#This Row],[Precio]]*$J$4</f>
        <v>127.84</v>
      </c>
      <c r="L182" s="20">
        <f>Ventas[[#This Row],[Precio]]-Ventas[[#This Row],[Costo]]-Ventas[[#This Row],[Desc $]]</f>
        <v>0</v>
      </c>
      <c r="M182" s="20">
        <f>Ventas[[#This Row],[Precio]]*Ventas[[#This Row],[Descuento]]</f>
        <v>119.85</v>
      </c>
    </row>
    <row r="183" spans="1:13" x14ac:dyDescent="0.25">
      <c r="A183" s="16">
        <v>173</v>
      </c>
      <c r="B183" s="18">
        <v>42656</v>
      </c>
      <c r="C183" s="16" t="s">
        <v>124</v>
      </c>
      <c r="D183" s="19" t="s">
        <v>22</v>
      </c>
      <c r="E183" s="19" t="s">
        <v>86</v>
      </c>
      <c r="F183" s="19" t="s">
        <v>125</v>
      </c>
      <c r="G183" s="19" t="s">
        <v>15</v>
      </c>
      <c r="H183" s="20">
        <v>11999</v>
      </c>
      <c r="I183" s="20">
        <v>6119.49</v>
      </c>
      <c r="J183" s="21">
        <v>0</v>
      </c>
      <c r="K183" s="20">
        <f>Ventas[[#This Row],[Precio]]*$J$4</f>
        <v>1919.8400000000001</v>
      </c>
      <c r="L183" s="20">
        <f>Ventas[[#This Row],[Precio]]-Ventas[[#This Row],[Costo]]-Ventas[[#This Row],[Desc $]]</f>
        <v>5879.51</v>
      </c>
      <c r="M183" s="20">
        <f>Ventas[[#This Row],[Precio]]*Ventas[[#This Row],[Descuento]]</f>
        <v>0</v>
      </c>
    </row>
    <row r="184" spans="1:13" x14ac:dyDescent="0.25">
      <c r="A184" s="16">
        <v>174</v>
      </c>
      <c r="B184" s="18">
        <v>42505</v>
      </c>
      <c r="C184" s="16" t="s">
        <v>21</v>
      </c>
      <c r="D184" s="19" t="s">
        <v>22</v>
      </c>
      <c r="E184" s="19" t="s">
        <v>23</v>
      </c>
      <c r="F184" s="19" t="s">
        <v>24</v>
      </c>
      <c r="G184" s="19" t="s">
        <v>15</v>
      </c>
      <c r="H184" s="20">
        <v>359</v>
      </c>
      <c r="I184" s="20">
        <v>244.12</v>
      </c>
      <c r="J184" s="21">
        <v>0</v>
      </c>
      <c r="K184" s="20">
        <f>Ventas[[#This Row],[Precio]]*$J$4</f>
        <v>57.44</v>
      </c>
      <c r="L184" s="20">
        <f>Ventas[[#This Row],[Precio]]-Ventas[[#This Row],[Costo]]-Ventas[[#This Row],[Desc $]]</f>
        <v>114.88</v>
      </c>
      <c r="M184" s="20">
        <f>Ventas[[#This Row],[Precio]]*Ventas[[#This Row],[Descuento]]</f>
        <v>0</v>
      </c>
    </row>
    <row r="185" spans="1:13" x14ac:dyDescent="0.25">
      <c r="A185" s="16">
        <v>175</v>
      </c>
      <c r="B185" s="18">
        <v>42524</v>
      </c>
      <c r="C185" s="16" t="s">
        <v>11</v>
      </c>
      <c r="D185" s="19" t="s">
        <v>12</v>
      </c>
      <c r="E185" s="19" t="s">
        <v>13</v>
      </c>
      <c r="F185" s="19" t="s">
        <v>14</v>
      </c>
      <c r="G185" s="19" t="s">
        <v>15</v>
      </c>
      <c r="H185" s="20">
        <v>1299</v>
      </c>
      <c r="I185" s="20">
        <v>727.44</v>
      </c>
      <c r="J185" s="21">
        <v>0</v>
      </c>
      <c r="K185" s="20">
        <f>Ventas[[#This Row],[Precio]]*$J$4</f>
        <v>207.84</v>
      </c>
      <c r="L185" s="20">
        <f>Ventas[[#This Row],[Precio]]-Ventas[[#This Row],[Costo]]-Ventas[[#This Row],[Desc $]]</f>
        <v>571.55999999999995</v>
      </c>
      <c r="M185" s="20">
        <f>Ventas[[#This Row],[Precio]]*Ventas[[#This Row],[Descuento]]</f>
        <v>0</v>
      </c>
    </row>
    <row r="186" spans="1:13" x14ac:dyDescent="0.25">
      <c r="A186" s="16">
        <v>176</v>
      </c>
      <c r="B186" s="18">
        <v>42407</v>
      </c>
      <c r="C186" s="16" t="s">
        <v>114</v>
      </c>
      <c r="D186" s="19" t="s">
        <v>17</v>
      </c>
      <c r="E186" s="19" t="s">
        <v>86</v>
      </c>
      <c r="F186" s="19" t="s">
        <v>115</v>
      </c>
      <c r="G186" s="19" t="s">
        <v>15</v>
      </c>
      <c r="H186" s="20">
        <v>7999</v>
      </c>
      <c r="I186" s="20">
        <v>5039.37</v>
      </c>
      <c r="J186" s="21">
        <v>0</v>
      </c>
      <c r="K186" s="20">
        <f>Ventas[[#This Row],[Precio]]*$J$4</f>
        <v>1279.8399999999999</v>
      </c>
      <c r="L186" s="20">
        <f>Ventas[[#This Row],[Precio]]-Ventas[[#This Row],[Costo]]-Ventas[[#This Row],[Desc $]]</f>
        <v>2959.63</v>
      </c>
      <c r="M186" s="20">
        <f>Ventas[[#This Row],[Precio]]*Ventas[[#This Row],[Descuento]]</f>
        <v>0</v>
      </c>
    </row>
    <row r="187" spans="1:13" x14ac:dyDescent="0.25">
      <c r="A187" s="16">
        <v>177</v>
      </c>
      <c r="B187" s="18">
        <v>42645</v>
      </c>
      <c r="C187" s="16" t="s">
        <v>16</v>
      </c>
      <c r="D187" s="19" t="s">
        <v>22</v>
      </c>
      <c r="E187" s="19" t="s">
        <v>18</v>
      </c>
      <c r="F187" s="19" t="s">
        <v>19</v>
      </c>
      <c r="G187" s="19" t="s">
        <v>20</v>
      </c>
      <c r="H187" s="20">
        <v>1149</v>
      </c>
      <c r="I187" s="20">
        <v>792.81</v>
      </c>
      <c r="J187" s="21">
        <v>0</v>
      </c>
      <c r="K187" s="20">
        <f>Ventas[[#This Row],[Precio]]*$J$4</f>
        <v>183.84</v>
      </c>
      <c r="L187" s="20">
        <f>Ventas[[#This Row],[Precio]]-Ventas[[#This Row],[Costo]]-Ventas[[#This Row],[Desc $]]</f>
        <v>356.19000000000005</v>
      </c>
      <c r="M187" s="20">
        <f>Ventas[[#This Row],[Precio]]*Ventas[[#This Row],[Descuento]]</f>
        <v>0</v>
      </c>
    </row>
    <row r="188" spans="1:13" x14ac:dyDescent="0.25">
      <c r="A188" s="16">
        <v>178</v>
      </c>
      <c r="B188" s="18">
        <v>42438</v>
      </c>
      <c r="C188" s="16" t="s">
        <v>108</v>
      </c>
      <c r="D188" s="19" t="s">
        <v>22</v>
      </c>
      <c r="E188" s="19" t="s">
        <v>23</v>
      </c>
      <c r="F188" s="19" t="s">
        <v>109</v>
      </c>
      <c r="G188" s="19" t="s">
        <v>15</v>
      </c>
      <c r="H188" s="20">
        <v>1899</v>
      </c>
      <c r="I188" s="20">
        <v>1177.3799999999999</v>
      </c>
      <c r="J188" s="21">
        <v>0.15</v>
      </c>
      <c r="K188" s="20">
        <f>Ventas[[#This Row],[Precio]]*$J$4</f>
        <v>303.84000000000003</v>
      </c>
      <c r="L188" s="20">
        <f>Ventas[[#This Row],[Precio]]-Ventas[[#This Row],[Costo]]-Ventas[[#This Row],[Desc $]]</f>
        <v>436.77000000000015</v>
      </c>
      <c r="M188" s="20">
        <f>Ventas[[#This Row],[Precio]]*Ventas[[#This Row],[Descuento]]</f>
        <v>284.84999999999997</v>
      </c>
    </row>
    <row r="189" spans="1:13" x14ac:dyDescent="0.25">
      <c r="A189" s="16">
        <v>179</v>
      </c>
      <c r="B189" s="18">
        <v>42657</v>
      </c>
      <c r="C189" s="16" t="s">
        <v>126</v>
      </c>
      <c r="D189" s="19" t="s">
        <v>26</v>
      </c>
      <c r="E189" s="19" t="s">
        <v>27</v>
      </c>
      <c r="F189" s="19" t="s">
        <v>127</v>
      </c>
      <c r="G189" s="19" t="s">
        <v>15</v>
      </c>
      <c r="H189" s="20">
        <v>299</v>
      </c>
      <c r="I189" s="20">
        <v>179.4</v>
      </c>
      <c r="J189" s="21">
        <v>0.15</v>
      </c>
      <c r="K189" s="20">
        <f>Ventas[[#This Row],[Precio]]*$J$4</f>
        <v>47.84</v>
      </c>
      <c r="L189" s="20">
        <f>Ventas[[#This Row],[Precio]]-Ventas[[#This Row],[Costo]]-Ventas[[#This Row],[Desc $]]</f>
        <v>74.75</v>
      </c>
      <c r="M189" s="20">
        <f>Ventas[[#This Row],[Precio]]*Ventas[[#This Row],[Descuento]]</f>
        <v>44.85</v>
      </c>
    </row>
    <row r="190" spans="1:13" x14ac:dyDescent="0.25">
      <c r="A190" s="16">
        <v>180</v>
      </c>
      <c r="B190" s="18">
        <v>42782</v>
      </c>
      <c r="C190" s="16" t="s">
        <v>51</v>
      </c>
      <c r="D190" s="19" t="s">
        <v>22</v>
      </c>
      <c r="E190" s="19" t="s">
        <v>23</v>
      </c>
      <c r="F190" s="19" t="s">
        <v>52</v>
      </c>
      <c r="G190" s="19" t="s">
        <v>15</v>
      </c>
      <c r="H190" s="20">
        <v>599</v>
      </c>
      <c r="I190" s="20">
        <v>455.24</v>
      </c>
      <c r="J190" s="21">
        <v>0</v>
      </c>
      <c r="K190" s="20">
        <f>Ventas[[#This Row],[Precio]]*$J$4</f>
        <v>95.84</v>
      </c>
      <c r="L190" s="20">
        <f>Ventas[[#This Row],[Precio]]-Ventas[[#This Row],[Costo]]-Ventas[[#This Row],[Desc $]]</f>
        <v>143.76</v>
      </c>
      <c r="M190" s="20">
        <f>Ventas[[#This Row],[Precio]]*Ventas[[#This Row],[Descuento]]</f>
        <v>0</v>
      </c>
    </row>
    <row r="191" spans="1:13" x14ac:dyDescent="0.25">
      <c r="A191" s="16">
        <v>181</v>
      </c>
      <c r="B191" s="18">
        <v>42497</v>
      </c>
      <c r="C191" s="16" t="s">
        <v>11</v>
      </c>
      <c r="D191" s="19" t="s">
        <v>12</v>
      </c>
      <c r="E191" s="19" t="s">
        <v>13</v>
      </c>
      <c r="F191" s="19" t="s">
        <v>14</v>
      </c>
      <c r="G191" s="19" t="s">
        <v>15</v>
      </c>
      <c r="H191" s="20">
        <v>1299</v>
      </c>
      <c r="I191" s="20">
        <v>727.44</v>
      </c>
      <c r="J191" s="21">
        <v>0</v>
      </c>
      <c r="K191" s="20">
        <f>Ventas[[#This Row],[Precio]]*$J$4</f>
        <v>207.84</v>
      </c>
      <c r="L191" s="20">
        <f>Ventas[[#This Row],[Precio]]-Ventas[[#This Row],[Costo]]-Ventas[[#This Row],[Desc $]]</f>
        <v>571.55999999999995</v>
      </c>
      <c r="M191" s="20">
        <f>Ventas[[#This Row],[Precio]]*Ventas[[#This Row],[Descuento]]</f>
        <v>0</v>
      </c>
    </row>
    <row r="192" spans="1:13" x14ac:dyDescent="0.25">
      <c r="A192" s="16">
        <v>182</v>
      </c>
      <c r="B192" s="18">
        <v>42520</v>
      </c>
      <c r="C192" s="16" t="s">
        <v>11</v>
      </c>
      <c r="D192" s="19" t="s">
        <v>12</v>
      </c>
      <c r="E192" s="19" t="s">
        <v>13</v>
      </c>
      <c r="F192" s="19" t="s">
        <v>14</v>
      </c>
      <c r="G192" s="19" t="s">
        <v>15</v>
      </c>
      <c r="H192" s="20">
        <v>1299</v>
      </c>
      <c r="I192" s="20">
        <v>727.44</v>
      </c>
      <c r="J192" s="21">
        <v>0.2</v>
      </c>
      <c r="K192" s="20">
        <f>Ventas[[#This Row],[Precio]]*$J$4</f>
        <v>207.84</v>
      </c>
      <c r="L192" s="20">
        <f>Ventas[[#This Row],[Precio]]-Ventas[[#This Row],[Costo]]-Ventas[[#This Row],[Desc $]]</f>
        <v>311.75999999999993</v>
      </c>
      <c r="M192" s="20">
        <f>Ventas[[#This Row],[Precio]]*Ventas[[#This Row],[Descuento]]</f>
        <v>259.8</v>
      </c>
    </row>
    <row r="193" spans="1:13" x14ac:dyDescent="0.25">
      <c r="A193" s="16">
        <v>183</v>
      </c>
      <c r="B193" s="18">
        <v>42404</v>
      </c>
      <c r="C193" s="16" t="s">
        <v>21</v>
      </c>
      <c r="D193" s="19" t="s">
        <v>22</v>
      </c>
      <c r="E193" s="19" t="s">
        <v>23</v>
      </c>
      <c r="F193" s="19" t="s">
        <v>24</v>
      </c>
      <c r="G193" s="19" t="s">
        <v>15</v>
      </c>
      <c r="H193" s="20">
        <v>359</v>
      </c>
      <c r="I193" s="20">
        <v>244.12</v>
      </c>
      <c r="J193" s="21">
        <v>0.15</v>
      </c>
      <c r="K193" s="20">
        <f>Ventas[[#This Row],[Precio]]*$J$4</f>
        <v>57.44</v>
      </c>
      <c r="L193" s="20">
        <f>Ventas[[#This Row],[Precio]]-Ventas[[#This Row],[Costo]]-Ventas[[#This Row],[Desc $]]</f>
        <v>61.029999999999994</v>
      </c>
      <c r="M193" s="20">
        <f>Ventas[[#This Row],[Precio]]*Ventas[[#This Row],[Descuento]]</f>
        <v>53.85</v>
      </c>
    </row>
    <row r="194" spans="1:13" x14ac:dyDescent="0.25">
      <c r="A194" s="16">
        <v>184</v>
      </c>
      <c r="B194" s="18">
        <v>42518</v>
      </c>
      <c r="C194" s="16" t="s">
        <v>11</v>
      </c>
      <c r="D194" s="19" t="s">
        <v>12</v>
      </c>
      <c r="E194" s="19" t="s">
        <v>13</v>
      </c>
      <c r="F194" s="19" t="s">
        <v>14</v>
      </c>
      <c r="G194" s="19" t="s">
        <v>15</v>
      </c>
      <c r="H194" s="20">
        <v>1299</v>
      </c>
      <c r="I194" s="20">
        <v>727.44</v>
      </c>
      <c r="J194" s="21">
        <v>0</v>
      </c>
      <c r="K194" s="20">
        <f>Ventas[[#This Row],[Precio]]*$J$4</f>
        <v>207.84</v>
      </c>
      <c r="L194" s="20">
        <f>Ventas[[#This Row],[Precio]]-Ventas[[#This Row],[Costo]]-Ventas[[#This Row],[Desc $]]</f>
        <v>571.55999999999995</v>
      </c>
      <c r="M194" s="20">
        <f>Ventas[[#This Row],[Precio]]*Ventas[[#This Row],[Descuento]]</f>
        <v>0</v>
      </c>
    </row>
    <row r="195" spans="1:13" x14ac:dyDescent="0.25">
      <c r="A195" s="16">
        <v>185</v>
      </c>
      <c r="B195" s="18">
        <v>42391</v>
      </c>
      <c r="C195" s="16" t="s">
        <v>31</v>
      </c>
      <c r="D195" s="19" t="s">
        <v>22</v>
      </c>
      <c r="E195" s="19" t="s">
        <v>18</v>
      </c>
      <c r="F195" s="19" t="s">
        <v>32</v>
      </c>
      <c r="G195" s="19" t="s">
        <v>33</v>
      </c>
      <c r="H195" s="20">
        <v>1199</v>
      </c>
      <c r="I195" s="20">
        <v>887.26</v>
      </c>
      <c r="J195" s="21">
        <v>0</v>
      </c>
      <c r="K195" s="20">
        <f>Ventas[[#This Row],[Precio]]*$J$4</f>
        <v>191.84</v>
      </c>
      <c r="L195" s="20">
        <f>Ventas[[#This Row],[Precio]]-Ventas[[#This Row],[Costo]]-Ventas[[#This Row],[Desc $]]</f>
        <v>311.74</v>
      </c>
      <c r="M195" s="20">
        <f>Ventas[[#This Row],[Precio]]*Ventas[[#This Row],[Descuento]]</f>
        <v>0</v>
      </c>
    </row>
    <row r="196" spans="1:13" x14ac:dyDescent="0.25">
      <c r="A196" s="16">
        <v>186</v>
      </c>
      <c r="B196" s="18">
        <v>42424</v>
      </c>
      <c r="C196" s="16" t="s">
        <v>63</v>
      </c>
      <c r="D196" s="19" t="s">
        <v>12</v>
      </c>
      <c r="E196" s="19" t="s">
        <v>35</v>
      </c>
      <c r="F196" s="19" t="s">
        <v>64</v>
      </c>
      <c r="G196" s="19" t="s">
        <v>15</v>
      </c>
      <c r="H196" s="20">
        <v>13999</v>
      </c>
      <c r="I196" s="20">
        <v>9659.31</v>
      </c>
      <c r="J196" s="21">
        <v>0.15</v>
      </c>
      <c r="K196" s="20">
        <f>Ventas[[#This Row],[Precio]]*$J$4</f>
        <v>2239.84</v>
      </c>
      <c r="L196" s="20">
        <f>Ventas[[#This Row],[Precio]]-Ventas[[#This Row],[Costo]]-Ventas[[#This Row],[Desc $]]</f>
        <v>2239.8400000000006</v>
      </c>
      <c r="M196" s="20">
        <f>Ventas[[#This Row],[Precio]]*Ventas[[#This Row],[Descuento]]</f>
        <v>2099.85</v>
      </c>
    </row>
    <row r="197" spans="1:13" x14ac:dyDescent="0.25">
      <c r="A197" s="16">
        <v>187</v>
      </c>
      <c r="B197" s="18">
        <v>42506</v>
      </c>
      <c r="C197" s="16" t="s">
        <v>72</v>
      </c>
      <c r="D197" s="19" t="s">
        <v>22</v>
      </c>
      <c r="E197" s="19" t="s">
        <v>18</v>
      </c>
      <c r="F197" s="19" t="s">
        <v>73</v>
      </c>
      <c r="G197" s="19" t="s">
        <v>69</v>
      </c>
      <c r="H197" s="20">
        <v>799</v>
      </c>
      <c r="I197" s="20">
        <v>535.33000000000004</v>
      </c>
      <c r="J197" s="21">
        <v>0.3</v>
      </c>
      <c r="K197" s="20">
        <f>Ventas[[#This Row],[Precio]]*$J$4</f>
        <v>127.84</v>
      </c>
      <c r="L197" s="20">
        <f>Ventas[[#This Row],[Precio]]-Ventas[[#This Row],[Costo]]-Ventas[[#This Row],[Desc $]]</f>
        <v>23.96999999999997</v>
      </c>
      <c r="M197" s="20">
        <f>Ventas[[#This Row],[Precio]]*Ventas[[#This Row],[Descuento]]</f>
        <v>239.7</v>
      </c>
    </row>
    <row r="198" spans="1:13" x14ac:dyDescent="0.25">
      <c r="A198" s="16">
        <v>188</v>
      </c>
      <c r="B198" s="18">
        <v>42741</v>
      </c>
      <c r="C198" s="16" t="s">
        <v>128</v>
      </c>
      <c r="D198" s="19" t="s">
        <v>26</v>
      </c>
      <c r="E198" s="19" t="s">
        <v>45</v>
      </c>
      <c r="F198" s="19" t="s">
        <v>129</v>
      </c>
      <c r="G198" s="19" t="s">
        <v>15</v>
      </c>
      <c r="H198" s="20">
        <v>399</v>
      </c>
      <c r="I198" s="20">
        <v>323.19</v>
      </c>
      <c r="J198" s="21">
        <v>0</v>
      </c>
      <c r="K198" s="20">
        <f>Ventas[[#This Row],[Precio]]*$J$4</f>
        <v>63.84</v>
      </c>
      <c r="L198" s="20">
        <f>Ventas[[#This Row],[Precio]]-Ventas[[#This Row],[Costo]]-Ventas[[#This Row],[Desc $]]</f>
        <v>75.81</v>
      </c>
      <c r="M198" s="20">
        <f>Ventas[[#This Row],[Precio]]*Ventas[[#This Row],[Descuento]]</f>
        <v>0</v>
      </c>
    </row>
    <row r="199" spans="1:13" x14ac:dyDescent="0.25">
      <c r="A199" s="16">
        <v>189</v>
      </c>
      <c r="B199" s="18">
        <v>42455</v>
      </c>
      <c r="C199" s="16" t="s">
        <v>63</v>
      </c>
      <c r="D199" s="19" t="s">
        <v>12</v>
      </c>
      <c r="E199" s="19" t="s">
        <v>35</v>
      </c>
      <c r="F199" s="19" t="s">
        <v>64</v>
      </c>
      <c r="G199" s="19" t="s">
        <v>15</v>
      </c>
      <c r="H199" s="20">
        <v>13999</v>
      </c>
      <c r="I199" s="20">
        <v>9659.31</v>
      </c>
      <c r="J199" s="21">
        <v>0.2</v>
      </c>
      <c r="K199" s="20">
        <f>Ventas[[#This Row],[Precio]]*$J$4</f>
        <v>2239.84</v>
      </c>
      <c r="L199" s="20">
        <f>Ventas[[#This Row],[Precio]]-Ventas[[#This Row],[Costo]]-Ventas[[#This Row],[Desc $]]</f>
        <v>1539.8900000000003</v>
      </c>
      <c r="M199" s="20">
        <f>Ventas[[#This Row],[Precio]]*Ventas[[#This Row],[Descuento]]</f>
        <v>2799.8</v>
      </c>
    </row>
    <row r="200" spans="1:13" x14ac:dyDescent="0.25">
      <c r="A200" s="16">
        <v>190</v>
      </c>
      <c r="B200" s="18">
        <v>42643</v>
      </c>
      <c r="C200" s="16" t="s">
        <v>130</v>
      </c>
      <c r="D200" s="19" t="s">
        <v>12</v>
      </c>
      <c r="E200" s="19" t="s">
        <v>13</v>
      </c>
      <c r="F200" s="19" t="s">
        <v>131</v>
      </c>
      <c r="G200" s="19" t="s">
        <v>15</v>
      </c>
      <c r="H200" s="20">
        <v>999</v>
      </c>
      <c r="I200" s="20">
        <v>569.42999999999995</v>
      </c>
      <c r="J200" s="21">
        <v>0.2</v>
      </c>
      <c r="K200" s="20">
        <f>Ventas[[#This Row],[Precio]]*$J$4</f>
        <v>159.84</v>
      </c>
      <c r="L200" s="20">
        <f>Ventas[[#This Row],[Precio]]-Ventas[[#This Row],[Costo]]-Ventas[[#This Row],[Desc $]]</f>
        <v>229.77000000000004</v>
      </c>
      <c r="M200" s="20">
        <f>Ventas[[#This Row],[Precio]]*Ventas[[#This Row],[Descuento]]</f>
        <v>199.8</v>
      </c>
    </row>
    <row r="201" spans="1:13" x14ac:dyDescent="0.25">
      <c r="A201" s="16">
        <v>191</v>
      </c>
      <c r="B201" s="18">
        <v>42388</v>
      </c>
      <c r="C201" s="16" t="s">
        <v>102</v>
      </c>
      <c r="D201" s="19" t="s">
        <v>22</v>
      </c>
      <c r="E201" s="19" t="s">
        <v>18</v>
      </c>
      <c r="F201" s="19" t="s">
        <v>103</v>
      </c>
      <c r="G201" s="19" t="s">
        <v>33</v>
      </c>
      <c r="H201" s="20">
        <v>899</v>
      </c>
      <c r="I201" s="20">
        <v>440.51</v>
      </c>
      <c r="J201" s="21">
        <v>0.15</v>
      </c>
      <c r="K201" s="20">
        <f>Ventas[[#This Row],[Precio]]*$J$4</f>
        <v>143.84</v>
      </c>
      <c r="L201" s="20">
        <f>Ventas[[#This Row],[Precio]]-Ventas[[#This Row],[Costo]]-Ventas[[#This Row],[Desc $]]</f>
        <v>323.64</v>
      </c>
      <c r="M201" s="20">
        <f>Ventas[[#This Row],[Precio]]*Ventas[[#This Row],[Descuento]]</f>
        <v>134.85</v>
      </c>
    </row>
    <row r="202" spans="1:13" x14ac:dyDescent="0.25">
      <c r="A202" s="16">
        <v>192</v>
      </c>
      <c r="B202" s="18">
        <v>42643</v>
      </c>
      <c r="C202" s="16" t="s">
        <v>132</v>
      </c>
      <c r="D202" s="19" t="s">
        <v>26</v>
      </c>
      <c r="E202" s="19" t="s">
        <v>45</v>
      </c>
      <c r="F202" s="19" t="s">
        <v>133</v>
      </c>
      <c r="G202" s="19" t="s">
        <v>15</v>
      </c>
      <c r="H202" s="20">
        <v>299</v>
      </c>
      <c r="I202" s="20">
        <v>248.17</v>
      </c>
      <c r="J202" s="21">
        <v>0.2</v>
      </c>
      <c r="K202" s="20">
        <f>Ventas[[#This Row],[Precio]]*$J$4</f>
        <v>47.84</v>
      </c>
      <c r="L202" s="20">
        <f>Ventas[[#This Row],[Precio]]-Ventas[[#This Row],[Costo]]-Ventas[[#This Row],[Desc $]]</f>
        <v>-8.9699999999999918</v>
      </c>
      <c r="M202" s="20">
        <f>Ventas[[#This Row],[Precio]]*Ventas[[#This Row],[Descuento]]</f>
        <v>59.800000000000004</v>
      </c>
    </row>
    <row r="203" spans="1:13" x14ac:dyDescent="0.25">
      <c r="A203" s="16">
        <v>193</v>
      </c>
      <c r="B203" s="18">
        <v>42575</v>
      </c>
      <c r="C203" s="16" t="s">
        <v>63</v>
      </c>
      <c r="D203" s="19" t="s">
        <v>12</v>
      </c>
      <c r="E203" s="19" t="s">
        <v>35</v>
      </c>
      <c r="F203" s="19" t="s">
        <v>64</v>
      </c>
      <c r="G203" s="19" t="s">
        <v>15</v>
      </c>
      <c r="H203" s="20">
        <v>13999</v>
      </c>
      <c r="I203" s="20">
        <v>9659.31</v>
      </c>
      <c r="J203" s="21">
        <v>0.2</v>
      </c>
      <c r="K203" s="20">
        <f>Ventas[[#This Row],[Precio]]*$J$4</f>
        <v>2239.84</v>
      </c>
      <c r="L203" s="20">
        <f>Ventas[[#This Row],[Precio]]-Ventas[[#This Row],[Costo]]-Ventas[[#This Row],[Desc $]]</f>
        <v>1539.8900000000003</v>
      </c>
      <c r="M203" s="20">
        <f>Ventas[[#This Row],[Precio]]*Ventas[[#This Row],[Descuento]]</f>
        <v>2799.8</v>
      </c>
    </row>
    <row r="204" spans="1:13" x14ac:dyDescent="0.25">
      <c r="A204" s="16">
        <v>194</v>
      </c>
      <c r="B204" s="18">
        <v>42631</v>
      </c>
      <c r="C204" s="16" t="s">
        <v>63</v>
      </c>
      <c r="D204" s="19" t="s">
        <v>12</v>
      </c>
      <c r="E204" s="19" t="s">
        <v>35</v>
      </c>
      <c r="F204" s="19" t="s">
        <v>64</v>
      </c>
      <c r="G204" s="19" t="s">
        <v>15</v>
      </c>
      <c r="H204" s="20">
        <v>13999</v>
      </c>
      <c r="I204" s="20">
        <v>9659.31</v>
      </c>
      <c r="J204" s="21">
        <v>0.1</v>
      </c>
      <c r="K204" s="20">
        <f>Ventas[[#This Row],[Precio]]*$J$4</f>
        <v>2239.84</v>
      </c>
      <c r="L204" s="20">
        <f>Ventas[[#This Row],[Precio]]-Ventas[[#This Row],[Costo]]-Ventas[[#This Row],[Desc $]]</f>
        <v>2939.7900000000004</v>
      </c>
      <c r="M204" s="20">
        <f>Ventas[[#This Row],[Precio]]*Ventas[[#This Row],[Descuento]]</f>
        <v>1399.9</v>
      </c>
    </row>
    <row r="205" spans="1:13" x14ac:dyDescent="0.25">
      <c r="A205" s="16">
        <v>195</v>
      </c>
      <c r="B205" s="18">
        <v>42525</v>
      </c>
      <c r="C205" s="16" t="s">
        <v>25</v>
      </c>
      <c r="D205" s="19" t="s">
        <v>26</v>
      </c>
      <c r="E205" s="19" t="s">
        <v>27</v>
      </c>
      <c r="F205" s="19" t="s">
        <v>28</v>
      </c>
      <c r="G205" s="19" t="s">
        <v>15</v>
      </c>
      <c r="H205" s="20">
        <v>1499</v>
      </c>
      <c r="I205" s="20">
        <v>794.47</v>
      </c>
      <c r="J205" s="21">
        <v>0</v>
      </c>
      <c r="K205" s="20">
        <f>Ventas[[#This Row],[Precio]]*$J$4</f>
        <v>239.84</v>
      </c>
      <c r="L205" s="20">
        <f>Ventas[[#This Row],[Precio]]-Ventas[[#This Row],[Costo]]-Ventas[[#This Row],[Desc $]]</f>
        <v>704.53</v>
      </c>
      <c r="M205" s="20">
        <f>Ventas[[#This Row],[Precio]]*Ventas[[#This Row],[Descuento]]</f>
        <v>0</v>
      </c>
    </row>
    <row r="206" spans="1:13" x14ac:dyDescent="0.25">
      <c r="A206" s="16">
        <v>196</v>
      </c>
      <c r="B206" s="18">
        <v>39535</v>
      </c>
      <c r="C206" s="16" t="s">
        <v>114</v>
      </c>
      <c r="D206" s="19" t="s">
        <v>22</v>
      </c>
      <c r="E206" s="19" t="s">
        <v>86</v>
      </c>
      <c r="F206" s="19" t="s">
        <v>115</v>
      </c>
      <c r="G206" s="19" t="s">
        <v>15</v>
      </c>
      <c r="H206" s="20">
        <v>7999</v>
      </c>
      <c r="I206" s="20">
        <v>5039.37</v>
      </c>
      <c r="J206" s="21">
        <v>0</v>
      </c>
      <c r="K206" s="20">
        <f>Ventas[[#This Row],[Precio]]*$J$4</f>
        <v>1279.8399999999999</v>
      </c>
      <c r="L206" s="20">
        <f>Ventas[[#This Row],[Precio]]-Ventas[[#This Row],[Costo]]-Ventas[[#This Row],[Desc $]]</f>
        <v>2959.63</v>
      </c>
      <c r="M206" s="20">
        <f>Ventas[[#This Row],[Precio]]*Ventas[[#This Row],[Descuento]]</f>
        <v>0</v>
      </c>
    </row>
    <row r="207" spans="1:13" x14ac:dyDescent="0.25">
      <c r="A207" s="16">
        <v>197</v>
      </c>
      <c r="B207" s="18">
        <v>42402</v>
      </c>
      <c r="C207" s="16" t="s">
        <v>134</v>
      </c>
      <c r="D207" s="19" t="s">
        <v>22</v>
      </c>
      <c r="E207" s="19" t="s">
        <v>18</v>
      </c>
      <c r="F207" s="19" t="s">
        <v>135</v>
      </c>
      <c r="G207" s="19" t="s">
        <v>33</v>
      </c>
      <c r="H207" s="20">
        <v>409</v>
      </c>
      <c r="I207" s="20">
        <v>237.21999999999997</v>
      </c>
      <c r="J207" s="21">
        <v>0.2</v>
      </c>
      <c r="K207" s="20">
        <f>Ventas[[#This Row],[Precio]]*$J$4</f>
        <v>65.44</v>
      </c>
      <c r="L207" s="20">
        <f>Ventas[[#This Row],[Precio]]-Ventas[[#This Row],[Costo]]-Ventas[[#This Row],[Desc $]]</f>
        <v>89.980000000000018</v>
      </c>
      <c r="M207" s="20">
        <f>Ventas[[#This Row],[Precio]]*Ventas[[#This Row],[Descuento]]</f>
        <v>81.800000000000011</v>
      </c>
    </row>
    <row r="208" spans="1:13" x14ac:dyDescent="0.25">
      <c r="A208" s="16">
        <v>198</v>
      </c>
      <c r="B208" s="18">
        <v>42455</v>
      </c>
      <c r="C208" s="16" t="s">
        <v>136</v>
      </c>
      <c r="D208" s="19" t="s">
        <v>12</v>
      </c>
      <c r="E208" s="19" t="s">
        <v>35</v>
      </c>
      <c r="F208" s="19" t="s">
        <v>137</v>
      </c>
      <c r="G208" s="19" t="s">
        <v>15</v>
      </c>
      <c r="H208" s="20">
        <v>7599</v>
      </c>
      <c r="I208" s="20">
        <v>2735.64</v>
      </c>
      <c r="J208" s="21">
        <v>0.2</v>
      </c>
      <c r="K208" s="20">
        <f>Ventas[[#This Row],[Precio]]*$J$4</f>
        <v>1215.8399999999999</v>
      </c>
      <c r="L208" s="20">
        <f>Ventas[[#This Row],[Precio]]-Ventas[[#This Row],[Costo]]-Ventas[[#This Row],[Desc $]]</f>
        <v>3343.5600000000004</v>
      </c>
      <c r="M208" s="20">
        <f>Ventas[[#This Row],[Precio]]*Ventas[[#This Row],[Descuento]]</f>
        <v>1519.8000000000002</v>
      </c>
    </row>
    <row r="209" spans="1:13" x14ac:dyDescent="0.25">
      <c r="A209" s="16">
        <v>199</v>
      </c>
      <c r="B209" s="18">
        <v>42506</v>
      </c>
      <c r="C209" s="16" t="s">
        <v>51</v>
      </c>
      <c r="D209" s="19" t="s">
        <v>22</v>
      </c>
      <c r="E209" s="19" t="s">
        <v>23</v>
      </c>
      <c r="F209" s="19" t="s">
        <v>52</v>
      </c>
      <c r="G209" s="19" t="s">
        <v>15</v>
      </c>
      <c r="H209" s="20">
        <v>599</v>
      </c>
      <c r="I209" s="20">
        <v>455.24</v>
      </c>
      <c r="J209" s="21">
        <v>0.3</v>
      </c>
      <c r="K209" s="20">
        <f>Ventas[[#This Row],[Precio]]*$J$4</f>
        <v>95.84</v>
      </c>
      <c r="L209" s="20">
        <f>Ventas[[#This Row],[Precio]]-Ventas[[#This Row],[Costo]]-Ventas[[#This Row],[Desc $]]</f>
        <v>-35.94</v>
      </c>
      <c r="M209" s="20">
        <f>Ventas[[#This Row],[Precio]]*Ventas[[#This Row],[Descuento]]</f>
        <v>179.7</v>
      </c>
    </row>
    <row r="210" spans="1:13" x14ac:dyDescent="0.25">
      <c r="A210" s="16">
        <v>200</v>
      </c>
      <c r="B210" s="18">
        <v>42479</v>
      </c>
      <c r="C210" s="16" t="s">
        <v>90</v>
      </c>
      <c r="D210" s="19" t="s">
        <v>12</v>
      </c>
      <c r="E210" s="19" t="s">
        <v>35</v>
      </c>
      <c r="F210" s="19" t="s">
        <v>91</v>
      </c>
      <c r="G210" s="19" t="s">
        <v>15</v>
      </c>
      <c r="H210" s="20">
        <v>6999</v>
      </c>
      <c r="I210" s="20">
        <v>4829.3099999999995</v>
      </c>
      <c r="J210" s="21">
        <v>0.15</v>
      </c>
      <c r="K210" s="20">
        <f>Ventas[[#This Row],[Precio]]*$J$4</f>
        <v>1119.8399999999999</v>
      </c>
      <c r="L210" s="20">
        <f>Ventas[[#This Row],[Precio]]-Ventas[[#This Row],[Costo]]-Ventas[[#This Row],[Desc $]]</f>
        <v>1119.8400000000006</v>
      </c>
      <c r="M210" s="20">
        <f>Ventas[[#This Row],[Precio]]*Ventas[[#This Row],[Descuento]]</f>
        <v>1049.8499999999999</v>
      </c>
    </row>
    <row r="211" spans="1:13" x14ac:dyDescent="0.25">
      <c r="A211" s="16">
        <v>201</v>
      </c>
      <c r="B211" s="18">
        <v>42632</v>
      </c>
      <c r="C211" s="16" t="s">
        <v>79</v>
      </c>
      <c r="D211" s="19" t="s">
        <v>26</v>
      </c>
      <c r="E211" s="19" t="s">
        <v>27</v>
      </c>
      <c r="F211" s="19" t="s">
        <v>80</v>
      </c>
      <c r="G211" s="19" t="s">
        <v>15</v>
      </c>
      <c r="H211" s="20">
        <v>499</v>
      </c>
      <c r="I211" s="20">
        <v>174.64999999999998</v>
      </c>
      <c r="J211" s="21">
        <v>0</v>
      </c>
      <c r="K211" s="20">
        <f>Ventas[[#This Row],[Precio]]*$J$4</f>
        <v>79.84</v>
      </c>
      <c r="L211" s="20">
        <f>Ventas[[#This Row],[Precio]]-Ventas[[#This Row],[Costo]]-Ventas[[#This Row],[Desc $]]</f>
        <v>324.35000000000002</v>
      </c>
      <c r="M211" s="20">
        <f>Ventas[[#This Row],[Precio]]*Ventas[[#This Row],[Descuento]]</f>
        <v>0</v>
      </c>
    </row>
    <row r="212" spans="1:13" x14ac:dyDescent="0.25">
      <c r="A212" s="16">
        <v>202</v>
      </c>
      <c r="B212" s="18">
        <v>42404</v>
      </c>
      <c r="C212" s="16" t="s">
        <v>138</v>
      </c>
      <c r="D212" s="19" t="s">
        <v>22</v>
      </c>
      <c r="E212" s="19" t="s">
        <v>86</v>
      </c>
      <c r="F212" s="19" t="s">
        <v>139</v>
      </c>
      <c r="G212" s="19" t="s">
        <v>15</v>
      </c>
      <c r="H212" s="20">
        <v>14399</v>
      </c>
      <c r="I212" s="20">
        <v>11375.210000000001</v>
      </c>
      <c r="J212" s="21">
        <v>0.15</v>
      </c>
      <c r="K212" s="20">
        <f>Ventas[[#This Row],[Precio]]*$J$4</f>
        <v>2303.84</v>
      </c>
      <c r="L212" s="20">
        <f>Ventas[[#This Row],[Precio]]-Ventas[[#This Row],[Costo]]-Ventas[[#This Row],[Desc $]]</f>
        <v>863.93999999999915</v>
      </c>
      <c r="M212" s="20">
        <f>Ventas[[#This Row],[Precio]]*Ventas[[#This Row],[Descuento]]</f>
        <v>2159.85</v>
      </c>
    </row>
    <row r="213" spans="1:13" x14ac:dyDescent="0.25">
      <c r="A213" s="16">
        <v>203</v>
      </c>
      <c r="B213" s="18">
        <v>42601</v>
      </c>
      <c r="C213" s="16" t="s">
        <v>21</v>
      </c>
      <c r="D213" s="19" t="s">
        <v>22</v>
      </c>
      <c r="E213" s="19" t="s">
        <v>23</v>
      </c>
      <c r="F213" s="19" t="s">
        <v>24</v>
      </c>
      <c r="G213" s="19" t="s">
        <v>15</v>
      </c>
      <c r="H213" s="20">
        <v>359</v>
      </c>
      <c r="I213" s="20">
        <v>244.12</v>
      </c>
      <c r="J213" s="21">
        <v>0.15</v>
      </c>
      <c r="K213" s="20">
        <f>Ventas[[#This Row],[Precio]]*$J$4</f>
        <v>57.44</v>
      </c>
      <c r="L213" s="20">
        <f>Ventas[[#This Row],[Precio]]-Ventas[[#This Row],[Costo]]-Ventas[[#This Row],[Desc $]]</f>
        <v>61.029999999999994</v>
      </c>
      <c r="M213" s="20">
        <f>Ventas[[#This Row],[Precio]]*Ventas[[#This Row],[Descuento]]</f>
        <v>53.85</v>
      </c>
    </row>
    <row r="214" spans="1:13" x14ac:dyDescent="0.25">
      <c r="A214" s="16">
        <v>204</v>
      </c>
      <c r="B214" s="18">
        <v>42506</v>
      </c>
      <c r="C214" s="16" t="s">
        <v>21</v>
      </c>
      <c r="D214" s="19" t="s">
        <v>22</v>
      </c>
      <c r="E214" s="19" t="s">
        <v>23</v>
      </c>
      <c r="F214" s="19" t="s">
        <v>24</v>
      </c>
      <c r="G214" s="19" t="s">
        <v>15</v>
      </c>
      <c r="H214" s="20">
        <v>359</v>
      </c>
      <c r="I214" s="20">
        <v>244.12</v>
      </c>
      <c r="J214" s="21">
        <v>0.3</v>
      </c>
      <c r="K214" s="20">
        <f>Ventas[[#This Row],[Precio]]*$J$4</f>
        <v>57.44</v>
      </c>
      <c r="L214" s="20">
        <f>Ventas[[#This Row],[Precio]]-Ventas[[#This Row],[Costo]]-Ventas[[#This Row],[Desc $]]</f>
        <v>7.1799999999999926</v>
      </c>
      <c r="M214" s="20">
        <f>Ventas[[#This Row],[Precio]]*Ventas[[#This Row],[Descuento]]</f>
        <v>107.7</v>
      </c>
    </row>
    <row r="215" spans="1:13" x14ac:dyDescent="0.25">
      <c r="A215" s="16">
        <v>205</v>
      </c>
      <c r="B215" s="18">
        <v>42520</v>
      </c>
      <c r="C215" s="16" t="s">
        <v>140</v>
      </c>
      <c r="D215" s="19" t="s">
        <v>22</v>
      </c>
      <c r="E215" s="19" t="s">
        <v>18</v>
      </c>
      <c r="F215" s="19" t="s">
        <v>141</v>
      </c>
      <c r="G215" s="19" t="s">
        <v>43</v>
      </c>
      <c r="H215" s="20">
        <v>999</v>
      </c>
      <c r="I215" s="20">
        <v>809.19</v>
      </c>
      <c r="J215" s="21">
        <v>0.2</v>
      </c>
      <c r="K215" s="20">
        <f>Ventas[[#This Row],[Precio]]*$J$4</f>
        <v>159.84</v>
      </c>
      <c r="L215" s="20">
        <f>Ventas[[#This Row],[Precio]]-Ventas[[#This Row],[Costo]]-Ventas[[#This Row],[Desc $]]</f>
        <v>-9.9900000000000659</v>
      </c>
      <c r="M215" s="20">
        <f>Ventas[[#This Row],[Precio]]*Ventas[[#This Row],[Descuento]]</f>
        <v>199.8</v>
      </c>
    </row>
    <row r="216" spans="1:13" x14ac:dyDescent="0.25">
      <c r="A216" s="16">
        <v>206</v>
      </c>
      <c r="B216" s="18">
        <v>42418</v>
      </c>
      <c r="C216" s="16" t="s">
        <v>41</v>
      </c>
      <c r="D216" s="19" t="s">
        <v>22</v>
      </c>
      <c r="E216" s="19" t="s">
        <v>18</v>
      </c>
      <c r="F216" s="19" t="s">
        <v>42</v>
      </c>
      <c r="G216" s="19" t="s">
        <v>43</v>
      </c>
      <c r="H216" s="20">
        <v>1149</v>
      </c>
      <c r="I216" s="20">
        <v>896.22</v>
      </c>
      <c r="J216" s="21">
        <v>0</v>
      </c>
      <c r="K216" s="20">
        <f>Ventas[[#This Row],[Precio]]*$J$4</f>
        <v>183.84</v>
      </c>
      <c r="L216" s="20">
        <f>Ventas[[#This Row],[Precio]]-Ventas[[#This Row],[Costo]]-Ventas[[#This Row],[Desc $]]</f>
        <v>252.77999999999997</v>
      </c>
      <c r="M216" s="20">
        <f>Ventas[[#This Row],[Precio]]*Ventas[[#This Row],[Descuento]]</f>
        <v>0</v>
      </c>
    </row>
    <row r="217" spans="1:13" x14ac:dyDescent="0.25">
      <c r="A217" s="16">
        <v>207</v>
      </c>
      <c r="B217" s="18">
        <v>42787</v>
      </c>
      <c r="C217" s="16" t="s">
        <v>142</v>
      </c>
      <c r="D217" s="19" t="s">
        <v>12</v>
      </c>
      <c r="E217" s="19" t="s">
        <v>35</v>
      </c>
      <c r="F217" s="19" t="s">
        <v>143</v>
      </c>
      <c r="G217" s="19" t="s">
        <v>15</v>
      </c>
      <c r="H217" s="20">
        <v>2299</v>
      </c>
      <c r="I217" s="20">
        <v>1218.47</v>
      </c>
      <c r="J217" s="21">
        <v>0.1</v>
      </c>
      <c r="K217" s="20">
        <f>Ventas[[#This Row],[Precio]]*$J$4</f>
        <v>367.84000000000003</v>
      </c>
      <c r="L217" s="20">
        <f>Ventas[[#This Row],[Precio]]-Ventas[[#This Row],[Costo]]-Ventas[[#This Row],[Desc $]]</f>
        <v>850.63</v>
      </c>
      <c r="M217" s="20">
        <f>Ventas[[#This Row],[Precio]]*Ventas[[#This Row],[Descuento]]</f>
        <v>229.9</v>
      </c>
    </row>
    <row r="218" spans="1:13" x14ac:dyDescent="0.25">
      <c r="A218" s="16">
        <v>208</v>
      </c>
      <c r="B218" s="18">
        <v>42508</v>
      </c>
      <c r="C218" s="16" t="s">
        <v>41</v>
      </c>
      <c r="D218" s="19" t="s">
        <v>22</v>
      </c>
      <c r="E218" s="19" t="s">
        <v>18</v>
      </c>
      <c r="F218" s="19" t="s">
        <v>42</v>
      </c>
      <c r="G218" s="19" t="s">
        <v>43</v>
      </c>
      <c r="H218" s="20">
        <v>1149</v>
      </c>
      <c r="I218" s="20">
        <v>896.22</v>
      </c>
      <c r="J218" s="21">
        <v>0</v>
      </c>
      <c r="K218" s="20">
        <f>Ventas[[#This Row],[Precio]]*$J$4</f>
        <v>183.84</v>
      </c>
      <c r="L218" s="20">
        <f>Ventas[[#This Row],[Precio]]-Ventas[[#This Row],[Costo]]-Ventas[[#This Row],[Desc $]]</f>
        <v>252.77999999999997</v>
      </c>
      <c r="M218" s="20">
        <f>Ventas[[#This Row],[Precio]]*Ventas[[#This Row],[Descuento]]</f>
        <v>0</v>
      </c>
    </row>
    <row r="219" spans="1:13" x14ac:dyDescent="0.25">
      <c r="A219" s="16">
        <v>209</v>
      </c>
      <c r="B219" s="18">
        <v>42438</v>
      </c>
      <c r="C219" s="16" t="s">
        <v>59</v>
      </c>
      <c r="D219" s="19" t="s">
        <v>12</v>
      </c>
      <c r="E219" s="19" t="s">
        <v>35</v>
      </c>
      <c r="F219" s="19" t="s">
        <v>60</v>
      </c>
      <c r="G219" s="19" t="s">
        <v>15</v>
      </c>
      <c r="H219" s="20">
        <v>8999</v>
      </c>
      <c r="I219" s="20">
        <v>4499.5</v>
      </c>
      <c r="J219" s="21">
        <v>0.15</v>
      </c>
      <c r="K219" s="20">
        <f>Ventas[[#This Row],[Precio]]*$J$4</f>
        <v>1439.84</v>
      </c>
      <c r="L219" s="20">
        <f>Ventas[[#This Row],[Precio]]-Ventas[[#This Row],[Costo]]-Ventas[[#This Row],[Desc $]]</f>
        <v>3149.65</v>
      </c>
      <c r="M219" s="20">
        <f>Ventas[[#This Row],[Precio]]*Ventas[[#This Row],[Descuento]]</f>
        <v>1349.85</v>
      </c>
    </row>
    <row r="220" spans="1:13" x14ac:dyDescent="0.25">
      <c r="A220" s="16">
        <v>210</v>
      </c>
      <c r="B220" s="18">
        <v>42546</v>
      </c>
      <c r="C220" s="16" t="s">
        <v>98</v>
      </c>
      <c r="D220" s="19" t="s">
        <v>22</v>
      </c>
      <c r="E220" s="19" t="s">
        <v>86</v>
      </c>
      <c r="F220" s="19" t="s">
        <v>99</v>
      </c>
      <c r="G220" s="19" t="s">
        <v>15</v>
      </c>
      <c r="H220" s="20">
        <v>5999</v>
      </c>
      <c r="I220" s="20">
        <v>3419.43</v>
      </c>
      <c r="J220" s="21">
        <v>0.2</v>
      </c>
      <c r="K220" s="20">
        <f>Ventas[[#This Row],[Precio]]*$J$4</f>
        <v>959.84</v>
      </c>
      <c r="L220" s="20">
        <f>Ventas[[#This Row],[Precio]]-Ventas[[#This Row],[Costo]]-Ventas[[#This Row],[Desc $]]</f>
        <v>1379.7700000000002</v>
      </c>
      <c r="M220" s="20">
        <f>Ventas[[#This Row],[Precio]]*Ventas[[#This Row],[Descuento]]</f>
        <v>1199.8</v>
      </c>
    </row>
    <row r="221" spans="1:13" x14ac:dyDescent="0.25">
      <c r="A221" s="16">
        <v>211</v>
      </c>
      <c r="B221" s="18">
        <v>42672</v>
      </c>
      <c r="C221" s="16" t="s">
        <v>21</v>
      </c>
      <c r="D221" s="19" t="s">
        <v>22</v>
      </c>
      <c r="E221" s="19" t="s">
        <v>23</v>
      </c>
      <c r="F221" s="19" t="s">
        <v>24</v>
      </c>
      <c r="G221" s="19" t="s">
        <v>15</v>
      </c>
      <c r="H221" s="20">
        <v>359</v>
      </c>
      <c r="I221" s="20">
        <v>244.12</v>
      </c>
      <c r="J221" s="21">
        <v>0.15</v>
      </c>
      <c r="K221" s="20">
        <f>Ventas[[#This Row],[Precio]]*$J$4</f>
        <v>57.44</v>
      </c>
      <c r="L221" s="20">
        <f>Ventas[[#This Row],[Precio]]-Ventas[[#This Row],[Costo]]-Ventas[[#This Row],[Desc $]]</f>
        <v>61.029999999999994</v>
      </c>
      <c r="M221" s="20">
        <f>Ventas[[#This Row],[Precio]]*Ventas[[#This Row],[Descuento]]</f>
        <v>53.85</v>
      </c>
    </row>
    <row r="222" spans="1:13" x14ac:dyDescent="0.25">
      <c r="A222" s="16">
        <v>212</v>
      </c>
      <c r="B222" s="18">
        <v>42388</v>
      </c>
      <c r="C222" s="16" t="s">
        <v>37</v>
      </c>
      <c r="D222" s="19" t="s">
        <v>26</v>
      </c>
      <c r="E222" s="19" t="s">
        <v>27</v>
      </c>
      <c r="F222" s="19" t="s">
        <v>38</v>
      </c>
      <c r="G222" s="19" t="s">
        <v>15</v>
      </c>
      <c r="H222" s="20">
        <v>229</v>
      </c>
      <c r="I222" s="20">
        <v>153.43</v>
      </c>
      <c r="J222" s="21">
        <v>0.15</v>
      </c>
      <c r="K222" s="20">
        <f>Ventas[[#This Row],[Precio]]*$J$4</f>
        <v>36.64</v>
      </c>
      <c r="L222" s="20">
        <f>Ventas[[#This Row],[Precio]]-Ventas[[#This Row],[Costo]]-Ventas[[#This Row],[Desc $]]</f>
        <v>41.219999999999992</v>
      </c>
      <c r="M222" s="20">
        <f>Ventas[[#This Row],[Precio]]*Ventas[[#This Row],[Descuento]]</f>
        <v>34.35</v>
      </c>
    </row>
    <row r="223" spans="1:13" x14ac:dyDescent="0.25">
      <c r="A223" s="16">
        <v>213</v>
      </c>
      <c r="B223" s="18">
        <v>42405</v>
      </c>
      <c r="C223" s="16" t="s">
        <v>41</v>
      </c>
      <c r="D223" s="19" t="s">
        <v>22</v>
      </c>
      <c r="E223" s="19" t="s">
        <v>18</v>
      </c>
      <c r="F223" s="19" t="s">
        <v>42</v>
      </c>
      <c r="G223" s="19" t="s">
        <v>43</v>
      </c>
      <c r="H223" s="20">
        <v>1149</v>
      </c>
      <c r="I223" s="20">
        <v>896.22</v>
      </c>
      <c r="J223" s="21">
        <v>0</v>
      </c>
      <c r="K223" s="20">
        <f>Ventas[[#This Row],[Precio]]*$J$4</f>
        <v>183.84</v>
      </c>
      <c r="L223" s="20">
        <f>Ventas[[#This Row],[Precio]]-Ventas[[#This Row],[Costo]]-Ventas[[#This Row],[Desc $]]</f>
        <v>252.77999999999997</v>
      </c>
      <c r="M223" s="20">
        <f>Ventas[[#This Row],[Precio]]*Ventas[[#This Row],[Descuento]]</f>
        <v>0</v>
      </c>
    </row>
    <row r="224" spans="1:13" x14ac:dyDescent="0.25">
      <c r="A224" s="16">
        <v>214</v>
      </c>
      <c r="B224" s="18">
        <v>42506</v>
      </c>
      <c r="C224" s="16" t="s">
        <v>31</v>
      </c>
      <c r="D224" s="19" t="s">
        <v>22</v>
      </c>
      <c r="E224" s="19" t="s">
        <v>18</v>
      </c>
      <c r="F224" s="19" t="s">
        <v>32</v>
      </c>
      <c r="G224" s="19" t="s">
        <v>33</v>
      </c>
      <c r="H224" s="20">
        <v>1199</v>
      </c>
      <c r="I224" s="20">
        <v>887.26</v>
      </c>
      <c r="J224" s="21">
        <v>0.3</v>
      </c>
      <c r="K224" s="20">
        <f>Ventas[[#This Row],[Precio]]*$J$4</f>
        <v>191.84</v>
      </c>
      <c r="L224" s="20">
        <f>Ventas[[#This Row],[Precio]]-Ventas[[#This Row],[Costo]]-Ventas[[#This Row],[Desc $]]</f>
        <v>-47.95999999999998</v>
      </c>
      <c r="M224" s="20">
        <f>Ventas[[#This Row],[Precio]]*Ventas[[#This Row],[Descuento]]</f>
        <v>359.7</v>
      </c>
    </row>
    <row r="225" spans="1:13" x14ac:dyDescent="0.25">
      <c r="A225" s="16">
        <v>215</v>
      </c>
      <c r="B225" s="18">
        <v>42575</v>
      </c>
      <c r="C225" s="16" t="s">
        <v>44</v>
      </c>
      <c r="D225" s="19" t="s">
        <v>26</v>
      </c>
      <c r="E225" s="19" t="s">
        <v>45</v>
      </c>
      <c r="F225" s="19" t="s">
        <v>46</v>
      </c>
      <c r="G225" s="19" t="s">
        <v>15</v>
      </c>
      <c r="H225" s="20">
        <v>699</v>
      </c>
      <c r="I225" s="20">
        <v>531.24</v>
      </c>
      <c r="J225" s="21">
        <v>0.2</v>
      </c>
      <c r="K225" s="20">
        <f>Ventas[[#This Row],[Precio]]*$J$4</f>
        <v>111.84</v>
      </c>
      <c r="L225" s="20">
        <f>Ventas[[#This Row],[Precio]]-Ventas[[#This Row],[Costo]]-Ventas[[#This Row],[Desc $]]</f>
        <v>27.95999999999998</v>
      </c>
      <c r="M225" s="20">
        <f>Ventas[[#This Row],[Precio]]*Ventas[[#This Row],[Descuento]]</f>
        <v>139.80000000000001</v>
      </c>
    </row>
    <row r="226" spans="1:13" x14ac:dyDescent="0.25">
      <c r="A226" s="16">
        <v>216</v>
      </c>
      <c r="B226" s="18">
        <v>42720</v>
      </c>
      <c r="C226" s="16" t="s">
        <v>25</v>
      </c>
      <c r="D226" s="19" t="s">
        <v>26</v>
      </c>
      <c r="E226" s="19" t="s">
        <v>27</v>
      </c>
      <c r="F226" s="19" t="s">
        <v>28</v>
      </c>
      <c r="G226" s="19" t="s">
        <v>15</v>
      </c>
      <c r="H226" s="20">
        <v>1499</v>
      </c>
      <c r="I226" s="20">
        <v>794.47</v>
      </c>
      <c r="J226" s="21">
        <v>0.2</v>
      </c>
      <c r="K226" s="20">
        <f>Ventas[[#This Row],[Precio]]*$J$4</f>
        <v>239.84</v>
      </c>
      <c r="L226" s="20">
        <f>Ventas[[#This Row],[Precio]]-Ventas[[#This Row],[Costo]]-Ventas[[#This Row],[Desc $]]</f>
        <v>404.72999999999996</v>
      </c>
      <c r="M226" s="20">
        <f>Ventas[[#This Row],[Precio]]*Ventas[[#This Row],[Descuento]]</f>
        <v>299.8</v>
      </c>
    </row>
    <row r="227" spans="1:13" x14ac:dyDescent="0.25">
      <c r="A227" s="16">
        <v>217</v>
      </c>
      <c r="B227" s="18">
        <v>42703</v>
      </c>
      <c r="C227" s="16" t="s">
        <v>120</v>
      </c>
      <c r="D227" s="19" t="s">
        <v>22</v>
      </c>
      <c r="E227" s="19" t="s">
        <v>23</v>
      </c>
      <c r="F227" s="19" t="s">
        <v>121</v>
      </c>
      <c r="G227" s="19" t="s">
        <v>15</v>
      </c>
      <c r="H227" s="20">
        <v>169</v>
      </c>
      <c r="I227" s="20">
        <v>130.13</v>
      </c>
      <c r="J227" s="21">
        <v>0</v>
      </c>
      <c r="K227" s="20">
        <f>Ventas[[#This Row],[Precio]]*$J$4</f>
        <v>27.04</v>
      </c>
      <c r="L227" s="20">
        <f>Ventas[[#This Row],[Precio]]-Ventas[[#This Row],[Costo]]-Ventas[[#This Row],[Desc $]]</f>
        <v>38.870000000000005</v>
      </c>
      <c r="M227" s="20">
        <f>Ventas[[#This Row],[Precio]]*Ventas[[#This Row],[Descuento]]</f>
        <v>0</v>
      </c>
    </row>
    <row r="228" spans="1:13" x14ac:dyDescent="0.25">
      <c r="A228" s="16">
        <v>218</v>
      </c>
      <c r="B228" s="18">
        <v>42718</v>
      </c>
      <c r="C228" s="16" t="s">
        <v>11</v>
      </c>
      <c r="D228" s="19" t="s">
        <v>12</v>
      </c>
      <c r="E228" s="19" t="s">
        <v>13</v>
      </c>
      <c r="F228" s="19" t="s">
        <v>14</v>
      </c>
      <c r="G228" s="19" t="s">
        <v>15</v>
      </c>
      <c r="H228" s="20">
        <v>1299</v>
      </c>
      <c r="I228" s="20">
        <v>727.44</v>
      </c>
      <c r="J228" s="21">
        <v>0</v>
      </c>
      <c r="K228" s="20">
        <f>Ventas[[#This Row],[Precio]]*$J$4</f>
        <v>207.84</v>
      </c>
      <c r="L228" s="20">
        <f>Ventas[[#This Row],[Precio]]-Ventas[[#This Row],[Costo]]-Ventas[[#This Row],[Desc $]]</f>
        <v>571.55999999999995</v>
      </c>
      <c r="M228" s="20">
        <f>Ventas[[#This Row],[Precio]]*Ventas[[#This Row],[Descuento]]</f>
        <v>0</v>
      </c>
    </row>
    <row r="229" spans="1:13" x14ac:dyDescent="0.25">
      <c r="A229" s="16">
        <v>219</v>
      </c>
      <c r="B229" s="18">
        <v>42765</v>
      </c>
      <c r="C229" s="16" t="s">
        <v>41</v>
      </c>
      <c r="D229" s="19" t="s">
        <v>22</v>
      </c>
      <c r="E229" s="19" t="s">
        <v>18</v>
      </c>
      <c r="F229" s="19" t="s">
        <v>42</v>
      </c>
      <c r="G229" s="19" t="s">
        <v>43</v>
      </c>
      <c r="H229" s="20">
        <v>1149</v>
      </c>
      <c r="I229" s="20">
        <v>896.22</v>
      </c>
      <c r="J229" s="21">
        <v>0</v>
      </c>
      <c r="K229" s="20">
        <f>Ventas[[#This Row],[Precio]]*$J$4</f>
        <v>183.84</v>
      </c>
      <c r="L229" s="20">
        <f>Ventas[[#This Row],[Precio]]-Ventas[[#This Row],[Costo]]-Ventas[[#This Row],[Desc $]]</f>
        <v>252.77999999999997</v>
      </c>
      <c r="M229" s="20">
        <f>Ventas[[#This Row],[Precio]]*Ventas[[#This Row],[Descuento]]</f>
        <v>0</v>
      </c>
    </row>
    <row r="230" spans="1:13" x14ac:dyDescent="0.25">
      <c r="A230" s="16">
        <v>220</v>
      </c>
      <c r="B230" s="18">
        <v>42787</v>
      </c>
      <c r="C230" s="16" t="s">
        <v>72</v>
      </c>
      <c r="D230" s="19" t="s">
        <v>22</v>
      </c>
      <c r="E230" s="19" t="s">
        <v>18</v>
      </c>
      <c r="F230" s="19" t="s">
        <v>73</v>
      </c>
      <c r="G230" s="19" t="s">
        <v>69</v>
      </c>
      <c r="H230" s="20">
        <v>799</v>
      </c>
      <c r="I230" s="20">
        <v>535.33000000000004</v>
      </c>
      <c r="J230" s="21">
        <v>0.1</v>
      </c>
      <c r="K230" s="20">
        <f>Ventas[[#This Row],[Precio]]*$J$4</f>
        <v>127.84</v>
      </c>
      <c r="L230" s="20">
        <f>Ventas[[#This Row],[Precio]]-Ventas[[#This Row],[Costo]]-Ventas[[#This Row],[Desc $]]</f>
        <v>183.76999999999995</v>
      </c>
      <c r="M230" s="20">
        <f>Ventas[[#This Row],[Precio]]*Ventas[[#This Row],[Descuento]]</f>
        <v>79.900000000000006</v>
      </c>
    </row>
    <row r="231" spans="1:13" x14ac:dyDescent="0.25">
      <c r="A231" s="16">
        <v>221</v>
      </c>
      <c r="B231" s="18">
        <v>42522</v>
      </c>
      <c r="C231" s="16" t="s">
        <v>31</v>
      </c>
      <c r="D231" s="19" t="s">
        <v>22</v>
      </c>
      <c r="E231" s="19" t="s">
        <v>18</v>
      </c>
      <c r="F231" s="19" t="s">
        <v>32</v>
      </c>
      <c r="G231" s="19" t="s">
        <v>33</v>
      </c>
      <c r="H231" s="20">
        <v>1199</v>
      </c>
      <c r="I231" s="20">
        <v>887.26</v>
      </c>
      <c r="J231" s="21">
        <v>0</v>
      </c>
      <c r="K231" s="20">
        <f>Ventas[[#This Row],[Precio]]*$J$4</f>
        <v>191.84</v>
      </c>
      <c r="L231" s="20">
        <f>Ventas[[#This Row],[Precio]]-Ventas[[#This Row],[Costo]]-Ventas[[#This Row],[Desc $]]</f>
        <v>311.74</v>
      </c>
      <c r="M231" s="20">
        <f>Ventas[[#This Row],[Precio]]*Ventas[[#This Row],[Descuento]]</f>
        <v>0</v>
      </c>
    </row>
    <row r="232" spans="1:13" x14ac:dyDescent="0.25">
      <c r="A232" s="16">
        <v>222</v>
      </c>
      <c r="B232" s="18">
        <v>42506</v>
      </c>
      <c r="C232" s="16" t="s">
        <v>63</v>
      </c>
      <c r="D232" s="19" t="s">
        <v>12</v>
      </c>
      <c r="E232" s="19" t="s">
        <v>35</v>
      </c>
      <c r="F232" s="19" t="s">
        <v>64</v>
      </c>
      <c r="G232" s="19" t="s">
        <v>15</v>
      </c>
      <c r="H232" s="20">
        <v>13999</v>
      </c>
      <c r="I232" s="20">
        <v>9659.31</v>
      </c>
      <c r="J232" s="21">
        <v>0.3</v>
      </c>
      <c r="K232" s="20">
        <f>Ventas[[#This Row],[Precio]]*$J$4</f>
        <v>2239.84</v>
      </c>
      <c r="L232" s="20">
        <f>Ventas[[#This Row],[Precio]]-Ventas[[#This Row],[Costo]]-Ventas[[#This Row],[Desc $]]</f>
        <v>139.99000000000069</v>
      </c>
      <c r="M232" s="20">
        <f>Ventas[[#This Row],[Precio]]*Ventas[[#This Row],[Descuento]]</f>
        <v>4199.7</v>
      </c>
    </row>
    <row r="233" spans="1:13" x14ac:dyDescent="0.25">
      <c r="A233" s="16">
        <v>223</v>
      </c>
      <c r="B233" s="18">
        <v>35432</v>
      </c>
      <c r="C233" s="16" t="s">
        <v>11</v>
      </c>
      <c r="D233" s="19" t="s">
        <v>12</v>
      </c>
      <c r="E233" s="19" t="s">
        <v>13</v>
      </c>
      <c r="F233" s="19" t="s">
        <v>14</v>
      </c>
      <c r="G233" s="19" t="s">
        <v>15</v>
      </c>
      <c r="H233" s="20">
        <v>1299</v>
      </c>
      <c r="I233" s="20">
        <v>727.44</v>
      </c>
      <c r="J233" s="21">
        <v>0</v>
      </c>
      <c r="K233" s="20">
        <f>Ventas[[#This Row],[Precio]]*$J$4</f>
        <v>207.84</v>
      </c>
      <c r="L233" s="20">
        <f>Ventas[[#This Row],[Precio]]-Ventas[[#This Row],[Costo]]-Ventas[[#This Row],[Desc $]]</f>
        <v>571.55999999999995</v>
      </c>
      <c r="M233" s="20">
        <f>Ventas[[#This Row],[Precio]]*Ventas[[#This Row],[Descuento]]</f>
        <v>0</v>
      </c>
    </row>
    <row r="234" spans="1:13" x14ac:dyDescent="0.25">
      <c r="A234" s="16">
        <v>224</v>
      </c>
      <c r="B234" s="18">
        <v>42643</v>
      </c>
      <c r="C234" s="16" t="s">
        <v>144</v>
      </c>
      <c r="D234" s="19" t="s">
        <v>12</v>
      </c>
      <c r="E234" s="19" t="s">
        <v>35</v>
      </c>
      <c r="F234" s="19" t="s">
        <v>145</v>
      </c>
      <c r="G234" s="19" t="s">
        <v>15</v>
      </c>
      <c r="H234" s="20">
        <v>8999</v>
      </c>
      <c r="I234" s="20">
        <v>6839.24</v>
      </c>
      <c r="J234" s="21">
        <v>0.2</v>
      </c>
      <c r="K234" s="20">
        <f>Ventas[[#This Row],[Precio]]*$J$4</f>
        <v>1439.84</v>
      </c>
      <c r="L234" s="20">
        <f>Ventas[[#This Row],[Precio]]-Ventas[[#This Row],[Costo]]-Ventas[[#This Row],[Desc $]]</f>
        <v>359.96000000000004</v>
      </c>
      <c r="M234" s="20">
        <f>Ventas[[#This Row],[Precio]]*Ventas[[#This Row],[Descuento]]</f>
        <v>1799.8000000000002</v>
      </c>
    </row>
    <row r="235" spans="1:13" x14ac:dyDescent="0.25">
      <c r="A235" s="16">
        <v>225</v>
      </c>
      <c r="B235" s="18">
        <v>42575</v>
      </c>
      <c r="C235" s="16" t="s">
        <v>144</v>
      </c>
      <c r="D235" s="19" t="s">
        <v>12</v>
      </c>
      <c r="E235" s="19" t="s">
        <v>35</v>
      </c>
      <c r="F235" s="19" t="s">
        <v>145</v>
      </c>
      <c r="G235" s="19" t="s">
        <v>15</v>
      </c>
      <c r="H235" s="20">
        <v>8999</v>
      </c>
      <c r="I235" s="20">
        <v>6839.24</v>
      </c>
      <c r="J235" s="21">
        <v>0.2</v>
      </c>
      <c r="K235" s="20">
        <f>Ventas[[#This Row],[Precio]]*$J$4</f>
        <v>1439.84</v>
      </c>
      <c r="L235" s="20">
        <f>Ventas[[#This Row],[Precio]]-Ventas[[#This Row],[Costo]]-Ventas[[#This Row],[Desc $]]</f>
        <v>359.96000000000004</v>
      </c>
      <c r="M235" s="20">
        <f>Ventas[[#This Row],[Precio]]*Ventas[[#This Row],[Descuento]]</f>
        <v>1799.8000000000002</v>
      </c>
    </row>
    <row r="236" spans="1:13" x14ac:dyDescent="0.25">
      <c r="A236" s="16">
        <v>226</v>
      </c>
      <c r="B236" s="18">
        <v>42575</v>
      </c>
      <c r="C236" s="16" t="s">
        <v>146</v>
      </c>
      <c r="D236" s="19" t="s">
        <v>12</v>
      </c>
      <c r="E236" s="19" t="s">
        <v>35</v>
      </c>
      <c r="F236" s="19" t="s">
        <v>147</v>
      </c>
      <c r="G236" s="19" t="s">
        <v>15</v>
      </c>
      <c r="H236" s="20">
        <v>3599</v>
      </c>
      <c r="I236" s="20">
        <v>2663.2599999999998</v>
      </c>
      <c r="J236" s="21">
        <v>0.2</v>
      </c>
      <c r="K236" s="20">
        <f>Ventas[[#This Row],[Precio]]*$J$4</f>
        <v>575.84</v>
      </c>
      <c r="L236" s="20">
        <f>Ventas[[#This Row],[Precio]]-Ventas[[#This Row],[Costo]]-Ventas[[#This Row],[Desc $]]</f>
        <v>215.94000000000017</v>
      </c>
      <c r="M236" s="20">
        <f>Ventas[[#This Row],[Precio]]*Ventas[[#This Row],[Descuento]]</f>
        <v>719.80000000000007</v>
      </c>
    </row>
    <row r="237" spans="1:13" x14ac:dyDescent="0.25">
      <c r="A237" s="16">
        <v>227</v>
      </c>
      <c r="B237" s="18">
        <v>42705</v>
      </c>
      <c r="C237" s="16" t="s">
        <v>79</v>
      </c>
      <c r="D237" s="19" t="s">
        <v>26</v>
      </c>
      <c r="E237" s="19" t="s">
        <v>27</v>
      </c>
      <c r="F237" s="19" t="s">
        <v>80</v>
      </c>
      <c r="G237" s="19" t="s">
        <v>15</v>
      </c>
      <c r="H237" s="20">
        <v>499</v>
      </c>
      <c r="I237" s="20">
        <v>174.64999999999998</v>
      </c>
      <c r="J237" s="21">
        <v>0</v>
      </c>
      <c r="K237" s="20">
        <f>Ventas[[#This Row],[Precio]]*$J$4</f>
        <v>79.84</v>
      </c>
      <c r="L237" s="20">
        <f>Ventas[[#This Row],[Precio]]-Ventas[[#This Row],[Costo]]-Ventas[[#This Row],[Desc $]]</f>
        <v>324.35000000000002</v>
      </c>
      <c r="M237" s="20">
        <f>Ventas[[#This Row],[Precio]]*Ventas[[#This Row],[Descuento]]</f>
        <v>0</v>
      </c>
    </row>
    <row r="238" spans="1:13" x14ac:dyDescent="0.25">
      <c r="A238" s="16">
        <v>228</v>
      </c>
      <c r="B238" s="18">
        <v>42422</v>
      </c>
      <c r="C238" s="16" t="s">
        <v>63</v>
      </c>
      <c r="D238" s="19" t="s">
        <v>12</v>
      </c>
      <c r="E238" s="19" t="s">
        <v>35</v>
      </c>
      <c r="F238" s="19" t="s">
        <v>64</v>
      </c>
      <c r="G238" s="19" t="s">
        <v>15</v>
      </c>
      <c r="H238" s="20">
        <v>13999</v>
      </c>
      <c r="I238" s="20">
        <v>9659.31</v>
      </c>
      <c r="J238" s="21">
        <v>0</v>
      </c>
      <c r="K238" s="20">
        <f>Ventas[[#This Row],[Precio]]*$J$4</f>
        <v>2239.84</v>
      </c>
      <c r="L238" s="20">
        <f>Ventas[[#This Row],[Precio]]-Ventas[[#This Row],[Costo]]-Ventas[[#This Row],[Desc $]]</f>
        <v>4339.6900000000005</v>
      </c>
      <c r="M238" s="20">
        <f>Ventas[[#This Row],[Precio]]*Ventas[[#This Row],[Descuento]]</f>
        <v>0</v>
      </c>
    </row>
    <row r="239" spans="1:13" x14ac:dyDescent="0.25">
      <c r="A239" s="16">
        <v>229</v>
      </c>
      <c r="B239" s="18">
        <v>42762</v>
      </c>
      <c r="C239" s="16" t="s">
        <v>21</v>
      </c>
      <c r="D239" s="19" t="s">
        <v>22</v>
      </c>
      <c r="E239" s="19" t="s">
        <v>23</v>
      </c>
      <c r="F239" s="19" t="s">
        <v>24</v>
      </c>
      <c r="G239" s="19" t="s">
        <v>15</v>
      </c>
      <c r="H239" s="20">
        <v>359</v>
      </c>
      <c r="I239" s="20">
        <v>244.12</v>
      </c>
      <c r="J239" s="21">
        <v>0.15</v>
      </c>
      <c r="K239" s="20">
        <f>Ventas[[#This Row],[Precio]]*$J$4</f>
        <v>57.44</v>
      </c>
      <c r="L239" s="20">
        <f>Ventas[[#This Row],[Precio]]-Ventas[[#This Row],[Costo]]-Ventas[[#This Row],[Desc $]]</f>
        <v>61.029999999999994</v>
      </c>
      <c r="M239" s="20">
        <f>Ventas[[#This Row],[Precio]]*Ventas[[#This Row],[Descuento]]</f>
        <v>53.85</v>
      </c>
    </row>
    <row r="240" spans="1:13" x14ac:dyDescent="0.25">
      <c r="A240" s="16">
        <v>230</v>
      </c>
      <c r="B240" s="18">
        <v>42643</v>
      </c>
      <c r="C240" s="16" t="s">
        <v>41</v>
      </c>
      <c r="D240" s="19" t="s">
        <v>22</v>
      </c>
      <c r="E240" s="19" t="s">
        <v>18</v>
      </c>
      <c r="F240" s="19" t="s">
        <v>42</v>
      </c>
      <c r="G240" s="19" t="s">
        <v>43</v>
      </c>
      <c r="H240" s="20">
        <v>1149</v>
      </c>
      <c r="I240" s="20">
        <v>896.22</v>
      </c>
      <c r="J240" s="21">
        <v>0.2</v>
      </c>
      <c r="K240" s="20">
        <f>Ventas[[#This Row],[Precio]]*$J$4</f>
        <v>183.84</v>
      </c>
      <c r="L240" s="20">
        <f>Ventas[[#This Row],[Precio]]-Ventas[[#This Row],[Costo]]-Ventas[[#This Row],[Desc $]]</f>
        <v>22.979999999999961</v>
      </c>
      <c r="M240" s="20">
        <f>Ventas[[#This Row],[Precio]]*Ventas[[#This Row],[Descuento]]</f>
        <v>229.8</v>
      </c>
    </row>
    <row r="241" spans="1:13" x14ac:dyDescent="0.25">
      <c r="A241" s="16">
        <v>231</v>
      </c>
      <c r="B241" s="18">
        <v>42506</v>
      </c>
      <c r="C241" s="16" t="s">
        <v>148</v>
      </c>
      <c r="D241" s="19" t="s">
        <v>22</v>
      </c>
      <c r="E241" s="19" t="s">
        <v>18</v>
      </c>
      <c r="F241" s="19" t="s">
        <v>149</v>
      </c>
      <c r="G241" s="19" t="s">
        <v>33</v>
      </c>
      <c r="H241" s="20">
        <v>899</v>
      </c>
      <c r="I241" s="20">
        <v>719.2</v>
      </c>
      <c r="J241" s="21">
        <v>0.3</v>
      </c>
      <c r="K241" s="20">
        <f>Ventas[[#This Row],[Precio]]*$J$4</f>
        <v>143.84</v>
      </c>
      <c r="L241" s="20">
        <f>Ventas[[#This Row],[Precio]]-Ventas[[#This Row],[Costo]]-Ventas[[#This Row],[Desc $]]</f>
        <v>-89.900000000000034</v>
      </c>
      <c r="M241" s="20">
        <f>Ventas[[#This Row],[Precio]]*Ventas[[#This Row],[Descuento]]</f>
        <v>269.7</v>
      </c>
    </row>
    <row r="242" spans="1:13" x14ac:dyDescent="0.25">
      <c r="A242" s="16">
        <v>232</v>
      </c>
      <c r="B242" s="18">
        <v>42402</v>
      </c>
      <c r="C242" s="16" t="s">
        <v>44</v>
      </c>
      <c r="D242" s="19" t="s">
        <v>26</v>
      </c>
      <c r="E242" s="19" t="s">
        <v>45</v>
      </c>
      <c r="F242" s="19" t="s">
        <v>46</v>
      </c>
      <c r="G242" s="19" t="s">
        <v>15</v>
      </c>
      <c r="H242" s="20">
        <v>699</v>
      </c>
      <c r="I242" s="20">
        <v>531.24</v>
      </c>
      <c r="J242" s="21">
        <v>0.2</v>
      </c>
      <c r="K242" s="20">
        <f>Ventas[[#This Row],[Precio]]*$J$4</f>
        <v>111.84</v>
      </c>
      <c r="L242" s="20">
        <f>Ventas[[#This Row],[Precio]]-Ventas[[#This Row],[Costo]]-Ventas[[#This Row],[Desc $]]</f>
        <v>27.95999999999998</v>
      </c>
      <c r="M242" s="20">
        <f>Ventas[[#This Row],[Precio]]*Ventas[[#This Row],[Descuento]]</f>
        <v>139.80000000000001</v>
      </c>
    </row>
    <row r="243" spans="1:13" x14ac:dyDescent="0.25">
      <c r="A243" s="16">
        <v>233</v>
      </c>
      <c r="B243" s="18">
        <v>42575</v>
      </c>
      <c r="C243" s="16" t="s">
        <v>11</v>
      </c>
      <c r="D243" s="19" t="s">
        <v>12</v>
      </c>
      <c r="E243" s="19" t="s">
        <v>13</v>
      </c>
      <c r="F243" s="19" t="s">
        <v>14</v>
      </c>
      <c r="G243" s="19" t="s">
        <v>15</v>
      </c>
      <c r="H243" s="20">
        <v>1299</v>
      </c>
      <c r="I243" s="20">
        <v>727.44</v>
      </c>
      <c r="J243" s="21">
        <v>0.2</v>
      </c>
      <c r="K243" s="20">
        <f>Ventas[[#This Row],[Precio]]*$J$4</f>
        <v>207.84</v>
      </c>
      <c r="L243" s="20">
        <f>Ventas[[#This Row],[Precio]]-Ventas[[#This Row],[Costo]]-Ventas[[#This Row],[Desc $]]</f>
        <v>311.75999999999993</v>
      </c>
      <c r="M243" s="20">
        <f>Ventas[[#This Row],[Precio]]*Ventas[[#This Row],[Descuento]]</f>
        <v>259.8</v>
      </c>
    </row>
    <row r="244" spans="1:13" x14ac:dyDescent="0.25">
      <c r="A244" s="16">
        <v>234</v>
      </c>
      <c r="B244" s="18">
        <v>42438</v>
      </c>
      <c r="C244" s="16" t="s">
        <v>55</v>
      </c>
      <c r="D244" s="19" t="s">
        <v>26</v>
      </c>
      <c r="E244" s="19" t="s">
        <v>45</v>
      </c>
      <c r="F244" s="19" t="s">
        <v>56</v>
      </c>
      <c r="G244" s="19" t="s">
        <v>15</v>
      </c>
      <c r="H244" s="20">
        <v>499</v>
      </c>
      <c r="I244" s="20">
        <v>279.44000000000005</v>
      </c>
      <c r="J244" s="21">
        <v>0.15</v>
      </c>
      <c r="K244" s="20">
        <f>Ventas[[#This Row],[Precio]]*$J$4</f>
        <v>79.84</v>
      </c>
      <c r="L244" s="20">
        <f>Ventas[[#This Row],[Precio]]-Ventas[[#This Row],[Costo]]-Ventas[[#This Row],[Desc $]]</f>
        <v>144.70999999999995</v>
      </c>
      <c r="M244" s="20">
        <f>Ventas[[#This Row],[Precio]]*Ventas[[#This Row],[Descuento]]</f>
        <v>74.849999999999994</v>
      </c>
    </row>
    <row r="245" spans="1:13" x14ac:dyDescent="0.25">
      <c r="A245" s="16">
        <v>235</v>
      </c>
      <c r="B245" s="18">
        <v>42749</v>
      </c>
      <c r="C245" s="16" t="s">
        <v>136</v>
      </c>
      <c r="D245" s="19" t="s">
        <v>12</v>
      </c>
      <c r="E245" s="19" t="s">
        <v>35</v>
      </c>
      <c r="F245" s="19" t="s">
        <v>137</v>
      </c>
      <c r="G245" s="19" t="s">
        <v>15</v>
      </c>
      <c r="H245" s="20">
        <v>7599</v>
      </c>
      <c r="I245" s="20">
        <v>2735.64</v>
      </c>
      <c r="J245" s="21">
        <v>0</v>
      </c>
      <c r="K245" s="20">
        <f>Ventas[[#This Row],[Precio]]*$J$4</f>
        <v>1215.8399999999999</v>
      </c>
      <c r="L245" s="20">
        <f>Ventas[[#This Row],[Precio]]-Ventas[[#This Row],[Costo]]-Ventas[[#This Row],[Desc $]]</f>
        <v>4863.3600000000006</v>
      </c>
      <c r="M245" s="20">
        <f>Ventas[[#This Row],[Precio]]*Ventas[[#This Row],[Descuento]]</f>
        <v>0</v>
      </c>
    </row>
    <row r="246" spans="1:13" x14ac:dyDescent="0.25">
      <c r="A246" s="16">
        <v>236</v>
      </c>
      <c r="B246" s="18">
        <v>42459</v>
      </c>
      <c r="C246" s="16" t="s">
        <v>122</v>
      </c>
      <c r="D246" s="19" t="s">
        <v>22</v>
      </c>
      <c r="E246" s="19" t="s">
        <v>23</v>
      </c>
      <c r="F246" s="19" t="s">
        <v>123</v>
      </c>
      <c r="G246" s="19" t="s">
        <v>15</v>
      </c>
      <c r="H246" s="20">
        <v>999</v>
      </c>
      <c r="I246" s="20">
        <v>569.42999999999995</v>
      </c>
      <c r="J246" s="21">
        <v>0</v>
      </c>
      <c r="K246" s="20">
        <f>Ventas[[#This Row],[Precio]]*$J$4</f>
        <v>159.84</v>
      </c>
      <c r="L246" s="20">
        <f>Ventas[[#This Row],[Precio]]-Ventas[[#This Row],[Costo]]-Ventas[[#This Row],[Desc $]]</f>
        <v>429.57000000000005</v>
      </c>
      <c r="M246" s="20">
        <f>Ventas[[#This Row],[Precio]]*Ventas[[#This Row],[Descuento]]</f>
        <v>0</v>
      </c>
    </row>
    <row r="247" spans="1:13" x14ac:dyDescent="0.25">
      <c r="A247" s="16">
        <v>237</v>
      </c>
      <c r="B247" s="18">
        <v>42728</v>
      </c>
      <c r="C247" s="16" t="s">
        <v>150</v>
      </c>
      <c r="D247" s="19" t="s">
        <v>26</v>
      </c>
      <c r="E247" s="19" t="s">
        <v>27</v>
      </c>
      <c r="F247" s="19" t="s">
        <v>151</v>
      </c>
      <c r="G247" s="19" t="s">
        <v>15</v>
      </c>
      <c r="H247" s="20">
        <v>299</v>
      </c>
      <c r="I247" s="20">
        <v>152.49</v>
      </c>
      <c r="J247" s="21">
        <v>0</v>
      </c>
      <c r="K247" s="20">
        <f>Ventas[[#This Row],[Precio]]*$J$4</f>
        <v>47.84</v>
      </c>
      <c r="L247" s="20">
        <f>Ventas[[#This Row],[Precio]]-Ventas[[#This Row],[Costo]]-Ventas[[#This Row],[Desc $]]</f>
        <v>146.51</v>
      </c>
      <c r="M247" s="20">
        <f>Ventas[[#This Row],[Precio]]*Ventas[[#This Row],[Descuento]]</f>
        <v>0</v>
      </c>
    </row>
    <row r="248" spans="1:13" x14ac:dyDescent="0.25">
      <c r="A248" s="16">
        <v>238</v>
      </c>
      <c r="B248" s="18">
        <v>42631</v>
      </c>
      <c r="C248" s="16" t="s">
        <v>83</v>
      </c>
      <c r="D248" s="19" t="s">
        <v>26</v>
      </c>
      <c r="E248" s="19" t="s">
        <v>45</v>
      </c>
      <c r="F248" s="19" t="s">
        <v>84</v>
      </c>
      <c r="G248" s="19" t="s">
        <v>15</v>
      </c>
      <c r="H248" s="20">
        <v>999</v>
      </c>
      <c r="I248" s="20">
        <v>509.49</v>
      </c>
      <c r="J248" s="21">
        <v>0.1</v>
      </c>
      <c r="K248" s="20">
        <f>Ventas[[#This Row],[Precio]]*$J$4</f>
        <v>159.84</v>
      </c>
      <c r="L248" s="20">
        <f>Ventas[[#This Row],[Precio]]-Ventas[[#This Row],[Costo]]-Ventas[[#This Row],[Desc $]]</f>
        <v>389.61</v>
      </c>
      <c r="M248" s="20">
        <f>Ventas[[#This Row],[Precio]]*Ventas[[#This Row],[Descuento]]</f>
        <v>99.9</v>
      </c>
    </row>
    <row r="249" spans="1:13" x14ac:dyDescent="0.25">
      <c r="A249" s="16">
        <v>239</v>
      </c>
      <c r="B249" s="18">
        <v>42511</v>
      </c>
      <c r="C249" s="16" t="s">
        <v>16</v>
      </c>
      <c r="D249" s="19" t="s">
        <v>22</v>
      </c>
      <c r="E249" s="19" t="s">
        <v>18</v>
      </c>
      <c r="F249" s="19" t="s">
        <v>19</v>
      </c>
      <c r="G249" s="19" t="s">
        <v>20</v>
      </c>
      <c r="H249" s="20">
        <v>1149</v>
      </c>
      <c r="I249" s="20">
        <v>792.81</v>
      </c>
      <c r="J249" s="21">
        <v>0</v>
      </c>
      <c r="K249" s="20">
        <f>Ventas[[#This Row],[Precio]]*$J$4</f>
        <v>183.84</v>
      </c>
      <c r="L249" s="20">
        <f>Ventas[[#This Row],[Precio]]-Ventas[[#This Row],[Costo]]-Ventas[[#This Row],[Desc $]]</f>
        <v>356.19000000000005</v>
      </c>
      <c r="M249" s="20">
        <f>Ventas[[#This Row],[Precio]]*Ventas[[#This Row],[Descuento]]</f>
        <v>0</v>
      </c>
    </row>
    <row r="250" spans="1:13" x14ac:dyDescent="0.25">
      <c r="A250" s="16">
        <v>240</v>
      </c>
      <c r="B250" s="18">
        <v>42506</v>
      </c>
      <c r="C250" s="16" t="s">
        <v>72</v>
      </c>
      <c r="D250" s="19" t="s">
        <v>22</v>
      </c>
      <c r="E250" s="19" t="s">
        <v>18</v>
      </c>
      <c r="F250" s="19" t="s">
        <v>73</v>
      </c>
      <c r="G250" s="19" t="s">
        <v>69</v>
      </c>
      <c r="H250" s="20">
        <v>799</v>
      </c>
      <c r="I250" s="20">
        <v>535.33000000000004</v>
      </c>
      <c r="J250" s="21">
        <v>0.3</v>
      </c>
      <c r="K250" s="20">
        <f>Ventas[[#This Row],[Precio]]*$J$4</f>
        <v>127.84</v>
      </c>
      <c r="L250" s="20">
        <f>Ventas[[#This Row],[Precio]]-Ventas[[#This Row],[Costo]]-Ventas[[#This Row],[Desc $]]</f>
        <v>23.96999999999997</v>
      </c>
      <c r="M250" s="20">
        <f>Ventas[[#This Row],[Precio]]*Ventas[[#This Row],[Descuento]]</f>
        <v>239.7</v>
      </c>
    </row>
    <row r="251" spans="1:13" x14ac:dyDescent="0.25">
      <c r="A251" s="16">
        <v>241</v>
      </c>
      <c r="B251" s="18">
        <v>42388</v>
      </c>
      <c r="C251" s="16" t="s">
        <v>16</v>
      </c>
      <c r="D251" s="19" t="s">
        <v>22</v>
      </c>
      <c r="E251" s="19" t="s">
        <v>18</v>
      </c>
      <c r="F251" s="19" t="s">
        <v>19</v>
      </c>
      <c r="G251" s="19" t="s">
        <v>20</v>
      </c>
      <c r="H251" s="20">
        <v>1149</v>
      </c>
      <c r="I251" s="20">
        <v>792.81</v>
      </c>
      <c r="J251" s="21">
        <v>0.15</v>
      </c>
      <c r="K251" s="20">
        <f>Ventas[[#This Row],[Precio]]*$J$4</f>
        <v>183.84</v>
      </c>
      <c r="L251" s="20">
        <f>Ventas[[#This Row],[Precio]]-Ventas[[#This Row],[Costo]]-Ventas[[#This Row],[Desc $]]</f>
        <v>183.84000000000006</v>
      </c>
      <c r="M251" s="20">
        <f>Ventas[[#This Row],[Precio]]*Ventas[[#This Row],[Descuento]]</f>
        <v>172.35</v>
      </c>
    </row>
    <row r="252" spans="1:13" x14ac:dyDescent="0.25">
      <c r="A252" s="16">
        <v>242</v>
      </c>
      <c r="B252" s="18">
        <v>42404</v>
      </c>
      <c r="C252" s="16" t="s">
        <v>85</v>
      </c>
      <c r="D252" s="19" t="s">
        <v>22</v>
      </c>
      <c r="E252" s="19" t="s">
        <v>86</v>
      </c>
      <c r="F252" s="19" t="s">
        <v>87</v>
      </c>
      <c r="G252" s="19" t="s">
        <v>15</v>
      </c>
      <c r="H252" s="20">
        <v>3999</v>
      </c>
      <c r="I252" s="20">
        <v>1399.6499999999999</v>
      </c>
      <c r="J252" s="21">
        <v>0.15</v>
      </c>
      <c r="K252" s="20">
        <f>Ventas[[#This Row],[Precio]]*$J$4</f>
        <v>639.84</v>
      </c>
      <c r="L252" s="20">
        <f>Ventas[[#This Row],[Precio]]-Ventas[[#This Row],[Costo]]-Ventas[[#This Row],[Desc $]]</f>
        <v>1999.5000000000005</v>
      </c>
      <c r="M252" s="20">
        <f>Ventas[[#This Row],[Precio]]*Ventas[[#This Row],[Descuento]]</f>
        <v>599.85</v>
      </c>
    </row>
    <row r="253" spans="1:13" x14ac:dyDescent="0.25">
      <c r="A253" s="16">
        <v>243</v>
      </c>
      <c r="B253" s="18">
        <v>42404</v>
      </c>
      <c r="C253" s="16" t="s">
        <v>51</v>
      </c>
      <c r="D253" s="19" t="s">
        <v>22</v>
      </c>
      <c r="E253" s="19" t="s">
        <v>23</v>
      </c>
      <c r="F253" s="19" t="s">
        <v>52</v>
      </c>
      <c r="G253" s="19" t="s">
        <v>15</v>
      </c>
      <c r="H253" s="20">
        <v>599</v>
      </c>
      <c r="I253" s="20">
        <v>455.24</v>
      </c>
      <c r="J253" s="21">
        <v>0.15</v>
      </c>
      <c r="K253" s="20">
        <f>Ventas[[#This Row],[Precio]]*$J$4</f>
        <v>95.84</v>
      </c>
      <c r="L253" s="20">
        <f>Ventas[[#This Row],[Precio]]-Ventas[[#This Row],[Costo]]-Ventas[[#This Row],[Desc $]]</f>
        <v>53.91</v>
      </c>
      <c r="M253" s="20">
        <f>Ventas[[#This Row],[Precio]]*Ventas[[#This Row],[Descuento]]</f>
        <v>89.85</v>
      </c>
    </row>
    <row r="254" spans="1:13" x14ac:dyDescent="0.25">
      <c r="A254" s="16">
        <v>244</v>
      </c>
      <c r="B254" s="18">
        <v>42392</v>
      </c>
      <c r="C254" s="16" t="s">
        <v>85</v>
      </c>
      <c r="D254" s="19" t="s">
        <v>22</v>
      </c>
      <c r="E254" s="19" t="s">
        <v>86</v>
      </c>
      <c r="F254" s="19" t="s">
        <v>87</v>
      </c>
      <c r="G254" s="19" t="s">
        <v>15</v>
      </c>
      <c r="H254" s="20">
        <v>3999</v>
      </c>
      <c r="I254" s="20">
        <v>1399.6499999999999</v>
      </c>
      <c r="J254" s="21">
        <v>0</v>
      </c>
      <c r="K254" s="20">
        <f>Ventas[[#This Row],[Precio]]*$J$4</f>
        <v>639.84</v>
      </c>
      <c r="L254" s="20">
        <f>Ventas[[#This Row],[Precio]]-Ventas[[#This Row],[Costo]]-Ventas[[#This Row],[Desc $]]</f>
        <v>2599.3500000000004</v>
      </c>
      <c r="M254" s="20">
        <f>Ventas[[#This Row],[Precio]]*Ventas[[#This Row],[Descuento]]</f>
        <v>0</v>
      </c>
    </row>
    <row r="255" spans="1:13" x14ac:dyDescent="0.25">
      <c r="A255" s="16">
        <v>245</v>
      </c>
      <c r="B255" s="18">
        <v>42546</v>
      </c>
      <c r="C255" s="16" t="s">
        <v>130</v>
      </c>
      <c r="D255" s="19" t="s">
        <v>12</v>
      </c>
      <c r="E255" s="19" t="s">
        <v>13</v>
      </c>
      <c r="F255" s="19" t="s">
        <v>131</v>
      </c>
      <c r="G255" s="19" t="s">
        <v>15</v>
      </c>
      <c r="H255" s="20">
        <v>999</v>
      </c>
      <c r="I255" s="20">
        <v>569.42999999999995</v>
      </c>
      <c r="J255" s="21">
        <v>0.2</v>
      </c>
      <c r="K255" s="20">
        <f>Ventas[[#This Row],[Precio]]*$J$4</f>
        <v>159.84</v>
      </c>
      <c r="L255" s="20">
        <f>Ventas[[#This Row],[Precio]]-Ventas[[#This Row],[Costo]]-Ventas[[#This Row],[Desc $]]</f>
        <v>229.77000000000004</v>
      </c>
      <c r="M255" s="20">
        <f>Ventas[[#This Row],[Precio]]*Ventas[[#This Row],[Descuento]]</f>
        <v>199.8</v>
      </c>
    </row>
    <row r="256" spans="1:13" x14ac:dyDescent="0.25">
      <c r="A256" s="16">
        <v>246</v>
      </c>
      <c r="B256" s="18">
        <v>42391</v>
      </c>
      <c r="C256" s="16" t="s">
        <v>25</v>
      </c>
      <c r="D256" s="19" t="s">
        <v>26</v>
      </c>
      <c r="E256" s="19" t="s">
        <v>27</v>
      </c>
      <c r="F256" s="19" t="s">
        <v>28</v>
      </c>
      <c r="G256" s="19" t="s">
        <v>15</v>
      </c>
      <c r="H256" s="20">
        <v>1499</v>
      </c>
      <c r="I256" s="20">
        <v>794.47</v>
      </c>
      <c r="J256" s="21">
        <v>0</v>
      </c>
      <c r="K256" s="20">
        <f>Ventas[[#This Row],[Precio]]*$J$4</f>
        <v>239.84</v>
      </c>
      <c r="L256" s="20">
        <f>Ventas[[#This Row],[Precio]]-Ventas[[#This Row],[Costo]]-Ventas[[#This Row],[Desc $]]</f>
        <v>704.53</v>
      </c>
      <c r="M256" s="20">
        <f>Ventas[[#This Row],[Precio]]*Ventas[[#This Row],[Descuento]]</f>
        <v>0</v>
      </c>
    </row>
    <row r="257" spans="1:13" x14ac:dyDescent="0.25">
      <c r="A257" s="16">
        <v>247</v>
      </c>
      <c r="B257" s="18">
        <v>42722</v>
      </c>
      <c r="C257" s="16" t="s">
        <v>11</v>
      </c>
      <c r="D257" s="19" t="s">
        <v>12</v>
      </c>
      <c r="E257" s="19" t="s">
        <v>13</v>
      </c>
      <c r="F257" s="19" t="s">
        <v>14</v>
      </c>
      <c r="G257" s="19" t="s">
        <v>15</v>
      </c>
      <c r="H257" s="20">
        <v>1299</v>
      </c>
      <c r="I257" s="20">
        <v>727.44</v>
      </c>
      <c r="J257" s="21">
        <v>0</v>
      </c>
      <c r="K257" s="20">
        <f>Ventas[[#This Row],[Precio]]*$J$4</f>
        <v>207.84</v>
      </c>
      <c r="L257" s="20">
        <f>Ventas[[#This Row],[Precio]]-Ventas[[#This Row],[Costo]]-Ventas[[#This Row],[Desc $]]</f>
        <v>571.55999999999995</v>
      </c>
      <c r="M257" s="20">
        <f>Ventas[[#This Row],[Precio]]*Ventas[[#This Row],[Descuento]]</f>
        <v>0</v>
      </c>
    </row>
    <row r="258" spans="1:13" x14ac:dyDescent="0.25">
      <c r="A258" s="16">
        <v>248</v>
      </c>
      <c r="B258" s="18">
        <v>42703</v>
      </c>
      <c r="C258" s="16" t="s">
        <v>152</v>
      </c>
      <c r="D258" s="19" t="s">
        <v>22</v>
      </c>
      <c r="E258" s="19" t="s">
        <v>23</v>
      </c>
      <c r="F258" s="19" t="s">
        <v>153</v>
      </c>
      <c r="G258" s="19" t="s">
        <v>15</v>
      </c>
      <c r="H258" s="20">
        <v>2199</v>
      </c>
      <c r="I258" s="20">
        <v>1825.1699999999998</v>
      </c>
      <c r="J258" s="21">
        <v>0</v>
      </c>
      <c r="K258" s="20">
        <f>Ventas[[#This Row],[Precio]]*$J$4</f>
        <v>351.84000000000003</v>
      </c>
      <c r="L258" s="20">
        <f>Ventas[[#This Row],[Precio]]-Ventas[[#This Row],[Costo]]-Ventas[[#This Row],[Desc $]]</f>
        <v>373.83000000000015</v>
      </c>
      <c r="M258" s="20">
        <f>Ventas[[#This Row],[Precio]]*Ventas[[#This Row],[Descuento]]</f>
        <v>0</v>
      </c>
    </row>
    <row r="259" spans="1:13" x14ac:dyDescent="0.25">
      <c r="A259" s="16">
        <v>249</v>
      </c>
      <c r="B259" s="18">
        <v>42404</v>
      </c>
      <c r="C259" s="16" t="s">
        <v>41</v>
      </c>
      <c r="D259" s="19" t="s">
        <v>22</v>
      </c>
      <c r="E259" s="19" t="s">
        <v>18</v>
      </c>
      <c r="F259" s="19" t="s">
        <v>42</v>
      </c>
      <c r="G259" s="19" t="s">
        <v>43</v>
      </c>
      <c r="H259" s="20">
        <v>1149</v>
      </c>
      <c r="I259" s="20">
        <v>896.22</v>
      </c>
      <c r="J259" s="21">
        <v>0.15</v>
      </c>
      <c r="K259" s="20">
        <f>Ventas[[#This Row],[Precio]]*$J$4</f>
        <v>183.84</v>
      </c>
      <c r="L259" s="20">
        <f>Ventas[[#This Row],[Precio]]-Ventas[[#This Row],[Costo]]-Ventas[[#This Row],[Desc $]]</f>
        <v>80.429999999999978</v>
      </c>
      <c r="M259" s="20">
        <f>Ventas[[#This Row],[Precio]]*Ventas[[#This Row],[Descuento]]</f>
        <v>172.35</v>
      </c>
    </row>
    <row r="260" spans="1:13" x14ac:dyDescent="0.25">
      <c r="A260" s="16">
        <v>250</v>
      </c>
      <c r="B260" s="18">
        <v>42601</v>
      </c>
      <c r="C260" s="16" t="s">
        <v>90</v>
      </c>
      <c r="D260" s="19" t="s">
        <v>12</v>
      </c>
      <c r="E260" s="19" t="s">
        <v>35</v>
      </c>
      <c r="F260" s="19" t="s">
        <v>91</v>
      </c>
      <c r="G260" s="19" t="s">
        <v>15</v>
      </c>
      <c r="H260" s="20">
        <v>6999</v>
      </c>
      <c r="I260" s="20">
        <v>4829.3099999999995</v>
      </c>
      <c r="J260" s="21">
        <v>0.15</v>
      </c>
      <c r="K260" s="20">
        <f>Ventas[[#This Row],[Precio]]*$J$4</f>
        <v>1119.8399999999999</v>
      </c>
      <c r="L260" s="20">
        <f>Ventas[[#This Row],[Precio]]-Ventas[[#This Row],[Costo]]-Ventas[[#This Row],[Desc $]]</f>
        <v>1119.8400000000006</v>
      </c>
      <c r="M260" s="20">
        <f>Ventas[[#This Row],[Precio]]*Ventas[[#This Row],[Descuento]]</f>
        <v>1049.8499999999999</v>
      </c>
    </row>
    <row r="261" spans="1:13" x14ac:dyDescent="0.25">
      <c r="A261" s="16">
        <v>251</v>
      </c>
      <c r="B261" s="18">
        <v>42575</v>
      </c>
      <c r="C261" s="16" t="s">
        <v>31</v>
      </c>
      <c r="D261" s="19" t="s">
        <v>22</v>
      </c>
      <c r="E261" s="19" t="s">
        <v>18</v>
      </c>
      <c r="F261" s="19" t="s">
        <v>32</v>
      </c>
      <c r="G261" s="19" t="s">
        <v>33</v>
      </c>
      <c r="H261" s="20">
        <v>1199</v>
      </c>
      <c r="I261" s="20">
        <v>887.26</v>
      </c>
      <c r="J261" s="21">
        <v>0.2</v>
      </c>
      <c r="K261" s="20">
        <f>Ventas[[#This Row],[Precio]]*$J$4</f>
        <v>191.84</v>
      </c>
      <c r="L261" s="20">
        <f>Ventas[[#This Row],[Precio]]-Ventas[[#This Row],[Costo]]-Ventas[[#This Row],[Desc $]]</f>
        <v>71.94</v>
      </c>
      <c r="M261" s="20">
        <f>Ventas[[#This Row],[Precio]]*Ventas[[#This Row],[Descuento]]</f>
        <v>239.8</v>
      </c>
    </row>
    <row r="262" spans="1:13" x14ac:dyDescent="0.25">
      <c r="A262" s="16">
        <v>252</v>
      </c>
      <c r="B262" s="18">
        <v>42455</v>
      </c>
      <c r="C262" s="16" t="s">
        <v>51</v>
      </c>
      <c r="D262" s="19" t="s">
        <v>22</v>
      </c>
      <c r="E262" s="19" t="s">
        <v>23</v>
      </c>
      <c r="F262" s="19" t="s">
        <v>52</v>
      </c>
      <c r="G262" s="19" t="s">
        <v>15</v>
      </c>
      <c r="H262" s="20">
        <v>599</v>
      </c>
      <c r="I262" s="20">
        <v>455.24</v>
      </c>
      <c r="J262" s="21">
        <v>0.2</v>
      </c>
      <c r="K262" s="20">
        <f>Ventas[[#This Row],[Precio]]*$J$4</f>
        <v>95.84</v>
      </c>
      <c r="L262" s="20">
        <f>Ventas[[#This Row],[Precio]]-Ventas[[#This Row],[Costo]]-Ventas[[#This Row],[Desc $]]</f>
        <v>23.95999999999998</v>
      </c>
      <c r="M262" s="20">
        <f>Ventas[[#This Row],[Precio]]*Ventas[[#This Row],[Descuento]]</f>
        <v>119.80000000000001</v>
      </c>
    </row>
    <row r="263" spans="1:13" x14ac:dyDescent="0.25">
      <c r="A263" s="16">
        <v>253</v>
      </c>
      <c r="B263" s="18">
        <v>42598</v>
      </c>
      <c r="C263" s="16" t="s">
        <v>51</v>
      </c>
      <c r="D263" s="19" t="s">
        <v>22</v>
      </c>
      <c r="E263" s="19" t="s">
        <v>23</v>
      </c>
      <c r="F263" s="19" t="s">
        <v>52</v>
      </c>
      <c r="G263" s="19" t="s">
        <v>15</v>
      </c>
      <c r="H263" s="20">
        <v>599</v>
      </c>
      <c r="I263" s="20">
        <v>455.24</v>
      </c>
      <c r="J263" s="21">
        <v>0</v>
      </c>
      <c r="K263" s="20">
        <f>Ventas[[#This Row],[Precio]]*$J$4</f>
        <v>95.84</v>
      </c>
      <c r="L263" s="20">
        <f>Ventas[[#This Row],[Precio]]-Ventas[[#This Row],[Costo]]-Ventas[[#This Row],[Desc $]]</f>
        <v>143.76</v>
      </c>
      <c r="M263" s="20">
        <f>Ventas[[#This Row],[Precio]]*Ventas[[#This Row],[Descuento]]</f>
        <v>0</v>
      </c>
    </row>
    <row r="264" spans="1:13" x14ac:dyDescent="0.25">
      <c r="A264" s="16">
        <v>254</v>
      </c>
      <c r="B264" s="18">
        <v>42631</v>
      </c>
      <c r="C264" s="16" t="s">
        <v>51</v>
      </c>
      <c r="D264" s="19" t="s">
        <v>22</v>
      </c>
      <c r="E264" s="19" t="s">
        <v>23</v>
      </c>
      <c r="F264" s="19" t="s">
        <v>52</v>
      </c>
      <c r="G264" s="19" t="s">
        <v>15</v>
      </c>
      <c r="H264" s="20">
        <v>599</v>
      </c>
      <c r="I264" s="20">
        <v>455.24</v>
      </c>
      <c r="J264" s="21">
        <v>0.1</v>
      </c>
      <c r="K264" s="20">
        <f>Ventas[[#This Row],[Precio]]*$J$4</f>
        <v>95.84</v>
      </c>
      <c r="L264" s="20">
        <f>Ventas[[#This Row],[Precio]]-Ventas[[#This Row],[Costo]]-Ventas[[#This Row],[Desc $]]</f>
        <v>83.859999999999985</v>
      </c>
      <c r="M264" s="20">
        <f>Ventas[[#This Row],[Precio]]*Ventas[[#This Row],[Descuento]]</f>
        <v>59.900000000000006</v>
      </c>
    </row>
    <row r="265" spans="1:13" x14ac:dyDescent="0.25">
      <c r="A265" s="16">
        <v>255</v>
      </c>
      <c r="B265" s="18">
        <v>42455</v>
      </c>
      <c r="C265" s="16" t="s">
        <v>74</v>
      </c>
      <c r="D265" s="19" t="s">
        <v>12</v>
      </c>
      <c r="E265" s="19" t="s">
        <v>13</v>
      </c>
      <c r="F265" s="19" t="s">
        <v>75</v>
      </c>
      <c r="G265" s="19" t="s">
        <v>15</v>
      </c>
      <c r="H265" s="20">
        <v>2599</v>
      </c>
      <c r="I265" s="20">
        <v>1819.3</v>
      </c>
      <c r="J265" s="21">
        <v>0.2</v>
      </c>
      <c r="K265" s="20">
        <f>Ventas[[#This Row],[Precio]]*$J$4</f>
        <v>415.84000000000003</v>
      </c>
      <c r="L265" s="20">
        <f>Ventas[[#This Row],[Precio]]-Ventas[[#This Row],[Costo]]-Ventas[[#This Row],[Desc $]]</f>
        <v>259.89999999999998</v>
      </c>
      <c r="M265" s="20">
        <f>Ventas[[#This Row],[Precio]]*Ventas[[#This Row],[Descuento]]</f>
        <v>519.80000000000007</v>
      </c>
    </row>
    <row r="266" spans="1:13" x14ac:dyDescent="0.25">
      <c r="A266" s="16">
        <v>256</v>
      </c>
      <c r="B266" s="18">
        <v>42575</v>
      </c>
      <c r="C266" s="16" t="s">
        <v>70</v>
      </c>
      <c r="D266" s="19" t="s">
        <v>26</v>
      </c>
      <c r="E266" s="19" t="s">
        <v>45</v>
      </c>
      <c r="F266" s="19" t="s">
        <v>71</v>
      </c>
      <c r="G266" s="19" t="s">
        <v>15</v>
      </c>
      <c r="H266" s="20">
        <v>449</v>
      </c>
      <c r="I266" s="20">
        <v>161.63999999999999</v>
      </c>
      <c r="J266" s="21">
        <v>0.2</v>
      </c>
      <c r="K266" s="20">
        <f>Ventas[[#This Row],[Precio]]*$J$4</f>
        <v>71.84</v>
      </c>
      <c r="L266" s="20">
        <f>Ventas[[#This Row],[Precio]]-Ventas[[#This Row],[Costo]]-Ventas[[#This Row],[Desc $]]</f>
        <v>197.56</v>
      </c>
      <c r="M266" s="20">
        <f>Ventas[[#This Row],[Precio]]*Ventas[[#This Row],[Descuento]]</f>
        <v>89.800000000000011</v>
      </c>
    </row>
    <row r="267" spans="1:13" x14ac:dyDescent="0.25">
      <c r="A267" s="16">
        <v>257</v>
      </c>
      <c r="B267" s="18">
        <v>42597</v>
      </c>
      <c r="C267" s="16" t="s">
        <v>25</v>
      </c>
      <c r="D267" s="19" t="s">
        <v>26</v>
      </c>
      <c r="E267" s="19" t="s">
        <v>27</v>
      </c>
      <c r="F267" s="19" t="s">
        <v>28</v>
      </c>
      <c r="G267" s="19" t="s">
        <v>15</v>
      </c>
      <c r="H267" s="20">
        <v>1499</v>
      </c>
      <c r="I267" s="20">
        <v>794.47</v>
      </c>
      <c r="J267" s="21">
        <v>0</v>
      </c>
      <c r="K267" s="20">
        <f>Ventas[[#This Row],[Precio]]*$J$4</f>
        <v>239.84</v>
      </c>
      <c r="L267" s="20">
        <f>Ventas[[#This Row],[Precio]]-Ventas[[#This Row],[Costo]]-Ventas[[#This Row],[Desc $]]</f>
        <v>704.53</v>
      </c>
      <c r="M267" s="20">
        <f>Ventas[[#This Row],[Precio]]*Ventas[[#This Row],[Descuento]]</f>
        <v>0</v>
      </c>
    </row>
    <row r="268" spans="1:13" x14ac:dyDescent="0.25">
      <c r="A268" s="16">
        <v>258</v>
      </c>
      <c r="B268" s="18">
        <v>42454</v>
      </c>
      <c r="C268" s="16" t="s">
        <v>41</v>
      </c>
      <c r="D268" s="19" t="s">
        <v>22</v>
      </c>
      <c r="E268" s="19" t="s">
        <v>18</v>
      </c>
      <c r="F268" s="19" t="s">
        <v>42</v>
      </c>
      <c r="G268" s="19" t="s">
        <v>43</v>
      </c>
      <c r="H268" s="20">
        <v>1149</v>
      </c>
      <c r="I268" s="20">
        <v>896.22</v>
      </c>
      <c r="J268" s="21">
        <v>0.15</v>
      </c>
      <c r="K268" s="20">
        <f>Ventas[[#This Row],[Precio]]*$J$4</f>
        <v>183.84</v>
      </c>
      <c r="L268" s="20">
        <f>Ventas[[#This Row],[Precio]]-Ventas[[#This Row],[Costo]]-Ventas[[#This Row],[Desc $]]</f>
        <v>80.429999999999978</v>
      </c>
      <c r="M268" s="20">
        <f>Ventas[[#This Row],[Precio]]*Ventas[[#This Row],[Descuento]]</f>
        <v>172.35</v>
      </c>
    </row>
    <row r="269" spans="1:13" x14ac:dyDescent="0.25">
      <c r="A269" s="16">
        <v>259</v>
      </c>
      <c r="B269" s="18">
        <v>42506</v>
      </c>
      <c r="C269" s="16" t="s">
        <v>85</v>
      </c>
      <c r="D269" s="19" t="s">
        <v>22</v>
      </c>
      <c r="E269" s="19" t="s">
        <v>86</v>
      </c>
      <c r="F269" s="19" t="s">
        <v>87</v>
      </c>
      <c r="G269" s="19" t="s">
        <v>15</v>
      </c>
      <c r="H269" s="20">
        <v>3999</v>
      </c>
      <c r="I269" s="20">
        <v>1399.6499999999999</v>
      </c>
      <c r="J269" s="21">
        <v>0.3</v>
      </c>
      <c r="K269" s="20">
        <f>Ventas[[#This Row],[Precio]]*$J$4</f>
        <v>639.84</v>
      </c>
      <c r="L269" s="20">
        <f>Ventas[[#This Row],[Precio]]-Ventas[[#This Row],[Costo]]-Ventas[[#This Row],[Desc $]]</f>
        <v>1399.6500000000003</v>
      </c>
      <c r="M269" s="20">
        <f>Ventas[[#This Row],[Precio]]*Ventas[[#This Row],[Descuento]]</f>
        <v>1199.7</v>
      </c>
    </row>
    <row r="270" spans="1:13" x14ac:dyDescent="0.25">
      <c r="A270" s="16">
        <v>260</v>
      </c>
      <c r="B270" s="18">
        <v>42424</v>
      </c>
      <c r="C270" s="16" t="s">
        <v>61</v>
      </c>
      <c r="D270" s="19" t="s">
        <v>26</v>
      </c>
      <c r="E270" s="19" t="s">
        <v>45</v>
      </c>
      <c r="F270" s="19" t="s">
        <v>62</v>
      </c>
      <c r="G270" s="19" t="s">
        <v>15</v>
      </c>
      <c r="H270" s="20">
        <v>799</v>
      </c>
      <c r="I270" s="20">
        <v>679.15</v>
      </c>
      <c r="J270" s="21">
        <v>0.15</v>
      </c>
      <c r="K270" s="20">
        <f>Ventas[[#This Row],[Precio]]*$J$4</f>
        <v>127.84</v>
      </c>
      <c r="L270" s="20">
        <f>Ventas[[#This Row],[Precio]]-Ventas[[#This Row],[Costo]]-Ventas[[#This Row],[Desc $]]</f>
        <v>0</v>
      </c>
      <c r="M270" s="20">
        <f>Ventas[[#This Row],[Precio]]*Ventas[[#This Row],[Descuento]]</f>
        <v>119.85</v>
      </c>
    </row>
    <row r="271" spans="1:13" x14ac:dyDescent="0.25">
      <c r="A271" s="16">
        <v>261</v>
      </c>
      <c r="B271" s="18">
        <v>42402</v>
      </c>
      <c r="C271" s="16" t="s">
        <v>154</v>
      </c>
      <c r="D271" s="19" t="s">
        <v>26</v>
      </c>
      <c r="E271" s="19" t="s">
        <v>27</v>
      </c>
      <c r="F271" s="19" t="s">
        <v>155</v>
      </c>
      <c r="G271" s="19" t="s">
        <v>15</v>
      </c>
      <c r="H271" s="20">
        <v>219</v>
      </c>
      <c r="I271" s="20">
        <v>170.82</v>
      </c>
      <c r="J271" s="21">
        <v>0.2</v>
      </c>
      <c r="K271" s="20">
        <f>Ventas[[#This Row],[Precio]]*$J$4</f>
        <v>35.04</v>
      </c>
      <c r="L271" s="20">
        <f>Ventas[[#This Row],[Precio]]-Ventas[[#This Row],[Costo]]-Ventas[[#This Row],[Desc $]]</f>
        <v>4.3800000000000026</v>
      </c>
      <c r="M271" s="20">
        <f>Ventas[[#This Row],[Precio]]*Ventas[[#This Row],[Descuento]]</f>
        <v>43.800000000000004</v>
      </c>
    </row>
    <row r="272" spans="1:13" x14ac:dyDescent="0.25">
      <c r="A272" s="16">
        <v>262</v>
      </c>
      <c r="B272" s="18">
        <v>42782</v>
      </c>
      <c r="C272" s="16" t="s">
        <v>61</v>
      </c>
      <c r="D272" s="19" t="s">
        <v>26</v>
      </c>
      <c r="E272" s="19" t="s">
        <v>45</v>
      </c>
      <c r="F272" s="19" t="s">
        <v>62</v>
      </c>
      <c r="G272" s="19" t="s">
        <v>15</v>
      </c>
      <c r="H272" s="20">
        <v>799</v>
      </c>
      <c r="I272" s="20">
        <v>679.15</v>
      </c>
      <c r="J272" s="21">
        <v>0</v>
      </c>
      <c r="K272" s="20">
        <f>Ventas[[#This Row],[Precio]]*$J$4</f>
        <v>127.84</v>
      </c>
      <c r="L272" s="20">
        <f>Ventas[[#This Row],[Precio]]-Ventas[[#This Row],[Costo]]-Ventas[[#This Row],[Desc $]]</f>
        <v>119.85000000000002</v>
      </c>
      <c r="M272" s="20">
        <f>Ventas[[#This Row],[Precio]]*Ventas[[#This Row],[Descuento]]</f>
        <v>0</v>
      </c>
    </row>
    <row r="273" spans="1:13" x14ac:dyDescent="0.25">
      <c r="A273" s="16">
        <v>263</v>
      </c>
      <c r="B273" s="18">
        <v>42454</v>
      </c>
      <c r="C273" s="16" t="s">
        <v>41</v>
      </c>
      <c r="D273" s="19" t="s">
        <v>22</v>
      </c>
      <c r="E273" s="19" t="s">
        <v>18</v>
      </c>
      <c r="F273" s="19" t="s">
        <v>42</v>
      </c>
      <c r="G273" s="19" t="s">
        <v>43</v>
      </c>
      <c r="H273" s="20">
        <v>1149</v>
      </c>
      <c r="I273" s="20">
        <v>896.22</v>
      </c>
      <c r="J273" s="21">
        <v>0.15</v>
      </c>
      <c r="K273" s="20">
        <f>Ventas[[#This Row],[Precio]]*$J$4</f>
        <v>183.84</v>
      </c>
      <c r="L273" s="20">
        <f>Ventas[[#This Row],[Precio]]-Ventas[[#This Row],[Costo]]-Ventas[[#This Row],[Desc $]]</f>
        <v>80.429999999999978</v>
      </c>
      <c r="M273" s="20">
        <f>Ventas[[#This Row],[Precio]]*Ventas[[#This Row],[Descuento]]</f>
        <v>172.35</v>
      </c>
    </row>
    <row r="274" spans="1:13" x14ac:dyDescent="0.25">
      <c r="A274" s="16">
        <v>264</v>
      </c>
      <c r="B274" s="18">
        <v>42428</v>
      </c>
      <c r="C274" s="16" t="s">
        <v>31</v>
      </c>
      <c r="D274" s="19" t="s">
        <v>22</v>
      </c>
      <c r="E274" s="19" t="s">
        <v>18</v>
      </c>
      <c r="F274" s="19" t="s">
        <v>32</v>
      </c>
      <c r="G274" s="19" t="s">
        <v>33</v>
      </c>
      <c r="H274" s="20">
        <v>1199</v>
      </c>
      <c r="I274" s="20">
        <v>887.26</v>
      </c>
      <c r="J274" s="21">
        <v>0</v>
      </c>
      <c r="K274" s="20">
        <f>Ventas[[#This Row],[Precio]]*$J$4</f>
        <v>191.84</v>
      </c>
      <c r="L274" s="20">
        <f>Ventas[[#This Row],[Precio]]-Ventas[[#This Row],[Costo]]-Ventas[[#This Row],[Desc $]]</f>
        <v>311.74</v>
      </c>
      <c r="M274" s="20">
        <f>Ventas[[#This Row],[Precio]]*Ventas[[#This Row],[Descuento]]</f>
        <v>0</v>
      </c>
    </row>
    <row r="275" spans="1:13" x14ac:dyDescent="0.25">
      <c r="A275" s="16">
        <v>265</v>
      </c>
      <c r="B275" s="18">
        <v>42479</v>
      </c>
      <c r="C275" s="16" t="s">
        <v>25</v>
      </c>
      <c r="D275" s="19" t="s">
        <v>26</v>
      </c>
      <c r="E275" s="19" t="s">
        <v>27</v>
      </c>
      <c r="F275" s="19" t="s">
        <v>28</v>
      </c>
      <c r="G275" s="19" t="s">
        <v>15</v>
      </c>
      <c r="H275" s="20">
        <v>1499</v>
      </c>
      <c r="I275" s="20">
        <v>794.47</v>
      </c>
      <c r="J275" s="21">
        <v>0.15</v>
      </c>
      <c r="K275" s="20">
        <f>Ventas[[#This Row],[Precio]]*$J$4</f>
        <v>239.84</v>
      </c>
      <c r="L275" s="20">
        <f>Ventas[[#This Row],[Precio]]-Ventas[[#This Row],[Costo]]-Ventas[[#This Row],[Desc $]]</f>
        <v>479.67999999999995</v>
      </c>
      <c r="M275" s="20">
        <f>Ventas[[#This Row],[Precio]]*Ventas[[#This Row],[Descuento]]</f>
        <v>224.85</v>
      </c>
    </row>
    <row r="276" spans="1:13" x14ac:dyDescent="0.25">
      <c r="A276" s="16">
        <v>266</v>
      </c>
      <c r="B276" s="18">
        <v>42455</v>
      </c>
      <c r="C276" s="16" t="s">
        <v>31</v>
      </c>
      <c r="D276" s="19" t="s">
        <v>22</v>
      </c>
      <c r="E276" s="19" t="s">
        <v>18</v>
      </c>
      <c r="F276" s="19" t="s">
        <v>32</v>
      </c>
      <c r="G276" s="19" t="s">
        <v>33</v>
      </c>
      <c r="H276" s="20">
        <v>1199</v>
      </c>
      <c r="I276" s="20">
        <v>887.26</v>
      </c>
      <c r="J276" s="21">
        <v>0.2</v>
      </c>
      <c r="K276" s="20">
        <f>Ventas[[#This Row],[Precio]]*$J$4</f>
        <v>191.84</v>
      </c>
      <c r="L276" s="20">
        <f>Ventas[[#This Row],[Precio]]-Ventas[[#This Row],[Costo]]-Ventas[[#This Row],[Desc $]]</f>
        <v>71.94</v>
      </c>
      <c r="M276" s="20">
        <f>Ventas[[#This Row],[Precio]]*Ventas[[#This Row],[Descuento]]</f>
        <v>239.8</v>
      </c>
    </row>
    <row r="277" spans="1:13" x14ac:dyDescent="0.25">
      <c r="A277" s="16">
        <v>267</v>
      </c>
      <c r="B277" s="18">
        <v>42642</v>
      </c>
      <c r="C277" s="16" t="s">
        <v>61</v>
      </c>
      <c r="D277" s="19" t="s">
        <v>26</v>
      </c>
      <c r="E277" s="19" t="s">
        <v>45</v>
      </c>
      <c r="F277" s="19" t="s">
        <v>62</v>
      </c>
      <c r="G277" s="19" t="s">
        <v>15</v>
      </c>
      <c r="H277" s="20">
        <v>799</v>
      </c>
      <c r="I277" s="20">
        <v>679.15</v>
      </c>
      <c r="J277" s="21">
        <v>0</v>
      </c>
      <c r="K277" s="20">
        <f>Ventas[[#This Row],[Precio]]*$J$4</f>
        <v>127.84</v>
      </c>
      <c r="L277" s="20">
        <f>Ventas[[#This Row],[Precio]]-Ventas[[#This Row],[Costo]]-Ventas[[#This Row],[Desc $]]</f>
        <v>119.85000000000002</v>
      </c>
      <c r="M277" s="20">
        <f>Ventas[[#This Row],[Precio]]*Ventas[[#This Row],[Descuento]]</f>
        <v>0</v>
      </c>
    </row>
    <row r="278" spans="1:13" x14ac:dyDescent="0.25">
      <c r="A278" s="16">
        <v>268</v>
      </c>
      <c r="B278" s="18">
        <v>42479</v>
      </c>
      <c r="C278" s="16" t="s">
        <v>25</v>
      </c>
      <c r="D278" s="19" t="s">
        <v>26</v>
      </c>
      <c r="E278" s="19" t="s">
        <v>27</v>
      </c>
      <c r="F278" s="19" t="s">
        <v>28</v>
      </c>
      <c r="G278" s="19" t="s">
        <v>15</v>
      </c>
      <c r="H278" s="20">
        <v>1499</v>
      </c>
      <c r="I278" s="20">
        <v>794.47</v>
      </c>
      <c r="J278" s="21">
        <v>0.15</v>
      </c>
      <c r="K278" s="20">
        <f>Ventas[[#This Row],[Precio]]*$J$4</f>
        <v>239.84</v>
      </c>
      <c r="L278" s="20">
        <f>Ventas[[#This Row],[Precio]]-Ventas[[#This Row],[Costo]]-Ventas[[#This Row],[Desc $]]</f>
        <v>479.67999999999995</v>
      </c>
      <c r="M278" s="20">
        <f>Ventas[[#This Row],[Precio]]*Ventas[[#This Row],[Descuento]]</f>
        <v>224.85</v>
      </c>
    </row>
    <row r="279" spans="1:13" x14ac:dyDescent="0.25">
      <c r="A279" s="16">
        <v>269</v>
      </c>
      <c r="B279" s="18">
        <v>42479</v>
      </c>
      <c r="C279" s="16" t="s">
        <v>41</v>
      </c>
      <c r="D279" s="19" t="s">
        <v>22</v>
      </c>
      <c r="E279" s="19" t="s">
        <v>18</v>
      </c>
      <c r="F279" s="19" t="s">
        <v>42</v>
      </c>
      <c r="G279" s="19" t="s">
        <v>43</v>
      </c>
      <c r="H279" s="20">
        <v>1149</v>
      </c>
      <c r="I279" s="20">
        <v>896.22</v>
      </c>
      <c r="J279" s="21">
        <v>0.15</v>
      </c>
      <c r="K279" s="20">
        <f>Ventas[[#This Row],[Precio]]*$J$4</f>
        <v>183.84</v>
      </c>
      <c r="L279" s="20">
        <f>Ventas[[#This Row],[Precio]]-Ventas[[#This Row],[Costo]]-Ventas[[#This Row],[Desc $]]</f>
        <v>80.429999999999978</v>
      </c>
      <c r="M279" s="20">
        <f>Ventas[[#This Row],[Precio]]*Ventas[[#This Row],[Descuento]]</f>
        <v>172.35</v>
      </c>
    </row>
    <row r="280" spans="1:13" x14ac:dyDescent="0.25">
      <c r="A280" s="16">
        <v>270</v>
      </c>
      <c r="B280" s="18">
        <v>42404</v>
      </c>
      <c r="C280" s="16" t="s">
        <v>41</v>
      </c>
      <c r="D280" s="19" t="s">
        <v>22</v>
      </c>
      <c r="E280" s="19" t="s">
        <v>18</v>
      </c>
      <c r="F280" s="19" t="s">
        <v>42</v>
      </c>
      <c r="G280" s="19" t="s">
        <v>43</v>
      </c>
      <c r="H280" s="20">
        <v>1149</v>
      </c>
      <c r="I280" s="20">
        <v>896.22</v>
      </c>
      <c r="J280" s="21">
        <v>0.15</v>
      </c>
      <c r="K280" s="20">
        <f>Ventas[[#This Row],[Precio]]*$J$4</f>
        <v>183.84</v>
      </c>
      <c r="L280" s="20">
        <f>Ventas[[#This Row],[Precio]]-Ventas[[#This Row],[Costo]]-Ventas[[#This Row],[Desc $]]</f>
        <v>80.429999999999978</v>
      </c>
      <c r="M280" s="20">
        <f>Ventas[[#This Row],[Precio]]*Ventas[[#This Row],[Descuento]]</f>
        <v>172.35</v>
      </c>
    </row>
    <row r="281" spans="1:13" x14ac:dyDescent="0.25">
      <c r="A281" s="16">
        <v>271</v>
      </c>
      <c r="B281" s="18">
        <v>42643</v>
      </c>
      <c r="C281" s="16" t="s">
        <v>41</v>
      </c>
      <c r="D281" s="19" t="s">
        <v>22</v>
      </c>
      <c r="E281" s="19" t="s">
        <v>18</v>
      </c>
      <c r="F281" s="19" t="s">
        <v>42</v>
      </c>
      <c r="G281" s="19" t="s">
        <v>43</v>
      </c>
      <c r="H281" s="20">
        <v>1149</v>
      </c>
      <c r="I281" s="20">
        <v>896.22</v>
      </c>
      <c r="J281" s="21">
        <v>0.2</v>
      </c>
      <c r="K281" s="20">
        <f>Ventas[[#This Row],[Precio]]*$J$4</f>
        <v>183.84</v>
      </c>
      <c r="L281" s="20">
        <f>Ventas[[#This Row],[Precio]]-Ventas[[#This Row],[Costo]]-Ventas[[#This Row],[Desc $]]</f>
        <v>22.979999999999961</v>
      </c>
      <c r="M281" s="20">
        <f>Ventas[[#This Row],[Precio]]*Ventas[[#This Row],[Descuento]]</f>
        <v>229.8</v>
      </c>
    </row>
    <row r="282" spans="1:13" x14ac:dyDescent="0.25">
      <c r="A282" s="16">
        <v>272</v>
      </c>
      <c r="B282" s="18">
        <v>42422</v>
      </c>
      <c r="C282" s="16" t="s">
        <v>41</v>
      </c>
      <c r="D282" s="19" t="s">
        <v>22</v>
      </c>
      <c r="E282" s="19" t="s">
        <v>18</v>
      </c>
      <c r="F282" s="19" t="s">
        <v>42</v>
      </c>
      <c r="G282" s="19" t="s">
        <v>43</v>
      </c>
      <c r="H282" s="20">
        <v>1149</v>
      </c>
      <c r="I282" s="20">
        <v>896.22</v>
      </c>
      <c r="J282" s="21">
        <v>0</v>
      </c>
      <c r="K282" s="20">
        <f>Ventas[[#This Row],[Precio]]*$J$4</f>
        <v>183.84</v>
      </c>
      <c r="L282" s="20">
        <f>Ventas[[#This Row],[Precio]]-Ventas[[#This Row],[Costo]]-Ventas[[#This Row],[Desc $]]</f>
        <v>252.77999999999997</v>
      </c>
      <c r="M282" s="20">
        <f>Ventas[[#This Row],[Precio]]*Ventas[[#This Row],[Descuento]]</f>
        <v>0</v>
      </c>
    </row>
    <row r="283" spans="1:13" x14ac:dyDescent="0.25">
      <c r="A283" s="16">
        <v>273</v>
      </c>
      <c r="B283" s="18">
        <v>42402</v>
      </c>
      <c r="C283" s="16" t="s">
        <v>49</v>
      </c>
      <c r="D283" s="19" t="s">
        <v>26</v>
      </c>
      <c r="E283" s="19" t="s">
        <v>27</v>
      </c>
      <c r="F283" s="19" t="s">
        <v>50</v>
      </c>
      <c r="G283" s="19" t="s">
        <v>15</v>
      </c>
      <c r="H283" s="20">
        <v>259</v>
      </c>
      <c r="I283" s="20">
        <v>106.19</v>
      </c>
      <c r="J283" s="21">
        <v>0.2</v>
      </c>
      <c r="K283" s="20">
        <f>Ventas[[#This Row],[Precio]]*$J$4</f>
        <v>41.44</v>
      </c>
      <c r="L283" s="20">
        <f>Ventas[[#This Row],[Precio]]-Ventas[[#This Row],[Costo]]-Ventas[[#This Row],[Desc $]]</f>
        <v>101.00999999999999</v>
      </c>
      <c r="M283" s="20">
        <f>Ventas[[#This Row],[Precio]]*Ventas[[#This Row],[Descuento]]</f>
        <v>51.800000000000004</v>
      </c>
    </row>
    <row r="284" spans="1:13" x14ac:dyDescent="0.25">
      <c r="A284" s="16">
        <v>274</v>
      </c>
      <c r="B284" s="18">
        <v>42657</v>
      </c>
      <c r="C284" s="16" t="s">
        <v>31</v>
      </c>
      <c r="D284" s="19" t="s">
        <v>22</v>
      </c>
      <c r="E284" s="19" t="s">
        <v>18</v>
      </c>
      <c r="F284" s="19" t="s">
        <v>32</v>
      </c>
      <c r="G284" s="19" t="s">
        <v>33</v>
      </c>
      <c r="H284" s="20">
        <v>1199</v>
      </c>
      <c r="I284" s="20">
        <v>887.26</v>
      </c>
      <c r="J284" s="21">
        <v>0.15</v>
      </c>
      <c r="K284" s="20">
        <f>Ventas[[#This Row],[Precio]]*$J$4</f>
        <v>191.84</v>
      </c>
      <c r="L284" s="20">
        <f>Ventas[[#This Row],[Precio]]-Ventas[[#This Row],[Costo]]-Ventas[[#This Row],[Desc $]]</f>
        <v>131.89000000000001</v>
      </c>
      <c r="M284" s="20">
        <f>Ventas[[#This Row],[Precio]]*Ventas[[#This Row],[Descuento]]</f>
        <v>179.85</v>
      </c>
    </row>
    <row r="285" spans="1:13" x14ac:dyDescent="0.25">
      <c r="A285" s="16">
        <v>275</v>
      </c>
      <c r="B285" s="18">
        <v>42601</v>
      </c>
      <c r="C285" s="16" t="s">
        <v>29</v>
      </c>
      <c r="D285" s="19" t="s">
        <v>26</v>
      </c>
      <c r="E285" s="19" t="s">
        <v>27</v>
      </c>
      <c r="F285" s="19" t="s">
        <v>30</v>
      </c>
      <c r="G285" s="19" t="s">
        <v>15</v>
      </c>
      <c r="H285" s="20">
        <v>259</v>
      </c>
      <c r="I285" s="20">
        <v>220.15</v>
      </c>
      <c r="J285" s="21">
        <v>0.15</v>
      </c>
      <c r="K285" s="20">
        <f>Ventas[[#This Row],[Precio]]*$J$4</f>
        <v>41.44</v>
      </c>
      <c r="L285" s="20">
        <f>Ventas[[#This Row],[Precio]]-Ventas[[#This Row],[Costo]]-Ventas[[#This Row],[Desc $]]</f>
        <v>0</v>
      </c>
      <c r="M285" s="20">
        <f>Ventas[[#This Row],[Precio]]*Ventas[[#This Row],[Descuento]]</f>
        <v>38.85</v>
      </c>
    </row>
    <row r="286" spans="1:13" x14ac:dyDescent="0.25">
      <c r="A286" s="16">
        <v>276</v>
      </c>
      <c r="B286" s="18">
        <v>42597</v>
      </c>
      <c r="C286" s="16" t="s">
        <v>41</v>
      </c>
      <c r="D286" s="19" t="s">
        <v>22</v>
      </c>
      <c r="E286" s="19" t="s">
        <v>18</v>
      </c>
      <c r="F286" s="19" t="s">
        <v>42</v>
      </c>
      <c r="G286" s="19" t="s">
        <v>43</v>
      </c>
      <c r="H286" s="20">
        <v>1149</v>
      </c>
      <c r="I286" s="20">
        <v>896.22</v>
      </c>
      <c r="J286" s="21">
        <v>0</v>
      </c>
      <c r="K286" s="20">
        <f>Ventas[[#This Row],[Precio]]*$J$4</f>
        <v>183.84</v>
      </c>
      <c r="L286" s="20">
        <f>Ventas[[#This Row],[Precio]]-Ventas[[#This Row],[Costo]]-Ventas[[#This Row],[Desc $]]</f>
        <v>252.77999999999997</v>
      </c>
      <c r="M286" s="20">
        <f>Ventas[[#This Row],[Precio]]*Ventas[[#This Row],[Descuento]]</f>
        <v>0</v>
      </c>
    </row>
    <row r="287" spans="1:13" x14ac:dyDescent="0.25">
      <c r="A287" s="16">
        <v>277</v>
      </c>
      <c r="B287" s="18">
        <v>42546</v>
      </c>
      <c r="C287" s="16" t="s">
        <v>61</v>
      </c>
      <c r="D287" s="19" t="s">
        <v>26</v>
      </c>
      <c r="E287" s="19" t="s">
        <v>45</v>
      </c>
      <c r="F287" s="19" t="s">
        <v>62</v>
      </c>
      <c r="G287" s="19" t="s">
        <v>15</v>
      </c>
      <c r="H287" s="20">
        <v>799</v>
      </c>
      <c r="I287" s="20">
        <v>679.15</v>
      </c>
      <c r="J287" s="21">
        <v>0.2</v>
      </c>
      <c r="K287" s="20">
        <f>Ventas[[#This Row],[Precio]]*$J$4</f>
        <v>127.84</v>
      </c>
      <c r="L287" s="20">
        <f>Ventas[[#This Row],[Precio]]-Ventas[[#This Row],[Costo]]-Ventas[[#This Row],[Desc $]]</f>
        <v>-39.949999999999989</v>
      </c>
      <c r="M287" s="20">
        <f>Ventas[[#This Row],[Precio]]*Ventas[[#This Row],[Descuento]]</f>
        <v>159.80000000000001</v>
      </c>
    </row>
    <row r="288" spans="1:13" x14ac:dyDescent="0.25">
      <c r="A288" s="16">
        <v>278</v>
      </c>
      <c r="B288" s="18">
        <v>42744</v>
      </c>
      <c r="C288" s="16" t="s">
        <v>41</v>
      </c>
      <c r="D288" s="19" t="s">
        <v>22</v>
      </c>
      <c r="E288" s="19" t="s">
        <v>18</v>
      </c>
      <c r="F288" s="19" t="s">
        <v>42</v>
      </c>
      <c r="G288" s="19" t="s">
        <v>43</v>
      </c>
      <c r="H288" s="20">
        <v>1149</v>
      </c>
      <c r="I288" s="20">
        <v>896.22</v>
      </c>
      <c r="J288" s="21">
        <v>0</v>
      </c>
      <c r="K288" s="20">
        <f>Ventas[[#This Row],[Precio]]*$J$4</f>
        <v>183.84</v>
      </c>
      <c r="L288" s="20">
        <f>Ventas[[#This Row],[Precio]]-Ventas[[#This Row],[Costo]]-Ventas[[#This Row],[Desc $]]</f>
        <v>252.77999999999997</v>
      </c>
      <c r="M288" s="20">
        <f>Ventas[[#This Row],[Precio]]*Ventas[[#This Row],[Descuento]]</f>
        <v>0</v>
      </c>
    </row>
    <row r="289" spans="1:13" x14ac:dyDescent="0.25">
      <c r="A289" s="16">
        <v>279</v>
      </c>
      <c r="B289" s="18">
        <v>42402</v>
      </c>
      <c r="C289" s="16" t="s">
        <v>85</v>
      </c>
      <c r="D289" s="19" t="s">
        <v>22</v>
      </c>
      <c r="E289" s="19" t="s">
        <v>86</v>
      </c>
      <c r="F289" s="19" t="s">
        <v>87</v>
      </c>
      <c r="G289" s="19" t="s">
        <v>15</v>
      </c>
      <c r="H289" s="20">
        <v>3999</v>
      </c>
      <c r="I289" s="20">
        <v>1399.6499999999999</v>
      </c>
      <c r="J289" s="21">
        <v>0.2</v>
      </c>
      <c r="K289" s="20">
        <f>Ventas[[#This Row],[Precio]]*$J$4</f>
        <v>639.84</v>
      </c>
      <c r="L289" s="20">
        <f>Ventas[[#This Row],[Precio]]-Ventas[[#This Row],[Costo]]-Ventas[[#This Row],[Desc $]]</f>
        <v>1799.5500000000002</v>
      </c>
      <c r="M289" s="20">
        <f>Ventas[[#This Row],[Precio]]*Ventas[[#This Row],[Descuento]]</f>
        <v>799.80000000000007</v>
      </c>
    </row>
    <row r="290" spans="1:13" x14ac:dyDescent="0.25">
      <c r="A290" s="16">
        <v>280</v>
      </c>
      <c r="B290" s="18">
        <v>42424</v>
      </c>
      <c r="C290" s="16" t="s">
        <v>39</v>
      </c>
      <c r="D290" s="19" t="s">
        <v>22</v>
      </c>
      <c r="E290" s="19" t="s">
        <v>23</v>
      </c>
      <c r="F290" s="19" t="s">
        <v>40</v>
      </c>
      <c r="G290" s="19" t="s">
        <v>15</v>
      </c>
      <c r="H290" s="20">
        <v>2499</v>
      </c>
      <c r="I290" s="20">
        <v>1349.46</v>
      </c>
      <c r="J290" s="21">
        <v>0.15</v>
      </c>
      <c r="K290" s="20">
        <f>Ventas[[#This Row],[Precio]]*$J$4</f>
        <v>399.84000000000003</v>
      </c>
      <c r="L290" s="20">
        <f>Ventas[[#This Row],[Precio]]-Ventas[[#This Row],[Costo]]-Ventas[[#This Row],[Desc $]]</f>
        <v>774.69</v>
      </c>
      <c r="M290" s="20">
        <f>Ventas[[#This Row],[Precio]]*Ventas[[#This Row],[Descuento]]</f>
        <v>374.84999999999997</v>
      </c>
    </row>
    <row r="291" spans="1:13" x14ac:dyDescent="0.25">
      <c r="A291" s="16">
        <v>281</v>
      </c>
      <c r="B291" s="18">
        <v>39480</v>
      </c>
      <c r="C291" s="16" t="s">
        <v>65</v>
      </c>
      <c r="D291" s="19" t="s">
        <v>12</v>
      </c>
      <c r="E291" s="19" t="s">
        <v>13</v>
      </c>
      <c r="F291" s="19" t="s">
        <v>66</v>
      </c>
      <c r="G291" s="19" t="s">
        <v>15</v>
      </c>
      <c r="H291" s="20">
        <v>1499</v>
      </c>
      <c r="I291" s="20">
        <v>584.61</v>
      </c>
      <c r="J291" s="21">
        <v>0.2</v>
      </c>
      <c r="K291" s="20">
        <f>Ventas[[#This Row],[Precio]]*$J$4</f>
        <v>239.84</v>
      </c>
      <c r="L291" s="20">
        <f>Ventas[[#This Row],[Precio]]-Ventas[[#This Row],[Costo]]-Ventas[[#This Row],[Desc $]]</f>
        <v>614.58999999999992</v>
      </c>
      <c r="M291" s="20">
        <f>Ventas[[#This Row],[Precio]]*Ventas[[#This Row],[Descuento]]</f>
        <v>299.8</v>
      </c>
    </row>
    <row r="292" spans="1:13" x14ac:dyDescent="0.25">
      <c r="A292" s="16">
        <v>282</v>
      </c>
      <c r="B292" s="18">
        <v>42506</v>
      </c>
      <c r="C292" s="16" t="s">
        <v>96</v>
      </c>
      <c r="D292" s="19" t="s">
        <v>12</v>
      </c>
      <c r="E292" s="19" t="s">
        <v>35</v>
      </c>
      <c r="F292" s="19" t="s">
        <v>97</v>
      </c>
      <c r="G292" s="19" t="s">
        <v>15</v>
      </c>
      <c r="H292" s="20">
        <v>11999</v>
      </c>
      <c r="I292" s="20">
        <v>7799.35</v>
      </c>
      <c r="J292" s="21">
        <v>0.3</v>
      </c>
      <c r="K292" s="20">
        <f>Ventas[[#This Row],[Precio]]*$J$4</f>
        <v>1919.8400000000001</v>
      </c>
      <c r="L292" s="20">
        <f>Ventas[[#This Row],[Precio]]-Ventas[[#This Row],[Costo]]-Ventas[[#This Row],[Desc $]]</f>
        <v>599.94999999999982</v>
      </c>
      <c r="M292" s="20">
        <f>Ventas[[#This Row],[Precio]]*Ventas[[#This Row],[Descuento]]</f>
        <v>3599.7</v>
      </c>
    </row>
    <row r="293" spans="1:13" x14ac:dyDescent="0.25">
      <c r="A293" s="16">
        <v>283</v>
      </c>
      <c r="B293" s="18">
        <v>42691</v>
      </c>
      <c r="C293" s="16" t="s">
        <v>41</v>
      </c>
      <c r="D293" s="19" t="s">
        <v>22</v>
      </c>
      <c r="E293" s="19" t="s">
        <v>18</v>
      </c>
      <c r="F293" s="19" t="s">
        <v>42</v>
      </c>
      <c r="G293" s="19" t="s">
        <v>43</v>
      </c>
      <c r="H293" s="20">
        <v>1149</v>
      </c>
      <c r="I293" s="20">
        <v>896.22</v>
      </c>
      <c r="J293" s="21">
        <v>0</v>
      </c>
      <c r="K293" s="20">
        <f>Ventas[[#This Row],[Precio]]*$J$4</f>
        <v>183.84</v>
      </c>
      <c r="L293" s="20">
        <f>Ventas[[#This Row],[Precio]]-Ventas[[#This Row],[Costo]]-Ventas[[#This Row],[Desc $]]</f>
        <v>252.77999999999997</v>
      </c>
      <c r="M293" s="20">
        <f>Ventas[[#This Row],[Precio]]*Ventas[[#This Row],[Descuento]]</f>
        <v>0</v>
      </c>
    </row>
    <row r="294" spans="1:13" x14ac:dyDescent="0.25">
      <c r="A294" s="16">
        <v>284</v>
      </c>
      <c r="B294" s="18">
        <v>42794</v>
      </c>
      <c r="C294" s="16" t="s">
        <v>51</v>
      </c>
      <c r="D294" s="19" t="s">
        <v>22</v>
      </c>
      <c r="E294" s="19" t="s">
        <v>23</v>
      </c>
      <c r="F294" s="19" t="s">
        <v>52</v>
      </c>
      <c r="G294" s="19" t="s">
        <v>15</v>
      </c>
      <c r="H294" s="20">
        <v>599</v>
      </c>
      <c r="I294" s="20">
        <v>455.24</v>
      </c>
      <c r="J294" s="21">
        <v>0</v>
      </c>
      <c r="K294" s="20">
        <f>Ventas[[#This Row],[Precio]]*$J$4</f>
        <v>95.84</v>
      </c>
      <c r="L294" s="20">
        <f>Ventas[[#This Row],[Precio]]-Ventas[[#This Row],[Costo]]-Ventas[[#This Row],[Desc $]]</f>
        <v>143.76</v>
      </c>
      <c r="M294" s="20">
        <f>Ventas[[#This Row],[Precio]]*Ventas[[#This Row],[Descuento]]</f>
        <v>0</v>
      </c>
    </row>
    <row r="295" spans="1:13" x14ac:dyDescent="0.25">
      <c r="A295" s="16">
        <v>285</v>
      </c>
      <c r="B295" s="18">
        <v>42672</v>
      </c>
      <c r="C295" s="16" t="s">
        <v>74</v>
      </c>
      <c r="D295" s="19" t="s">
        <v>12</v>
      </c>
      <c r="E295" s="19" t="s">
        <v>13</v>
      </c>
      <c r="F295" s="19" t="s">
        <v>75</v>
      </c>
      <c r="G295" s="19" t="s">
        <v>15</v>
      </c>
      <c r="H295" s="20">
        <v>2599</v>
      </c>
      <c r="I295" s="20">
        <v>1819.3</v>
      </c>
      <c r="J295" s="21">
        <v>0.15</v>
      </c>
      <c r="K295" s="20">
        <f>Ventas[[#This Row],[Precio]]*$J$4</f>
        <v>415.84000000000003</v>
      </c>
      <c r="L295" s="20">
        <f>Ventas[[#This Row],[Precio]]-Ventas[[#This Row],[Costo]]-Ventas[[#This Row],[Desc $]]</f>
        <v>389.85000000000008</v>
      </c>
      <c r="M295" s="20">
        <f>Ventas[[#This Row],[Precio]]*Ventas[[#This Row],[Descuento]]</f>
        <v>389.84999999999997</v>
      </c>
    </row>
    <row r="296" spans="1:13" x14ac:dyDescent="0.25">
      <c r="A296" s="16">
        <v>286</v>
      </c>
      <c r="B296" s="18">
        <v>42575</v>
      </c>
      <c r="C296" s="16" t="s">
        <v>96</v>
      </c>
      <c r="D296" s="19" t="s">
        <v>12</v>
      </c>
      <c r="E296" s="19" t="s">
        <v>35</v>
      </c>
      <c r="F296" s="19" t="s">
        <v>97</v>
      </c>
      <c r="G296" s="19" t="s">
        <v>15</v>
      </c>
      <c r="H296" s="20">
        <v>11999</v>
      </c>
      <c r="I296" s="20">
        <v>7799.35</v>
      </c>
      <c r="J296" s="21">
        <v>0.2</v>
      </c>
      <c r="K296" s="20">
        <f>Ventas[[#This Row],[Precio]]*$J$4</f>
        <v>1919.8400000000001</v>
      </c>
      <c r="L296" s="20">
        <f>Ventas[[#This Row],[Precio]]-Ventas[[#This Row],[Costo]]-Ventas[[#This Row],[Desc $]]</f>
        <v>1799.8499999999995</v>
      </c>
      <c r="M296" s="20">
        <f>Ventas[[#This Row],[Precio]]*Ventas[[#This Row],[Descuento]]</f>
        <v>2399.8000000000002</v>
      </c>
    </row>
    <row r="297" spans="1:13" x14ac:dyDescent="0.25">
      <c r="A297" s="16">
        <v>287</v>
      </c>
      <c r="B297" s="18">
        <v>42479</v>
      </c>
      <c r="C297" s="16" t="s">
        <v>29</v>
      </c>
      <c r="D297" s="19" t="s">
        <v>26</v>
      </c>
      <c r="E297" s="19" t="s">
        <v>27</v>
      </c>
      <c r="F297" s="19" t="s">
        <v>30</v>
      </c>
      <c r="G297" s="19" t="s">
        <v>15</v>
      </c>
      <c r="H297" s="20">
        <v>259</v>
      </c>
      <c r="I297" s="20">
        <v>220.15</v>
      </c>
      <c r="J297" s="21">
        <v>0.15</v>
      </c>
      <c r="K297" s="20">
        <f>Ventas[[#This Row],[Precio]]*$J$4</f>
        <v>41.44</v>
      </c>
      <c r="L297" s="20">
        <f>Ventas[[#This Row],[Precio]]-Ventas[[#This Row],[Costo]]-Ventas[[#This Row],[Desc $]]</f>
        <v>0</v>
      </c>
      <c r="M297" s="20">
        <f>Ventas[[#This Row],[Precio]]*Ventas[[#This Row],[Descuento]]</f>
        <v>38.85</v>
      </c>
    </row>
    <row r="298" spans="1:13" x14ac:dyDescent="0.25">
      <c r="A298" s="16">
        <v>288</v>
      </c>
      <c r="B298" s="18">
        <v>42479</v>
      </c>
      <c r="C298" s="16" t="s">
        <v>47</v>
      </c>
      <c r="D298" s="19" t="s">
        <v>26</v>
      </c>
      <c r="E298" s="19" t="s">
        <v>27</v>
      </c>
      <c r="F298" s="19" t="s">
        <v>48</v>
      </c>
      <c r="G298" s="19" t="s">
        <v>15</v>
      </c>
      <c r="H298" s="20">
        <v>699</v>
      </c>
      <c r="I298" s="20">
        <v>482.30999999999995</v>
      </c>
      <c r="J298" s="21">
        <v>0.15</v>
      </c>
      <c r="K298" s="20">
        <f>Ventas[[#This Row],[Precio]]*$J$4</f>
        <v>111.84</v>
      </c>
      <c r="L298" s="20">
        <f>Ventas[[#This Row],[Precio]]-Ventas[[#This Row],[Costo]]-Ventas[[#This Row],[Desc $]]</f>
        <v>111.84000000000006</v>
      </c>
      <c r="M298" s="20">
        <f>Ventas[[#This Row],[Precio]]*Ventas[[#This Row],[Descuento]]</f>
        <v>104.85</v>
      </c>
    </row>
    <row r="299" spans="1:13" x14ac:dyDescent="0.25">
      <c r="A299" s="16">
        <v>289</v>
      </c>
      <c r="B299" s="18">
        <v>42455</v>
      </c>
      <c r="C299" s="16" t="s">
        <v>34</v>
      </c>
      <c r="D299" s="19" t="s">
        <v>12</v>
      </c>
      <c r="E299" s="19" t="s">
        <v>35</v>
      </c>
      <c r="F299" s="19" t="s">
        <v>36</v>
      </c>
      <c r="G299" s="19" t="s">
        <v>15</v>
      </c>
      <c r="H299" s="20">
        <v>7999</v>
      </c>
      <c r="I299" s="20">
        <v>3199.6000000000004</v>
      </c>
      <c r="J299" s="21">
        <v>0.2</v>
      </c>
      <c r="K299" s="20">
        <f>Ventas[[#This Row],[Precio]]*$J$4</f>
        <v>1279.8399999999999</v>
      </c>
      <c r="L299" s="20">
        <f>Ventas[[#This Row],[Precio]]-Ventas[[#This Row],[Costo]]-Ventas[[#This Row],[Desc $]]</f>
        <v>3199.5999999999995</v>
      </c>
      <c r="M299" s="20">
        <f>Ventas[[#This Row],[Precio]]*Ventas[[#This Row],[Descuento]]</f>
        <v>1599.8000000000002</v>
      </c>
    </row>
    <row r="300" spans="1:13" x14ac:dyDescent="0.25">
      <c r="A300" s="16">
        <v>290</v>
      </c>
      <c r="B300" s="18">
        <v>42520</v>
      </c>
      <c r="C300" s="16" t="s">
        <v>156</v>
      </c>
      <c r="D300" s="19" t="s">
        <v>22</v>
      </c>
      <c r="E300" s="19" t="s">
        <v>23</v>
      </c>
      <c r="F300" s="19" t="s">
        <v>157</v>
      </c>
      <c r="G300" s="19" t="s">
        <v>15</v>
      </c>
      <c r="H300" s="20">
        <v>399</v>
      </c>
      <c r="I300" s="20">
        <v>239.39999999999998</v>
      </c>
      <c r="J300" s="21">
        <v>0.2</v>
      </c>
      <c r="K300" s="20">
        <f>Ventas[[#This Row],[Precio]]*$J$4</f>
        <v>63.84</v>
      </c>
      <c r="L300" s="20">
        <f>Ventas[[#This Row],[Precio]]-Ventas[[#This Row],[Costo]]-Ventas[[#This Row],[Desc $]]</f>
        <v>79.800000000000011</v>
      </c>
      <c r="M300" s="20">
        <f>Ventas[[#This Row],[Precio]]*Ventas[[#This Row],[Descuento]]</f>
        <v>79.800000000000011</v>
      </c>
    </row>
    <row r="301" spans="1:13" x14ac:dyDescent="0.25">
      <c r="A301" s="16">
        <v>291</v>
      </c>
      <c r="B301" s="18">
        <v>42388</v>
      </c>
      <c r="C301" s="16" t="s">
        <v>31</v>
      </c>
      <c r="D301" s="19" t="s">
        <v>22</v>
      </c>
      <c r="E301" s="19" t="s">
        <v>18</v>
      </c>
      <c r="F301" s="19" t="s">
        <v>32</v>
      </c>
      <c r="G301" s="19" t="s">
        <v>33</v>
      </c>
      <c r="H301" s="20">
        <v>1199</v>
      </c>
      <c r="I301" s="20">
        <v>887.26</v>
      </c>
      <c r="J301" s="21">
        <v>0.15</v>
      </c>
      <c r="K301" s="20">
        <f>Ventas[[#This Row],[Precio]]*$J$4</f>
        <v>191.84</v>
      </c>
      <c r="L301" s="20">
        <f>Ventas[[#This Row],[Precio]]-Ventas[[#This Row],[Costo]]-Ventas[[#This Row],[Desc $]]</f>
        <v>131.89000000000001</v>
      </c>
      <c r="M301" s="20">
        <f>Ventas[[#This Row],[Precio]]*Ventas[[#This Row],[Descuento]]</f>
        <v>179.85</v>
      </c>
    </row>
    <row r="302" spans="1:13" x14ac:dyDescent="0.25">
      <c r="A302" s="16">
        <v>292</v>
      </c>
      <c r="B302" s="18">
        <v>42518</v>
      </c>
      <c r="C302" s="16" t="s">
        <v>16</v>
      </c>
      <c r="D302" s="19" t="s">
        <v>22</v>
      </c>
      <c r="E302" s="19" t="s">
        <v>18</v>
      </c>
      <c r="F302" s="19" t="s">
        <v>19</v>
      </c>
      <c r="G302" s="19" t="s">
        <v>20</v>
      </c>
      <c r="H302" s="20">
        <v>1149</v>
      </c>
      <c r="I302" s="20">
        <v>792.81</v>
      </c>
      <c r="J302" s="21">
        <v>0</v>
      </c>
      <c r="K302" s="20">
        <f>Ventas[[#This Row],[Precio]]*$J$4</f>
        <v>183.84</v>
      </c>
      <c r="L302" s="20">
        <f>Ventas[[#This Row],[Precio]]-Ventas[[#This Row],[Costo]]-Ventas[[#This Row],[Desc $]]</f>
        <v>356.19000000000005</v>
      </c>
      <c r="M302" s="20">
        <f>Ventas[[#This Row],[Precio]]*Ventas[[#This Row],[Descuento]]</f>
        <v>0</v>
      </c>
    </row>
    <row r="303" spans="1:13" x14ac:dyDescent="0.25">
      <c r="A303" s="16">
        <v>293</v>
      </c>
      <c r="B303" s="18">
        <v>42404</v>
      </c>
      <c r="C303" s="16" t="s">
        <v>106</v>
      </c>
      <c r="D303" s="19" t="s">
        <v>22</v>
      </c>
      <c r="E303" s="19" t="s">
        <v>23</v>
      </c>
      <c r="F303" s="19" t="s">
        <v>107</v>
      </c>
      <c r="G303" s="19" t="s">
        <v>15</v>
      </c>
      <c r="H303" s="20">
        <v>259</v>
      </c>
      <c r="I303" s="20">
        <v>111.37</v>
      </c>
      <c r="J303" s="21">
        <v>0.15</v>
      </c>
      <c r="K303" s="20">
        <f>Ventas[[#This Row],[Precio]]*$J$4</f>
        <v>41.44</v>
      </c>
      <c r="L303" s="20">
        <f>Ventas[[#This Row],[Precio]]-Ventas[[#This Row],[Costo]]-Ventas[[#This Row],[Desc $]]</f>
        <v>108.78</v>
      </c>
      <c r="M303" s="20">
        <f>Ventas[[#This Row],[Precio]]*Ventas[[#This Row],[Descuento]]</f>
        <v>38.85</v>
      </c>
    </row>
    <row r="304" spans="1:13" x14ac:dyDescent="0.25">
      <c r="A304" s="16">
        <v>294</v>
      </c>
      <c r="B304" s="18">
        <v>42520</v>
      </c>
      <c r="C304" s="16" t="s">
        <v>120</v>
      </c>
      <c r="D304" s="19" t="s">
        <v>22</v>
      </c>
      <c r="E304" s="19" t="s">
        <v>23</v>
      </c>
      <c r="F304" s="19" t="s">
        <v>121</v>
      </c>
      <c r="G304" s="19" t="s">
        <v>15</v>
      </c>
      <c r="H304" s="20">
        <v>169</v>
      </c>
      <c r="I304" s="20">
        <v>130.13</v>
      </c>
      <c r="J304" s="21">
        <v>0.2</v>
      </c>
      <c r="K304" s="20">
        <f>Ventas[[#This Row],[Precio]]*$J$4</f>
        <v>27.04</v>
      </c>
      <c r="L304" s="20">
        <f>Ventas[[#This Row],[Precio]]-Ventas[[#This Row],[Costo]]-Ventas[[#This Row],[Desc $]]</f>
        <v>5.07</v>
      </c>
      <c r="M304" s="20">
        <f>Ventas[[#This Row],[Precio]]*Ventas[[#This Row],[Descuento]]</f>
        <v>33.800000000000004</v>
      </c>
    </row>
    <row r="305" spans="1:13" x14ac:dyDescent="0.25">
      <c r="A305" s="16">
        <v>295</v>
      </c>
      <c r="B305" s="18">
        <v>42402</v>
      </c>
      <c r="C305" s="16" t="s">
        <v>21</v>
      </c>
      <c r="D305" s="19" t="s">
        <v>22</v>
      </c>
      <c r="E305" s="19" t="s">
        <v>23</v>
      </c>
      <c r="F305" s="19" t="s">
        <v>24</v>
      </c>
      <c r="G305" s="19" t="s">
        <v>15</v>
      </c>
      <c r="H305" s="20">
        <v>359</v>
      </c>
      <c r="I305" s="20">
        <v>244.12</v>
      </c>
      <c r="J305" s="21">
        <v>0.2</v>
      </c>
      <c r="K305" s="20">
        <f>Ventas[[#This Row],[Precio]]*$J$4</f>
        <v>57.44</v>
      </c>
      <c r="L305" s="20">
        <f>Ventas[[#This Row],[Precio]]-Ventas[[#This Row],[Costo]]-Ventas[[#This Row],[Desc $]]</f>
        <v>43.08</v>
      </c>
      <c r="M305" s="20">
        <f>Ventas[[#This Row],[Precio]]*Ventas[[#This Row],[Descuento]]</f>
        <v>71.8</v>
      </c>
    </row>
    <row r="306" spans="1:13" x14ac:dyDescent="0.25">
      <c r="A306" s="16">
        <v>296</v>
      </c>
      <c r="B306" s="18">
        <v>42506</v>
      </c>
      <c r="C306" s="16" t="s">
        <v>21</v>
      </c>
      <c r="D306" s="19" t="s">
        <v>22</v>
      </c>
      <c r="E306" s="19" t="s">
        <v>23</v>
      </c>
      <c r="F306" s="19" t="s">
        <v>24</v>
      </c>
      <c r="G306" s="19" t="s">
        <v>15</v>
      </c>
      <c r="H306" s="20">
        <v>359</v>
      </c>
      <c r="I306" s="20">
        <v>244.12</v>
      </c>
      <c r="J306" s="21">
        <v>0.3</v>
      </c>
      <c r="K306" s="20">
        <f>Ventas[[#This Row],[Precio]]*$J$4</f>
        <v>57.44</v>
      </c>
      <c r="L306" s="20">
        <f>Ventas[[#This Row],[Precio]]-Ventas[[#This Row],[Costo]]-Ventas[[#This Row],[Desc $]]</f>
        <v>7.1799999999999926</v>
      </c>
      <c r="M306" s="20">
        <f>Ventas[[#This Row],[Precio]]*Ventas[[#This Row],[Descuento]]</f>
        <v>107.7</v>
      </c>
    </row>
    <row r="307" spans="1:13" x14ac:dyDescent="0.25">
      <c r="A307" s="16">
        <v>297</v>
      </c>
      <c r="B307" s="18">
        <v>42438</v>
      </c>
      <c r="C307" s="16" t="s">
        <v>128</v>
      </c>
      <c r="D307" s="19" t="s">
        <v>26</v>
      </c>
      <c r="E307" s="19" t="s">
        <v>45</v>
      </c>
      <c r="F307" s="19" t="s">
        <v>129</v>
      </c>
      <c r="G307" s="19" t="s">
        <v>15</v>
      </c>
      <c r="H307" s="20">
        <v>399</v>
      </c>
      <c r="I307" s="20">
        <v>323.19</v>
      </c>
      <c r="J307" s="21">
        <v>0.15</v>
      </c>
      <c r="K307" s="20">
        <f>Ventas[[#This Row],[Precio]]*$J$4</f>
        <v>63.84</v>
      </c>
      <c r="L307" s="20">
        <f>Ventas[[#This Row],[Precio]]-Ventas[[#This Row],[Costo]]-Ventas[[#This Row],[Desc $]]</f>
        <v>15.960000000000008</v>
      </c>
      <c r="M307" s="20">
        <f>Ventas[[#This Row],[Precio]]*Ventas[[#This Row],[Descuento]]</f>
        <v>59.849999999999994</v>
      </c>
    </row>
    <row r="308" spans="1:13" x14ac:dyDescent="0.25">
      <c r="A308" s="16">
        <v>298</v>
      </c>
      <c r="B308" s="18">
        <v>42479</v>
      </c>
      <c r="C308" s="16" t="s">
        <v>41</v>
      </c>
      <c r="D308" s="19" t="s">
        <v>17</v>
      </c>
      <c r="E308" s="19" t="s">
        <v>18</v>
      </c>
      <c r="F308" s="19" t="s">
        <v>42</v>
      </c>
      <c r="G308" s="19" t="s">
        <v>43</v>
      </c>
      <c r="H308" s="20">
        <v>1149</v>
      </c>
      <c r="I308" s="20">
        <v>896.22</v>
      </c>
      <c r="J308" s="21">
        <v>0.15</v>
      </c>
      <c r="K308" s="20">
        <f>Ventas[[#This Row],[Precio]]*$J$4</f>
        <v>183.84</v>
      </c>
      <c r="L308" s="20">
        <f>Ventas[[#This Row],[Precio]]-Ventas[[#This Row],[Costo]]-Ventas[[#This Row],[Desc $]]</f>
        <v>80.429999999999978</v>
      </c>
      <c r="M308" s="20">
        <f>Ventas[[#This Row],[Precio]]*Ventas[[#This Row],[Descuento]]</f>
        <v>172.35</v>
      </c>
    </row>
    <row r="309" spans="1:13" x14ac:dyDescent="0.25">
      <c r="A309" s="16">
        <v>299</v>
      </c>
      <c r="B309" s="18">
        <v>42643</v>
      </c>
      <c r="C309" s="16" t="s">
        <v>11</v>
      </c>
      <c r="D309" s="19" t="s">
        <v>12</v>
      </c>
      <c r="E309" s="19" t="s">
        <v>13</v>
      </c>
      <c r="F309" s="19" t="s">
        <v>14</v>
      </c>
      <c r="G309" s="19" t="s">
        <v>15</v>
      </c>
      <c r="H309" s="20">
        <v>1299</v>
      </c>
      <c r="I309" s="20">
        <v>727.44</v>
      </c>
      <c r="J309" s="21">
        <v>0.2</v>
      </c>
      <c r="K309" s="20">
        <f>Ventas[[#This Row],[Precio]]*$J$4</f>
        <v>207.84</v>
      </c>
      <c r="L309" s="20">
        <f>Ventas[[#This Row],[Precio]]-Ventas[[#This Row],[Costo]]-Ventas[[#This Row],[Desc $]]</f>
        <v>311.75999999999993</v>
      </c>
      <c r="M309" s="20">
        <f>Ventas[[#This Row],[Precio]]*Ventas[[#This Row],[Descuento]]</f>
        <v>259.8</v>
      </c>
    </row>
    <row r="310" spans="1:13" x14ac:dyDescent="0.25">
      <c r="A310" s="16">
        <v>300</v>
      </c>
      <c r="B310" s="18">
        <v>42402</v>
      </c>
      <c r="C310" s="16" t="s">
        <v>63</v>
      </c>
      <c r="D310" s="19" t="s">
        <v>12</v>
      </c>
      <c r="E310" s="19" t="s">
        <v>35</v>
      </c>
      <c r="F310" s="19" t="s">
        <v>64</v>
      </c>
      <c r="G310" s="19" t="s">
        <v>15</v>
      </c>
      <c r="H310" s="20">
        <v>13999</v>
      </c>
      <c r="I310" s="20">
        <v>9659.31</v>
      </c>
      <c r="J310" s="21">
        <v>0.2</v>
      </c>
      <c r="K310" s="20">
        <f>Ventas[[#This Row],[Precio]]*$J$4</f>
        <v>2239.84</v>
      </c>
      <c r="L310" s="20">
        <f>Ventas[[#This Row],[Precio]]-Ventas[[#This Row],[Costo]]-Ventas[[#This Row],[Desc $]]</f>
        <v>1539.8900000000003</v>
      </c>
      <c r="M310" s="20">
        <f>Ventas[[#This Row],[Precio]]*Ventas[[#This Row],[Descuento]]</f>
        <v>2799.8</v>
      </c>
    </row>
    <row r="311" spans="1:13" x14ac:dyDescent="0.25">
      <c r="A311" s="16">
        <v>301</v>
      </c>
      <c r="B311" s="18">
        <v>42601</v>
      </c>
      <c r="C311" s="16" t="s">
        <v>51</v>
      </c>
      <c r="D311" s="19" t="s">
        <v>22</v>
      </c>
      <c r="E311" s="19" t="s">
        <v>23</v>
      </c>
      <c r="F311" s="19" t="s">
        <v>52</v>
      </c>
      <c r="G311" s="19" t="s">
        <v>15</v>
      </c>
      <c r="H311" s="20">
        <v>599</v>
      </c>
      <c r="I311" s="20">
        <v>455.24</v>
      </c>
      <c r="J311" s="21">
        <v>0.15</v>
      </c>
      <c r="K311" s="20">
        <f>Ventas[[#This Row],[Precio]]*$J$4</f>
        <v>95.84</v>
      </c>
      <c r="L311" s="20">
        <f>Ventas[[#This Row],[Precio]]-Ventas[[#This Row],[Costo]]-Ventas[[#This Row],[Desc $]]</f>
        <v>53.91</v>
      </c>
      <c r="M311" s="20">
        <f>Ventas[[#This Row],[Precio]]*Ventas[[#This Row],[Descuento]]</f>
        <v>89.85</v>
      </c>
    </row>
    <row r="312" spans="1:13" x14ac:dyDescent="0.25">
      <c r="A312" s="16">
        <v>302</v>
      </c>
      <c r="B312" s="18">
        <v>42674</v>
      </c>
      <c r="C312" s="16" t="s">
        <v>134</v>
      </c>
      <c r="D312" s="19" t="s">
        <v>22</v>
      </c>
      <c r="E312" s="19" t="s">
        <v>18</v>
      </c>
      <c r="F312" s="19" t="s">
        <v>135</v>
      </c>
      <c r="G312" s="19" t="s">
        <v>33</v>
      </c>
      <c r="H312" s="20">
        <v>409</v>
      </c>
      <c r="I312" s="20">
        <v>237.21999999999997</v>
      </c>
      <c r="J312" s="21">
        <v>0</v>
      </c>
      <c r="K312" s="20">
        <f>Ventas[[#This Row],[Precio]]*$J$4</f>
        <v>65.44</v>
      </c>
      <c r="L312" s="20">
        <f>Ventas[[#This Row],[Precio]]-Ventas[[#This Row],[Costo]]-Ventas[[#This Row],[Desc $]]</f>
        <v>171.78000000000003</v>
      </c>
      <c r="M312" s="20">
        <f>Ventas[[#This Row],[Precio]]*Ventas[[#This Row],[Descuento]]</f>
        <v>0</v>
      </c>
    </row>
    <row r="313" spans="1:13" x14ac:dyDescent="0.25">
      <c r="A313" s="16">
        <v>303</v>
      </c>
      <c r="B313" s="18">
        <v>42375</v>
      </c>
      <c r="C313" s="16" t="s">
        <v>29</v>
      </c>
      <c r="D313" s="19" t="s">
        <v>26</v>
      </c>
      <c r="E313" s="19" t="s">
        <v>27</v>
      </c>
      <c r="F313" s="19" t="s">
        <v>30</v>
      </c>
      <c r="G313" s="19" t="s">
        <v>15</v>
      </c>
      <c r="H313" s="20">
        <v>259</v>
      </c>
      <c r="I313" s="20">
        <v>220.15</v>
      </c>
      <c r="J313" s="21">
        <v>0</v>
      </c>
      <c r="K313" s="20">
        <f>Ventas[[#This Row],[Precio]]*$J$4</f>
        <v>41.44</v>
      </c>
      <c r="L313" s="20">
        <f>Ventas[[#This Row],[Precio]]-Ventas[[#This Row],[Costo]]-Ventas[[#This Row],[Desc $]]</f>
        <v>38.849999999999994</v>
      </c>
      <c r="M313" s="20">
        <f>Ventas[[#This Row],[Precio]]*Ventas[[#This Row],[Descuento]]</f>
        <v>0</v>
      </c>
    </row>
    <row r="314" spans="1:13" x14ac:dyDescent="0.25">
      <c r="A314" s="16">
        <v>304</v>
      </c>
      <c r="B314" s="18">
        <v>42438</v>
      </c>
      <c r="C314" s="16" t="s">
        <v>90</v>
      </c>
      <c r="D314" s="19" t="s">
        <v>12</v>
      </c>
      <c r="E314" s="19" t="s">
        <v>35</v>
      </c>
      <c r="F314" s="19" t="s">
        <v>91</v>
      </c>
      <c r="G314" s="19" t="s">
        <v>15</v>
      </c>
      <c r="H314" s="20">
        <v>6999</v>
      </c>
      <c r="I314" s="20">
        <v>4829.3099999999995</v>
      </c>
      <c r="J314" s="21">
        <v>0.15</v>
      </c>
      <c r="K314" s="20">
        <f>Ventas[[#This Row],[Precio]]*$J$4</f>
        <v>1119.8399999999999</v>
      </c>
      <c r="L314" s="20">
        <f>Ventas[[#This Row],[Precio]]-Ventas[[#This Row],[Costo]]-Ventas[[#This Row],[Desc $]]</f>
        <v>1119.8400000000006</v>
      </c>
      <c r="M314" s="20">
        <f>Ventas[[#This Row],[Precio]]*Ventas[[#This Row],[Descuento]]</f>
        <v>1049.8499999999999</v>
      </c>
    </row>
    <row r="315" spans="1:13" x14ac:dyDescent="0.25">
      <c r="A315" s="16">
        <v>305</v>
      </c>
      <c r="B315" s="18">
        <v>42631</v>
      </c>
      <c r="C315" s="16" t="s">
        <v>29</v>
      </c>
      <c r="D315" s="19" t="s">
        <v>26</v>
      </c>
      <c r="E315" s="19" t="s">
        <v>27</v>
      </c>
      <c r="F315" s="19" t="s">
        <v>30</v>
      </c>
      <c r="G315" s="19" t="s">
        <v>15</v>
      </c>
      <c r="H315" s="20">
        <v>259</v>
      </c>
      <c r="I315" s="20">
        <v>220.15</v>
      </c>
      <c r="J315" s="21">
        <v>0.1</v>
      </c>
      <c r="K315" s="20">
        <f>Ventas[[#This Row],[Precio]]*$J$4</f>
        <v>41.44</v>
      </c>
      <c r="L315" s="20">
        <f>Ventas[[#This Row],[Precio]]-Ventas[[#This Row],[Costo]]-Ventas[[#This Row],[Desc $]]</f>
        <v>12.949999999999992</v>
      </c>
      <c r="M315" s="20">
        <f>Ventas[[#This Row],[Precio]]*Ventas[[#This Row],[Descuento]]</f>
        <v>25.900000000000002</v>
      </c>
    </row>
    <row r="316" spans="1:13" x14ac:dyDescent="0.25">
      <c r="A316" s="16">
        <v>306</v>
      </c>
      <c r="B316" s="18">
        <v>42388</v>
      </c>
      <c r="C316" s="16" t="s">
        <v>158</v>
      </c>
      <c r="D316" s="19" t="s">
        <v>22</v>
      </c>
      <c r="E316" s="19" t="s">
        <v>86</v>
      </c>
      <c r="F316" s="19" t="s">
        <v>159</v>
      </c>
      <c r="G316" s="19" t="s">
        <v>15</v>
      </c>
      <c r="H316" s="20">
        <v>4599</v>
      </c>
      <c r="I316" s="20">
        <v>3817.1699999999996</v>
      </c>
      <c r="J316" s="21">
        <v>0.15</v>
      </c>
      <c r="K316" s="20">
        <f>Ventas[[#This Row],[Precio]]*$J$4</f>
        <v>735.84</v>
      </c>
      <c r="L316" s="20">
        <f>Ventas[[#This Row],[Precio]]-Ventas[[#This Row],[Costo]]-Ventas[[#This Row],[Desc $]]</f>
        <v>91.980000000000359</v>
      </c>
      <c r="M316" s="20">
        <f>Ventas[[#This Row],[Precio]]*Ventas[[#This Row],[Descuento]]</f>
        <v>689.85</v>
      </c>
    </row>
    <row r="317" spans="1:13" x14ac:dyDescent="0.25">
      <c r="A317" s="16">
        <v>307</v>
      </c>
      <c r="B317" s="18">
        <v>42573</v>
      </c>
      <c r="C317" s="16" t="s">
        <v>122</v>
      </c>
      <c r="D317" s="19" t="s">
        <v>22</v>
      </c>
      <c r="E317" s="19" t="s">
        <v>23</v>
      </c>
      <c r="F317" s="19" t="s">
        <v>123</v>
      </c>
      <c r="G317" s="19" t="s">
        <v>15</v>
      </c>
      <c r="H317" s="20">
        <v>999</v>
      </c>
      <c r="I317" s="20">
        <v>569.42999999999995</v>
      </c>
      <c r="J317" s="21">
        <v>0.15</v>
      </c>
      <c r="K317" s="20">
        <f>Ventas[[#This Row],[Precio]]*$J$4</f>
        <v>159.84</v>
      </c>
      <c r="L317" s="20">
        <f>Ventas[[#This Row],[Precio]]-Ventas[[#This Row],[Costo]]-Ventas[[#This Row],[Desc $]]</f>
        <v>279.72000000000003</v>
      </c>
      <c r="M317" s="20">
        <f>Ventas[[#This Row],[Precio]]*Ventas[[#This Row],[Descuento]]</f>
        <v>149.85</v>
      </c>
    </row>
    <row r="318" spans="1:13" x14ac:dyDescent="0.25">
      <c r="A318" s="16">
        <v>308</v>
      </c>
      <c r="B318" s="18">
        <v>42590</v>
      </c>
      <c r="C318" s="16" t="s">
        <v>11</v>
      </c>
      <c r="D318" s="19" t="s">
        <v>12</v>
      </c>
      <c r="E318" s="19" t="s">
        <v>13</v>
      </c>
      <c r="F318" s="19" t="s">
        <v>14</v>
      </c>
      <c r="G318" s="19" t="s">
        <v>15</v>
      </c>
      <c r="H318" s="20">
        <v>1299</v>
      </c>
      <c r="I318" s="20">
        <v>727.44</v>
      </c>
      <c r="J318" s="21">
        <v>0</v>
      </c>
      <c r="K318" s="20">
        <f>Ventas[[#This Row],[Precio]]*$J$4</f>
        <v>207.84</v>
      </c>
      <c r="L318" s="20">
        <f>Ventas[[#This Row],[Precio]]-Ventas[[#This Row],[Costo]]-Ventas[[#This Row],[Desc $]]</f>
        <v>571.55999999999995</v>
      </c>
      <c r="M318" s="20">
        <f>Ventas[[#This Row],[Precio]]*Ventas[[#This Row],[Descuento]]</f>
        <v>0</v>
      </c>
    </row>
    <row r="319" spans="1:13" x14ac:dyDescent="0.25">
      <c r="A319" s="16">
        <v>309</v>
      </c>
      <c r="B319" s="18">
        <v>42608</v>
      </c>
      <c r="C319" s="16" t="s">
        <v>85</v>
      </c>
      <c r="D319" s="19" t="s">
        <v>22</v>
      </c>
      <c r="E319" s="19" t="s">
        <v>86</v>
      </c>
      <c r="F319" s="19" t="s">
        <v>87</v>
      </c>
      <c r="G319" s="19" t="s">
        <v>15</v>
      </c>
      <c r="H319" s="20">
        <v>3999</v>
      </c>
      <c r="I319" s="20">
        <v>1399.6499999999999</v>
      </c>
      <c r="J319" s="21">
        <v>0</v>
      </c>
      <c r="K319" s="20">
        <f>Ventas[[#This Row],[Precio]]*$J$4</f>
        <v>639.84</v>
      </c>
      <c r="L319" s="20">
        <f>Ventas[[#This Row],[Precio]]-Ventas[[#This Row],[Costo]]-Ventas[[#This Row],[Desc $]]</f>
        <v>2599.3500000000004</v>
      </c>
      <c r="M319" s="20">
        <f>Ventas[[#This Row],[Precio]]*Ventas[[#This Row],[Descuento]]</f>
        <v>0</v>
      </c>
    </row>
    <row r="320" spans="1:13" x14ac:dyDescent="0.25">
      <c r="A320" s="16">
        <v>310</v>
      </c>
      <c r="B320" s="18">
        <v>42672</v>
      </c>
      <c r="C320" s="16" t="s">
        <v>31</v>
      </c>
      <c r="D320" s="19" t="s">
        <v>22</v>
      </c>
      <c r="E320" s="19" t="s">
        <v>18</v>
      </c>
      <c r="F320" s="19" t="s">
        <v>32</v>
      </c>
      <c r="G320" s="19" t="s">
        <v>33</v>
      </c>
      <c r="H320" s="20">
        <v>1199</v>
      </c>
      <c r="I320" s="20">
        <v>887.26</v>
      </c>
      <c r="J320" s="21">
        <v>0.15</v>
      </c>
      <c r="K320" s="20">
        <f>Ventas[[#This Row],[Precio]]*$J$4</f>
        <v>191.84</v>
      </c>
      <c r="L320" s="20">
        <f>Ventas[[#This Row],[Precio]]-Ventas[[#This Row],[Costo]]-Ventas[[#This Row],[Desc $]]</f>
        <v>131.89000000000001</v>
      </c>
      <c r="M320" s="20">
        <f>Ventas[[#This Row],[Precio]]*Ventas[[#This Row],[Descuento]]</f>
        <v>179.85</v>
      </c>
    </row>
    <row r="321" spans="1:13" x14ac:dyDescent="0.25">
      <c r="A321" s="16">
        <v>311</v>
      </c>
      <c r="B321" s="18">
        <v>42736</v>
      </c>
      <c r="C321" s="16" t="s">
        <v>114</v>
      </c>
      <c r="D321" s="19" t="s">
        <v>22</v>
      </c>
      <c r="E321" s="19" t="s">
        <v>86</v>
      </c>
      <c r="F321" s="19" t="s">
        <v>115</v>
      </c>
      <c r="G321" s="19" t="s">
        <v>15</v>
      </c>
      <c r="H321" s="20">
        <v>7999</v>
      </c>
      <c r="I321" s="20">
        <v>5039.37</v>
      </c>
      <c r="J321" s="21">
        <v>0.15</v>
      </c>
      <c r="K321" s="20">
        <f>Ventas[[#This Row],[Precio]]*$J$4</f>
        <v>1279.8399999999999</v>
      </c>
      <c r="L321" s="20">
        <f>Ventas[[#This Row],[Precio]]-Ventas[[#This Row],[Costo]]-Ventas[[#This Row],[Desc $]]</f>
        <v>1759.7800000000002</v>
      </c>
      <c r="M321" s="20">
        <f>Ventas[[#This Row],[Precio]]*Ventas[[#This Row],[Descuento]]</f>
        <v>1199.8499999999999</v>
      </c>
    </row>
    <row r="322" spans="1:13" x14ac:dyDescent="0.25">
      <c r="A322" s="16">
        <v>312</v>
      </c>
      <c r="B322" s="18">
        <v>42657</v>
      </c>
      <c r="C322" s="16" t="s">
        <v>79</v>
      </c>
      <c r="D322" s="19" t="s">
        <v>26</v>
      </c>
      <c r="E322" s="19" t="s">
        <v>27</v>
      </c>
      <c r="F322" s="19" t="s">
        <v>80</v>
      </c>
      <c r="G322" s="19" t="s">
        <v>15</v>
      </c>
      <c r="H322" s="20">
        <v>499</v>
      </c>
      <c r="I322" s="20">
        <v>174.64999999999998</v>
      </c>
      <c r="J322" s="21">
        <v>0.15</v>
      </c>
      <c r="K322" s="20">
        <f>Ventas[[#This Row],[Precio]]*$J$4</f>
        <v>79.84</v>
      </c>
      <c r="L322" s="20">
        <f>Ventas[[#This Row],[Precio]]-Ventas[[#This Row],[Costo]]-Ventas[[#This Row],[Desc $]]</f>
        <v>249.50000000000003</v>
      </c>
      <c r="M322" s="20">
        <f>Ventas[[#This Row],[Precio]]*Ventas[[#This Row],[Descuento]]</f>
        <v>74.849999999999994</v>
      </c>
    </row>
    <row r="323" spans="1:13" x14ac:dyDescent="0.25">
      <c r="A323" s="16">
        <v>313</v>
      </c>
      <c r="B323" s="18">
        <v>42560</v>
      </c>
      <c r="C323" s="16" t="s">
        <v>51</v>
      </c>
      <c r="D323" s="19" t="s">
        <v>22</v>
      </c>
      <c r="E323" s="19" t="s">
        <v>23</v>
      </c>
      <c r="F323" s="19" t="s">
        <v>52</v>
      </c>
      <c r="G323" s="19" t="s">
        <v>15</v>
      </c>
      <c r="H323" s="20">
        <v>599</v>
      </c>
      <c r="I323" s="20">
        <v>455.24</v>
      </c>
      <c r="J323" s="21">
        <v>0</v>
      </c>
      <c r="K323" s="20">
        <f>Ventas[[#This Row],[Precio]]*$J$4</f>
        <v>95.84</v>
      </c>
      <c r="L323" s="20">
        <f>Ventas[[#This Row],[Precio]]-Ventas[[#This Row],[Costo]]-Ventas[[#This Row],[Desc $]]</f>
        <v>143.76</v>
      </c>
      <c r="M323" s="20">
        <f>Ventas[[#This Row],[Precio]]*Ventas[[#This Row],[Descuento]]</f>
        <v>0</v>
      </c>
    </row>
    <row r="324" spans="1:13" x14ac:dyDescent="0.25">
      <c r="A324" s="16">
        <v>314</v>
      </c>
      <c r="B324" s="18">
        <v>42689</v>
      </c>
      <c r="C324" s="16" t="s">
        <v>31</v>
      </c>
      <c r="D324" s="19" t="s">
        <v>22</v>
      </c>
      <c r="E324" s="19" t="s">
        <v>18</v>
      </c>
      <c r="F324" s="19" t="s">
        <v>32</v>
      </c>
      <c r="G324" s="19" t="s">
        <v>33</v>
      </c>
      <c r="H324" s="20">
        <v>1199</v>
      </c>
      <c r="I324" s="20">
        <v>887.26</v>
      </c>
      <c r="J324" s="21">
        <v>0</v>
      </c>
      <c r="K324" s="20">
        <f>Ventas[[#This Row],[Precio]]*$J$4</f>
        <v>191.84</v>
      </c>
      <c r="L324" s="20">
        <f>Ventas[[#This Row],[Precio]]-Ventas[[#This Row],[Costo]]-Ventas[[#This Row],[Desc $]]</f>
        <v>311.74</v>
      </c>
      <c r="M324" s="20">
        <f>Ventas[[#This Row],[Precio]]*Ventas[[#This Row],[Descuento]]</f>
        <v>0</v>
      </c>
    </row>
    <row r="325" spans="1:13" x14ac:dyDescent="0.25">
      <c r="A325" s="16">
        <v>315</v>
      </c>
      <c r="B325" s="18">
        <v>42781</v>
      </c>
      <c r="C325" s="16" t="s">
        <v>63</v>
      </c>
      <c r="D325" s="19" t="s">
        <v>12</v>
      </c>
      <c r="E325" s="19" t="s">
        <v>35</v>
      </c>
      <c r="F325" s="19" t="s">
        <v>64</v>
      </c>
      <c r="G325" s="19" t="s">
        <v>15</v>
      </c>
      <c r="H325" s="20">
        <v>13999</v>
      </c>
      <c r="I325" s="20">
        <v>9659.31</v>
      </c>
      <c r="J325" s="21">
        <v>0</v>
      </c>
      <c r="K325" s="20">
        <f>Ventas[[#This Row],[Precio]]*$J$4</f>
        <v>2239.84</v>
      </c>
      <c r="L325" s="20">
        <f>Ventas[[#This Row],[Precio]]-Ventas[[#This Row],[Costo]]-Ventas[[#This Row],[Desc $]]</f>
        <v>4339.6900000000005</v>
      </c>
      <c r="M325" s="20">
        <f>Ventas[[#This Row],[Precio]]*Ventas[[#This Row],[Descuento]]</f>
        <v>0</v>
      </c>
    </row>
    <row r="326" spans="1:13" x14ac:dyDescent="0.25">
      <c r="A326" s="16">
        <v>316</v>
      </c>
      <c r="B326" s="18">
        <v>42424</v>
      </c>
      <c r="C326" s="16" t="s">
        <v>144</v>
      </c>
      <c r="D326" s="19" t="s">
        <v>12</v>
      </c>
      <c r="E326" s="19" t="s">
        <v>35</v>
      </c>
      <c r="F326" s="19" t="s">
        <v>145</v>
      </c>
      <c r="G326" s="19" t="s">
        <v>15</v>
      </c>
      <c r="H326" s="20">
        <v>8999</v>
      </c>
      <c r="I326" s="20">
        <v>6839.24</v>
      </c>
      <c r="J326" s="21">
        <v>0.15</v>
      </c>
      <c r="K326" s="20">
        <f>Ventas[[#This Row],[Precio]]*$J$4</f>
        <v>1439.84</v>
      </c>
      <c r="L326" s="20">
        <f>Ventas[[#This Row],[Precio]]-Ventas[[#This Row],[Costo]]-Ventas[[#This Row],[Desc $]]</f>
        <v>809.91000000000031</v>
      </c>
      <c r="M326" s="20">
        <f>Ventas[[#This Row],[Precio]]*Ventas[[#This Row],[Descuento]]</f>
        <v>1349.85</v>
      </c>
    </row>
    <row r="327" spans="1:13" x14ac:dyDescent="0.25">
      <c r="A327" s="16">
        <v>317</v>
      </c>
      <c r="B327" s="18">
        <v>42506</v>
      </c>
      <c r="C327" s="16" t="s">
        <v>116</v>
      </c>
      <c r="D327" s="19" t="s">
        <v>22</v>
      </c>
      <c r="E327" s="19" t="s">
        <v>86</v>
      </c>
      <c r="F327" s="19" t="s">
        <v>117</v>
      </c>
      <c r="G327" s="19" t="s">
        <v>15</v>
      </c>
      <c r="H327" s="20">
        <v>5999</v>
      </c>
      <c r="I327" s="20">
        <v>3659.39</v>
      </c>
      <c r="J327" s="21">
        <v>0.3</v>
      </c>
      <c r="K327" s="20">
        <f>Ventas[[#This Row],[Precio]]*$J$4</f>
        <v>959.84</v>
      </c>
      <c r="L327" s="20">
        <f>Ventas[[#This Row],[Precio]]-Ventas[[#This Row],[Costo]]-Ventas[[#This Row],[Desc $]]</f>
        <v>539.91000000000008</v>
      </c>
      <c r="M327" s="20">
        <f>Ventas[[#This Row],[Precio]]*Ventas[[#This Row],[Descuento]]</f>
        <v>1799.7</v>
      </c>
    </row>
    <row r="328" spans="1:13" x14ac:dyDescent="0.25">
      <c r="A328" s="16">
        <v>318</v>
      </c>
      <c r="B328" s="18">
        <v>42416</v>
      </c>
      <c r="C328" s="16" t="s">
        <v>142</v>
      </c>
      <c r="D328" s="19" t="s">
        <v>12</v>
      </c>
      <c r="E328" s="19" t="s">
        <v>35</v>
      </c>
      <c r="F328" s="19" t="s">
        <v>143</v>
      </c>
      <c r="G328" s="19" t="s">
        <v>15</v>
      </c>
      <c r="H328" s="20">
        <v>2299</v>
      </c>
      <c r="I328" s="20">
        <v>1218.47</v>
      </c>
      <c r="J328" s="21">
        <v>0</v>
      </c>
      <c r="K328" s="20">
        <f>Ventas[[#This Row],[Precio]]*$J$4</f>
        <v>367.84000000000003</v>
      </c>
      <c r="L328" s="20">
        <f>Ventas[[#This Row],[Precio]]-Ventas[[#This Row],[Costo]]-Ventas[[#This Row],[Desc $]]</f>
        <v>1080.53</v>
      </c>
      <c r="M328" s="20">
        <f>Ventas[[#This Row],[Precio]]*Ventas[[#This Row],[Descuento]]</f>
        <v>0</v>
      </c>
    </row>
    <row r="329" spans="1:13" x14ac:dyDescent="0.25">
      <c r="A329" s="16">
        <v>319</v>
      </c>
      <c r="B329" s="18">
        <v>42736</v>
      </c>
      <c r="C329" s="16" t="s">
        <v>31</v>
      </c>
      <c r="D329" s="19" t="s">
        <v>22</v>
      </c>
      <c r="E329" s="19" t="s">
        <v>18</v>
      </c>
      <c r="F329" s="19" t="s">
        <v>32</v>
      </c>
      <c r="G329" s="19" t="s">
        <v>33</v>
      </c>
      <c r="H329" s="20">
        <v>1199</v>
      </c>
      <c r="I329" s="20">
        <v>887.26</v>
      </c>
      <c r="J329" s="21">
        <v>0.15</v>
      </c>
      <c r="K329" s="20">
        <f>Ventas[[#This Row],[Precio]]*$J$4</f>
        <v>191.84</v>
      </c>
      <c r="L329" s="20">
        <f>Ventas[[#This Row],[Precio]]-Ventas[[#This Row],[Costo]]-Ventas[[#This Row],[Desc $]]</f>
        <v>131.89000000000001</v>
      </c>
      <c r="M329" s="20">
        <f>Ventas[[#This Row],[Precio]]*Ventas[[#This Row],[Descuento]]</f>
        <v>179.85</v>
      </c>
    </row>
    <row r="330" spans="1:13" x14ac:dyDescent="0.25">
      <c r="A330" s="16">
        <v>320</v>
      </c>
      <c r="B330" s="18">
        <v>42506</v>
      </c>
      <c r="C330" s="16" t="s">
        <v>136</v>
      </c>
      <c r="D330" s="19" t="s">
        <v>12</v>
      </c>
      <c r="E330" s="19" t="s">
        <v>35</v>
      </c>
      <c r="F330" s="19" t="s">
        <v>137</v>
      </c>
      <c r="G330" s="19" t="s">
        <v>15</v>
      </c>
      <c r="H330" s="20">
        <v>7599</v>
      </c>
      <c r="I330" s="20">
        <v>2735.64</v>
      </c>
      <c r="J330" s="21">
        <v>0.3</v>
      </c>
      <c r="K330" s="20">
        <f>Ventas[[#This Row],[Precio]]*$J$4</f>
        <v>1215.8399999999999</v>
      </c>
      <c r="L330" s="20">
        <f>Ventas[[#This Row],[Precio]]-Ventas[[#This Row],[Costo]]-Ventas[[#This Row],[Desc $]]</f>
        <v>2583.6600000000008</v>
      </c>
      <c r="M330" s="20">
        <f>Ventas[[#This Row],[Precio]]*Ventas[[#This Row],[Descuento]]</f>
        <v>2279.6999999999998</v>
      </c>
    </row>
    <row r="331" spans="1:13" x14ac:dyDescent="0.25">
      <c r="A331" s="16">
        <v>321</v>
      </c>
      <c r="B331" s="18">
        <v>42455</v>
      </c>
      <c r="C331" s="16" t="s">
        <v>25</v>
      </c>
      <c r="D331" s="19" t="s">
        <v>26</v>
      </c>
      <c r="E331" s="19" t="s">
        <v>27</v>
      </c>
      <c r="F331" s="19" t="s">
        <v>28</v>
      </c>
      <c r="G331" s="19" t="s">
        <v>15</v>
      </c>
      <c r="H331" s="20">
        <v>1499</v>
      </c>
      <c r="I331" s="20">
        <v>794.47</v>
      </c>
      <c r="J331" s="21">
        <v>0.2</v>
      </c>
      <c r="K331" s="20">
        <f>Ventas[[#This Row],[Precio]]*$J$4</f>
        <v>239.84</v>
      </c>
      <c r="L331" s="20">
        <f>Ventas[[#This Row],[Precio]]-Ventas[[#This Row],[Costo]]-Ventas[[#This Row],[Desc $]]</f>
        <v>404.72999999999996</v>
      </c>
      <c r="M331" s="20">
        <f>Ventas[[#This Row],[Precio]]*Ventas[[#This Row],[Descuento]]</f>
        <v>299.8</v>
      </c>
    </row>
    <row r="332" spans="1:13" x14ac:dyDescent="0.25">
      <c r="A332" s="16">
        <v>322</v>
      </c>
      <c r="B332" s="18">
        <v>42672</v>
      </c>
      <c r="C332" s="16" t="s">
        <v>41</v>
      </c>
      <c r="D332" s="19" t="s">
        <v>22</v>
      </c>
      <c r="E332" s="19" t="s">
        <v>18</v>
      </c>
      <c r="F332" s="19" t="s">
        <v>42</v>
      </c>
      <c r="G332" s="19" t="s">
        <v>43</v>
      </c>
      <c r="H332" s="20">
        <v>1149</v>
      </c>
      <c r="I332" s="20">
        <v>896.22</v>
      </c>
      <c r="J332" s="21">
        <v>0.15</v>
      </c>
      <c r="K332" s="20">
        <f>Ventas[[#This Row],[Precio]]*$J$4</f>
        <v>183.84</v>
      </c>
      <c r="L332" s="20">
        <f>Ventas[[#This Row],[Precio]]-Ventas[[#This Row],[Costo]]-Ventas[[#This Row],[Desc $]]</f>
        <v>80.429999999999978</v>
      </c>
      <c r="M332" s="20">
        <f>Ventas[[#This Row],[Precio]]*Ventas[[#This Row],[Descuento]]</f>
        <v>172.35</v>
      </c>
    </row>
    <row r="333" spans="1:13" x14ac:dyDescent="0.25">
      <c r="A333" s="16">
        <v>323</v>
      </c>
      <c r="B333" s="18">
        <v>42697</v>
      </c>
      <c r="C333" s="16" t="s">
        <v>21</v>
      </c>
      <c r="D333" s="19" t="s">
        <v>22</v>
      </c>
      <c r="E333" s="19" t="s">
        <v>23</v>
      </c>
      <c r="F333" s="19" t="s">
        <v>24</v>
      </c>
      <c r="G333" s="19" t="s">
        <v>15</v>
      </c>
      <c r="H333" s="20">
        <v>359</v>
      </c>
      <c r="I333" s="20">
        <v>244.12</v>
      </c>
      <c r="J333" s="21">
        <v>0</v>
      </c>
      <c r="K333" s="20">
        <f>Ventas[[#This Row],[Precio]]*$J$4</f>
        <v>57.44</v>
      </c>
      <c r="L333" s="20">
        <f>Ventas[[#This Row],[Precio]]-Ventas[[#This Row],[Costo]]-Ventas[[#This Row],[Desc $]]</f>
        <v>114.88</v>
      </c>
      <c r="M333" s="20">
        <f>Ventas[[#This Row],[Precio]]*Ventas[[#This Row],[Descuento]]</f>
        <v>0</v>
      </c>
    </row>
    <row r="334" spans="1:13" x14ac:dyDescent="0.25">
      <c r="A334" s="16">
        <v>324</v>
      </c>
      <c r="B334" s="18">
        <v>42487</v>
      </c>
      <c r="C334" s="16" t="s">
        <v>41</v>
      </c>
      <c r="D334" s="19" t="s">
        <v>22</v>
      </c>
      <c r="E334" s="19" t="s">
        <v>18</v>
      </c>
      <c r="F334" s="19" t="s">
        <v>42</v>
      </c>
      <c r="G334" s="19" t="s">
        <v>43</v>
      </c>
      <c r="H334" s="20">
        <v>1149</v>
      </c>
      <c r="I334" s="20">
        <v>896.22</v>
      </c>
      <c r="J334" s="21">
        <v>0</v>
      </c>
      <c r="K334" s="20">
        <f>Ventas[[#This Row],[Precio]]*$J$4</f>
        <v>183.84</v>
      </c>
      <c r="L334" s="20">
        <f>Ventas[[#This Row],[Precio]]-Ventas[[#This Row],[Costo]]-Ventas[[#This Row],[Desc $]]</f>
        <v>252.77999999999997</v>
      </c>
      <c r="M334" s="20">
        <f>Ventas[[#This Row],[Precio]]*Ventas[[#This Row],[Descuento]]</f>
        <v>0</v>
      </c>
    </row>
    <row r="335" spans="1:13" x14ac:dyDescent="0.25">
      <c r="A335" s="16">
        <v>325</v>
      </c>
      <c r="B335" s="18">
        <v>42455</v>
      </c>
      <c r="C335" s="16" t="s">
        <v>41</v>
      </c>
      <c r="D335" s="19" t="s">
        <v>22</v>
      </c>
      <c r="E335" s="19" t="s">
        <v>18</v>
      </c>
      <c r="F335" s="19" t="s">
        <v>42</v>
      </c>
      <c r="G335" s="19" t="s">
        <v>43</v>
      </c>
      <c r="H335" s="20">
        <v>1149</v>
      </c>
      <c r="I335" s="20">
        <v>896.22</v>
      </c>
      <c r="J335" s="21">
        <v>0.2</v>
      </c>
      <c r="K335" s="20">
        <f>Ventas[[#This Row],[Precio]]*$J$4</f>
        <v>183.84</v>
      </c>
      <c r="L335" s="20">
        <f>Ventas[[#This Row],[Precio]]-Ventas[[#This Row],[Costo]]-Ventas[[#This Row],[Desc $]]</f>
        <v>22.979999999999961</v>
      </c>
      <c r="M335" s="20">
        <f>Ventas[[#This Row],[Precio]]*Ventas[[#This Row],[Descuento]]</f>
        <v>229.8</v>
      </c>
    </row>
    <row r="336" spans="1:13" x14ac:dyDescent="0.25">
      <c r="A336" s="16">
        <v>326</v>
      </c>
      <c r="B336" s="18">
        <v>42400</v>
      </c>
      <c r="C336" s="16" t="s">
        <v>11</v>
      </c>
      <c r="D336" s="19" t="s">
        <v>12</v>
      </c>
      <c r="E336" s="19" t="s">
        <v>13</v>
      </c>
      <c r="F336" s="19" t="s">
        <v>14</v>
      </c>
      <c r="G336" s="19" t="s">
        <v>15</v>
      </c>
      <c r="H336" s="20">
        <v>1299</v>
      </c>
      <c r="I336" s="20">
        <v>727.44</v>
      </c>
      <c r="J336" s="21">
        <v>0</v>
      </c>
      <c r="K336" s="20">
        <f>Ventas[[#This Row],[Precio]]*$J$4</f>
        <v>207.84</v>
      </c>
      <c r="L336" s="20">
        <f>Ventas[[#This Row],[Precio]]-Ventas[[#This Row],[Costo]]-Ventas[[#This Row],[Desc $]]</f>
        <v>571.55999999999995</v>
      </c>
      <c r="M336" s="20">
        <f>Ventas[[#This Row],[Precio]]*Ventas[[#This Row],[Descuento]]</f>
        <v>0</v>
      </c>
    </row>
    <row r="337" spans="1:13" x14ac:dyDescent="0.25">
      <c r="A337" s="16">
        <v>327</v>
      </c>
      <c r="B337" s="18">
        <v>42546</v>
      </c>
      <c r="C337" s="16" t="s">
        <v>11</v>
      </c>
      <c r="D337" s="19" t="s">
        <v>12</v>
      </c>
      <c r="E337" s="19" t="s">
        <v>13</v>
      </c>
      <c r="F337" s="19" t="s">
        <v>14</v>
      </c>
      <c r="G337" s="19" t="s">
        <v>15</v>
      </c>
      <c r="H337" s="20">
        <v>1299</v>
      </c>
      <c r="I337" s="20">
        <v>727.44</v>
      </c>
      <c r="J337" s="21">
        <v>0.2</v>
      </c>
      <c r="K337" s="20">
        <f>Ventas[[#This Row],[Precio]]*$J$4</f>
        <v>207.84</v>
      </c>
      <c r="L337" s="20">
        <f>Ventas[[#This Row],[Precio]]-Ventas[[#This Row],[Costo]]-Ventas[[#This Row],[Desc $]]</f>
        <v>311.75999999999993</v>
      </c>
      <c r="M337" s="20">
        <f>Ventas[[#This Row],[Precio]]*Ventas[[#This Row],[Descuento]]</f>
        <v>259.8</v>
      </c>
    </row>
    <row r="338" spans="1:13" x14ac:dyDescent="0.25">
      <c r="A338" s="16">
        <v>328</v>
      </c>
      <c r="B338" s="18">
        <v>42640</v>
      </c>
      <c r="C338" s="16" t="s">
        <v>11</v>
      </c>
      <c r="D338" s="19" t="s">
        <v>12</v>
      </c>
      <c r="E338" s="19" t="s">
        <v>13</v>
      </c>
      <c r="F338" s="19" t="s">
        <v>14</v>
      </c>
      <c r="G338" s="19" t="s">
        <v>15</v>
      </c>
      <c r="H338" s="20">
        <v>1299</v>
      </c>
      <c r="I338" s="20">
        <v>727.44</v>
      </c>
      <c r="J338" s="21">
        <v>0</v>
      </c>
      <c r="K338" s="20">
        <f>Ventas[[#This Row],[Precio]]*$J$4</f>
        <v>207.84</v>
      </c>
      <c r="L338" s="20">
        <f>Ventas[[#This Row],[Precio]]-Ventas[[#This Row],[Costo]]-Ventas[[#This Row],[Desc $]]</f>
        <v>571.55999999999995</v>
      </c>
      <c r="M338" s="20">
        <f>Ventas[[#This Row],[Precio]]*Ventas[[#This Row],[Descuento]]</f>
        <v>0</v>
      </c>
    </row>
    <row r="339" spans="1:13" x14ac:dyDescent="0.25">
      <c r="A339" s="16">
        <v>329</v>
      </c>
      <c r="B339" s="18">
        <v>42404</v>
      </c>
      <c r="C339" s="16" t="s">
        <v>72</v>
      </c>
      <c r="D339" s="19" t="s">
        <v>22</v>
      </c>
      <c r="E339" s="19" t="s">
        <v>18</v>
      </c>
      <c r="F339" s="19" t="s">
        <v>73</v>
      </c>
      <c r="G339" s="19" t="s">
        <v>69</v>
      </c>
      <c r="H339" s="20">
        <v>799</v>
      </c>
      <c r="I339" s="20">
        <v>535.33000000000004</v>
      </c>
      <c r="J339" s="21">
        <v>0.15</v>
      </c>
      <c r="K339" s="20">
        <f>Ventas[[#This Row],[Precio]]*$J$4</f>
        <v>127.84</v>
      </c>
      <c r="L339" s="20">
        <f>Ventas[[#This Row],[Precio]]-Ventas[[#This Row],[Costo]]-Ventas[[#This Row],[Desc $]]</f>
        <v>143.81999999999996</v>
      </c>
      <c r="M339" s="20">
        <f>Ventas[[#This Row],[Precio]]*Ventas[[#This Row],[Descuento]]</f>
        <v>119.85</v>
      </c>
    </row>
    <row r="340" spans="1:13" x14ac:dyDescent="0.25">
      <c r="A340" s="16">
        <v>330</v>
      </c>
      <c r="B340" s="18">
        <v>42673</v>
      </c>
      <c r="C340" s="16" t="s">
        <v>85</v>
      </c>
      <c r="D340" s="19" t="s">
        <v>22</v>
      </c>
      <c r="E340" s="19" t="s">
        <v>86</v>
      </c>
      <c r="F340" s="19" t="s">
        <v>87</v>
      </c>
      <c r="G340" s="19" t="s">
        <v>15</v>
      </c>
      <c r="H340" s="20">
        <v>3999</v>
      </c>
      <c r="I340" s="20">
        <v>1399.6499999999999</v>
      </c>
      <c r="J340" s="21">
        <v>0</v>
      </c>
      <c r="K340" s="20">
        <f>Ventas[[#This Row],[Precio]]*$J$4</f>
        <v>639.84</v>
      </c>
      <c r="L340" s="20">
        <f>Ventas[[#This Row],[Precio]]-Ventas[[#This Row],[Costo]]-Ventas[[#This Row],[Desc $]]</f>
        <v>2599.3500000000004</v>
      </c>
      <c r="M340" s="20">
        <f>Ventas[[#This Row],[Precio]]*Ventas[[#This Row],[Descuento]]</f>
        <v>0</v>
      </c>
    </row>
    <row r="341" spans="1:13" x14ac:dyDescent="0.25">
      <c r="A341" s="16">
        <v>331</v>
      </c>
      <c r="B341" s="18">
        <v>42685</v>
      </c>
      <c r="C341" s="16" t="s">
        <v>106</v>
      </c>
      <c r="D341" s="19" t="s">
        <v>22</v>
      </c>
      <c r="E341" s="19" t="s">
        <v>23</v>
      </c>
      <c r="F341" s="19" t="s">
        <v>107</v>
      </c>
      <c r="G341" s="19" t="s">
        <v>15</v>
      </c>
      <c r="H341" s="20">
        <v>259</v>
      </c>
      <c r="I341" s="20">
        <v>111.37</v>
      </c>
      <c r="J341" s="21">
        <v>0</v>
      </c>
      <c r="K341" s="20">
        <f>Ventas[[#This Row],[Precio]]*$J$4</f>
        <v>41.44</v>
      </c>
      <c r="L341" s="20">
        <f>Ventas[[#This Row],[Precio]]-Ventas[[#This Row],[Costo]]-Ventas[[#This Row],[Desc $]]</f>
        <v>147.63</v>
      </c>
      <c r="M341" s="20">
        <f>Ventas[[#This Row],[Precio]]*Ventas[[#This Row],[Descuento]]</f>
        <v>0</v>
      </c>
    </row>
    <row r="342" spans="1:13" x14ac:dyDescent="0.25">
      <c r="A342" s="16">
        <v>332</v>
      </c>
      <c r="B342" s="18">
        <v>42601</v>
      </c>
      <c r="C342" s="16" t="s">
        <v>90</v>
      </c>
      <c r="D342" s="19" t="s">
        <v>12</v>
      </c>
      <c r="E342" s="19" t="s">
        <v>35</v>
      </c>
      <c r="F342" s="19" t="s">
        <v>91</v>
      </c>
      <c r="G342" s="19" t="s">
        <v>15</v>
      </c>
      <c r="H342" s="20">
        <v>6999</v>
      </c>
      <c r="I342" s="20">
        <v>4829.3099999999995</v>
      </c>
      <c r="J342" s="21">
        <v>0.15</v>
      </c>
      <c r="K342" s="20">
        <f>Ventas[[#This Row],[Precio]]*$J$4</f>
        <v>1119.8399999999999</v>
      </c>
      <c r="L342" s="20">
        <f>Ventas[[#This Row],[Precio]]-Ventas[[#This Row],[Costo]]-Ventas[[#This Row],[Desc $]]</f>
        <v>1119.8400000000006</v>
      </c>
      <c r="M342" s="20">
        <f>Ventas[[#This Row],[Precio]]*Ventas[[#This Row],[Descuento]]</f>
        <v>1049.8499999999999</v>
      </c>
    </row>
    <row r="343" spans="1:13" x14ac:dyDescent="0.25">
      <c r="A343" s="16">
        <v>333</v>
      </c>
      <c r="B343" s="18">
        <v>42404</v>
      </c>
      <c r="C343" s="16" t="s">
        <v>114</v>
      </c>
      <c r="D343" s="19" t="s">
        <v>22</v>
      </c>
      <c r="E343" s="19" t="s">
        <v>86</v>
      </c>
      <c r="F343" s="19" t="s">
        <v>115</v>
      </c>
      <c r="G343" s="19" t="s">
        <v>15</v>
      </c>
      <c r="H343" s="20">
        <v>7999</v>
      </c>
      <c r="I343" s="20">
        <v>5039.37</v>
      </c>
      <c r="J343" s="21">
        <v>0.15</v>
      </c>
      <c r="K343" s="20">
        <f>Ventas[[#This Row],[Precio]]*$J$4</f>
        <v>1279.8399999999999</v>
      </c>
      <c r="L343" s="20">
        <f>Ventas[[#This Row],[Precio]]-Ventas[[#This Row],[Costo]]-Ventas[[#This Row],[Desc $]]</f>
        <v>1759.7800000000002</v>
      </c>
      <c r="M343" s="20">
        <f>Ventas[[#This Row],[Precio]]*Ventas[[#This Row],[Descuento]]</f>
        <v>1199.8499999999999</v>
      </c>
    </row>
    <row r="344" spans="1:13" x14ac:dyDescent="0.25">
      <c r="A344" s="16">
        <v>334</v>
      </c>
      <c r="B344" s="18">
        <v>42720</v>
      </c>
      <c r="C344" s="16" t="s">
        <v>29</v>
      </c>
      <c r="D344" s="19" t="s">
        <v>26</v>
      </c>
      <c r="E344" s="19" t="s">
        <v>27</v>
      </c>
      <c r="F344" s="19" t="s">
        <v>30</v>
      </c>
      <c r="G344" s="19" t="s">
        <v>15</v>
      </c>
      <c r="H344" s="20">
        <v>259</v>
      </c>
      <c r="I344" s="20">
        <v>220.15</v>
      </c>
      <c r="J344" s="21">
        <v>0.2</v>
      </c>
      <c r="K344" s="20">
        <f>Ventas[[#This Row],[Precio]]*$J$4</f>
        <v>41.44</v>
      </c>
      <c r="L344" s="20">
        <f>Ventas[[#This Row],[Precio]]-Ventas[[#This Row],[Costo]]-Ventas[[#This Row],[Desc $]]</f>
        <v>-12.95000000000001</v>
      </c>
      <c r="M344" s="20">
        <f>Ventas[[#This Row],[Precio]]*Ventas[[#This Row],[Descuento]]</f>
        <v>51.800000000000004</v>
      </c>
    </row>
    <row r="345" spans="1:13" x14ac:dyDescent="0.25">
      <c r="A345" s="16">
        <v>335</v>
      </c>
      <c r="B345" s="18">
        <v>42454</v>
      </c>
      <c r="C345" s="16" t="s">
        <v>21</v>
      </c>
      <c r="D345" s="19" t="s">
        <v>22</v>
      </c>
      <c r="E345" s="19" t="s">
        <v>23</v>
      </c>
      <c r="F345" s="19" t="s">
        <v>24</v>
      </c>
      <c r="G345" s="19" t="s">
        <v>15</v>
      </c>
      <c r="H345" s="20">
        <v>359</v>
      </c>
      <c r="I345" s="20">
        <v>244.12</v>
      </c>
      <c r="J345" s="21">
        <v>0.15</v>
      </c>
      <c r="K345" s="20">
        <f>Ventas[[#This Row],[Precio]]*$J$4</f>
        <v>57.44</v>
      </c>
      <c r="L345" s="20">
        <f>Ventas[[#This Row],[Precio]]-Ventas[[#This Row],[Costo]]-Ventas[[#This Row],[Desc $]]</f>
        <v>61.029999999999994</v>
      </c>
      <c r="M345" s="20">
        <f>Ventas[[#This Row],[Precio]]*Ventas[[#This Row],[Descuento]]</f>
        <v>53.85</v>
      </c>
    </row>
    <row r="346" spans="1:13" x14ac:dyDescent="0.25">
      <c r="A346" s="16">
        <v>336</v>
      </c>
      <c r="B346" s="18">
        <v>42402</v>
      </c>
      <c r="C346" s="16" t="s">
        <v>31</v>
      </c>
      <c r="D346" s="19" t="s">
        <v>22</v>
      </c>
      <c r="E346" s="19" t="s">
        <v>18</v>
      </c>
      <c r="F346" s="19" t="s">
        <v>32</v>
      </c>
      <c r="G346" s="19" t="s">
        <v>33</v>
      </c>
      <c r="H346" s="20">
        <v>1199</v>
      </c>
      <c r="I346" s="20">
        <v>887.26</v>
      </c>
      <c r="J346" s="21">
        <v>0.2</v>
      </c>
      <c r="K346" s="20">
        <f>Ventas[[#This Row],[Precio]]*$J$4</f>
        <v>191.84</v>
      </c>
      <c r="L346" s="20">
        <f>Ventas[[#This Row],[Precio]]-Ventas[[#This Row],[Costo]]-Ventas[[#This Row],[Desc $]]</f>
        <v>71.94</v>
      </c>
      <c r="M346" s="20">
        <f>Ventas[[#This Row],[Precio]]*Ventas[[#This Row],[Descuento]]</f>
        <v>239.8</v>
      </c>
    </row>
    <row r="347" spans="1:13" x14ac:dyDescent="0.25">
      <c r="A347" s="16">
        <v>337</v>
      </c>
      <c r="B347" s="18">
        <v>42520</v>
      </c>
      <c r="C347" s="16" t="s">
        <v>41</v>
      </c>
      <c r="D347" s="19" t="s">
        <v>22</v>
      </c>
      <c r="E347" s="19" t="s">
        <v>18</v>
      </c>
      <c r="F347" s="19" t="s">
        <v>42</v>
      </c>
      <c r="G347" s="19" t="s">
        <v>43</v>
      </c>
      <c r="H347" s="20">
        <v>1149</v>
      </c>
      <c r="I347" s="20">
        <v>896.22</v>
      </c>
      <c r="J347" s="21">
        <v>0.2</v>
      </c>
      <c r="K347" s="20">
        <f>Ventas[[#This Row],[Precio]]*$J$4</f>
        <v>183.84</v>
      </c>
      <c r="L347" s="20">
        <f>Ventas[[#This Row],[Precio]]-Ventas[[#This Row],[Costo]]-Ventas[[#This Row],[Desc $]]</f>
        <v>22.979999999999961</v>
      </c>
      <c r="M347" s="20">
        <f>Ventas[[#This Row],[Precio]]*Ventas[[#This Row],[Descuento]]</f>
        <v>229.8</v>
      </c>
    </row>
    <row r="348" spans="1:13" x14ac:dyDescent="0.25">
      <c r="A348" s="16">
        <v>338</v>
      </c>
      <c r="B348" s="18">
        <v>42675</v>
      </c>
      <c r="C348" s="16" t="s">
        <v>61</v>
      </c>
      <c r="D348" s="19" t="s">
        <v>26</v>
      </c>
      <c r="E348" s="19" t="s">
        <v>45</v>
      </c>
      <c r="F348" s="19" t="s">
        <v>62</v>
      </c>
      <c r="G348" s="19" t="s">
        <v>15</v>
      </c>
      <c r="H348" s="20">
        <v>799</v>
      </c>
      <c r="I348" s="20">
        <v>679.15</v>
      </c>
      <c r="J348" s="21">
        <v>0</v>
      </c>
      <c r="K348" s="20">
        <f>Ventas[[#This Row],[Precio]]*$J$4</f>
        <v>127.84</v>
      </c>
      <c r="L348" s="20">
        <f>Ventas[[#This Row],[Precio]]-Ventas[[#This Row],[Costo]]-Ventas[[#This Row],[Desc $]]</f>
        <v>119.85000000000002</v>
      </c>
      <c r="M348" s="20">
        <f>Ventas[[#This Row],[Precio]]*Ventas[[#This Row],[Descuento]]</f>
        <v>0</v>
      </c>
    </row>
    <row r="349" spans="1:13" x14ac:dyDescent="0.25">
      <c r="A349" s="16">
        <v>339</v>
      </c>
      <c r="B349" s="18">
        <v>42706</v>
      </c>
      <c r="C349" s="16" t="s">
        <v>85</v>
      </c>
      <c r="D349" s="19" t="s">
        <v>22</v>
      </c>
      <c r="E349" s="19" t="s">
        <v>86</v>
      </c>
      <c r="F349" s="19" t="s">
        <v>87</v>
      </c>
      <c r="G349" s="19" t="s">
        <v>15</v>
      </c>
      <c r="H349" s="20">
        <v>3999</v>
      </c>
      <c r="I349" s="20">
        <v>1399.6499999999999</v>
      </c>
      <c r="J349" s="21">
        <v>0</v>
      </c>
      <c r="K349" s="20">
        <f>Ventas[[#This Row],[Precio]]*$J$4</f>
        <v>639.84</v>
      </c>
      <c r="L349" s="20">
        <f>Ventas[[#This Row],[Precio]]-Ventas[[#This Row],[Costo]]-Ventas[[#This Row],[Desc $]]</f>
        <v>2599.3500000000004</v>
      </c>
      <c r="M349" s="20">
        <f>Ventas[[#This Row],[Precio]]*Ventas[[#This Row],[Descuento]]</f>
        <v>0</v>
      </c>
    </row>
    <row r="350" spans="1:13" x14ac:dyDescent="0.25">
      <c r="A350" s="16">
        <v>340</v>
      </c>
      <c r="B350" s="18">
        <v>42404</v>
      </c>
      <c r="C350" s="16" t="s">
        <v>31</v>
      </c>
      <c r="D350" s="19" t="s">
        <v>22</v>
      </c>
      <c r="E350" s="19" t="s">
        <v>18</v>
      </c>
      <c r="F350" s="19" t="s">
        <v>32</v>
      </c>
      <c r="G350" s="19" t="s">
        <v>33</v>
      </c>
      <c r="H350" s="20">
        <v>1199</v>
      </c>
      <c r="I350" s="20">
        <v>887.26</v>
      </c>
      <c r="J350" s="21">
        <v>0.15</v>
      </c>
      <c r="K350" s="20">
        <f>Ventas[[#This Row],[Precio]]*$J$4</f>
        <v>191.84</v>
      </c>
      <c r="L350" s="20">
        <f>Ventas[[#This Row],[Precio]]-Ventas[[#This Row],[Costo]]-Ventas[[#This Row],[Desc $]]</f>
        <v>131.89000000000001</v>
      </c>
      <c r="M350" s="20">
        <f>Ventas[[#This Row],[Precio]]*Ventas[[#This Row],[Descuento]]</f>
        <v>179.85</v>
      </c>
    </row>
    <row r="351" spans="1:13" x14ac:dyDescent="0.25">
      <c r="A351" s="16">
        <v>341</v>
      </c>
      <c r="B351" s="18">
        <v>42584</v>
      </c>
      <c r="C351" s="16" t="s">
        <v>74</v>
      </c>
      <c r="D351" s="19" t="s">
        <v>12</v>
      </c>
      <c r="E351" s="19" t="s">
        <v>13</v>
      </c>
      <c r="F351" s="19" t="s">
        <v>75</v>
      </c>
      <c r="G351" s="19" t="s">
        <v>15</v>
      </c>
      <c r="H351" s="20">
        <v>2599</v>
      </c>
      <c r="I351" s="20">
        <v>1819.3</v>
      </c>
      <c r="J351" s="21">
        <v>0</v>
      </c>
      <c r="K351" s="20">
        <f>Ventas[[#This Row],[Precio]]*$J$4</f>
        <v>415.84000000000003</v>
      </c>
      <c r="L351" s="20">
        <f>Ventas[[#This Row],[Precio]]-Ventas[[#This Row],[Costo]]-Ventas[[#This Row],[Desc $]]</f>
        <v>779.7</v>
      </c>
      <c r="M351" s="20">
        <f>Ventas[[#This Row],[Precio]]*Ventas[[#This Row],[Descuento]]</f>
        <v>0</v>
      </c>
    </row>
    <row r="352" spans="1:13" x14ac:dyDescent="0.25">
      <c r="A352" s="16">
        <v>342</v>
      </c>
      <c r="B352" s="18">
        <v>42802</v>
      </c>
      <c r="C352" s="16" t="s">
        <v>116</v>
      </c>
      <c r="D352" s="19" t="s">
        <v>22</v>
      </c>
      <c r="E352" s="19" t="s">
        <v>86</v>
      </c>
      <c r="F352" s="19" t="s">
        <v>117</v>
      </c>
      <c r="G352" s="19" t="s">
        <v>15</v>
      </c>
      <c r="H352" s="20">
        <v>5999</v>
      </c>
      <c r="I352" s="20">
        <v>3659.39</v>
      </c>
      <c r="J352" s="21">
        <v>0</v>
      </c>
      <c r="K352" s="20">
        <f>Ventas[[#This Row],[Precio]]*$J$4</f>
        <v>959.84</v>
      </c>
      <c r="L352" s="20">
        <f>Ventas[[#This Row],[Precio]]-Ventas[[#This Row],[Costo]]-Ventas[[#This Row],[Desc $]]</f>
        <v>2339.61</v>
      </c>
      <c r="M352" s="20">
        <f>Ventas[[#This Row],[Precio]]*Ventas[[#This Row],[Descuento]]</f>
        <v>0</v>
      </c>
    </row>
    <row r="353" spans="1:13" x14ac:dyDescent="0.25">
      <c r="A353" s="16">
        <v>343</v>
      </c>
      <c r="B353" s="18">
        <v>42520</v>
      </c>
      <c r="C353" s="16" t="s">
        <v>11</v>
      </c>
      <c r="D353" s="19" t="s">
        <v>12</v>
      </c>
      <c r="E353" s="19" t="s">
        <v>13</v>
      </c>
      <c r="F353" s="19" t="s">
        <v>14</v>
      </c>
      <c r="G353" s="19" t="s">
        <v>15</v>
      </c>
      <c r="H353" s="20">
        <v>1299</v>
      </c>
      <c r="I353" s="20">
        <v>727.44</v>
      </c>
      <c r="J353" s="21">
        <v>0.2</v>
      </c>
      <c r="K353" s="20">
        <f>Ventas[[#This Row],[Precio]]*$J$4</f>
        <v>207.84</v>
      </c>
      <c r="L353" s="20">
        <f>Ventas[[#This Row],[Precio]]-Ventas[[#This Row],[Costo]]-Ventas[[#This Row],[Desc $]]</f>
        <v>311.75999999999993</v>
      </c>
      <c r="M353" s="20">
        <f>Ventas[[#This Row],[Precio]]*Ventas[[#This Row],[Descuento]]</f>
        <v>259.8</v>
      </c>
    </row>
    <row r="354" spans="1:13" x14ac:dyDescent="0.25">
      <c r="A354" s="16">
        <v>344</v>
      </c>
      <c r="B354" s="18">
        <v>42631</v>
      </c>
      <c r="C354" s="16" t="s">
        <v>41</v>
      </c>
      <c r="D354" s="19" t="s">
        <v>22</v>
      </c>
      <c r="E354" s="19" t="s">
        <v>18</v>
      </c>
      <c r="F354" s="19" t="s">
        <v>42</v>
      </c>
      <c r="G354" s="19" t="s">
        <v>43</v>
      </c>
      <c r="H354" s="20">
        <v>1149</v>
      </c>
      <c r="I354" s="20">
        <v>896.22</v>
      </c>
      <c r="J354" s="21">
        <v>0.1</v>
      </c>
      <c r="K354" s="20">
        <f>Ventas[[#This Row],[Precio]]*$J$4</f>
        <v>183.84</v>
      </c>
      <c r="L354" s="20">
        <f>Ventas[[#This Row],[Precio]]-Ventas[[#This Row],[Costo]]-Ventas[[#This Row],[Desc $]]</f>
        <v>137.87999999999997</v>
      </c>
      <c r="M354" s="20">
        <f>Ventas[[#This Row],[Precio]]*Ventas[[#This Row],[Descuento]]</f>
        <v>114.9</v>
      </c>
    </row>
    <row r="355" spans="1:13" x14ac:dyDescent="0.25">
      <c r="A355" s="16">
        <v>345</v>
      </c>
      <c r="B355" s="18">
        <v>42643</v>
      </c>
      <c r="C355" s="16" t="s">
        <v>41</v>
      </c>
      <c r="D355" s="19" t="s">
        <v>22</v>
      </c>
      <c r="E355" s="19" t="s">
        <v>18</v>
      </c>
      <c r="F355" s="19" t="s">
        <v>42</v>
      </c>
      <c r="G355" s="19" t="s">
        <v>43</v>
      </c>
      <c r="H355" s="20">
        <v>1149</v>
      </c>
      <c r="I355" s="20">
        <v>896.22</v>
      </c>
      <c r="J355" s="21">
        <v>0.2</v>
      </c>
      <c r="K355" s="20">
        <f>Ventas[[#This Row],[Precio]]*$J$4</f>
        <v>183.84</v>
      </c>
      <c r="L355" s="20">
        <f>Ventas[[#This Row],[Precio]]-Ventas[[#This Row],[Costo]]-Ventas[[#This Row],[Desc $]]</f>
        <v>22.979999999999961</v>
      </c>
      <c r="M355" s="20">
        <f>Ventas[[#This Row],[Precio]]*Ventas[[#This Row],[Descuento]]</f>
        <v>229.8</v>
      </c>
    </row>
    <row r="356" spans="1:13" x14ac:dyDescent="0.25">
      <c r="A356" s="16">
        <v>346</v>
      </c>
      <c r="B356" s="18">
        <v>42684</v>
      </c>
      <c r="C356" s="16" t="s">
        <v>31</v>
      </c>
      <c r="D356" s="19" t="s">
        <v>22</v>
      </c>
      <c r="E356" s="19" t="s">
        <v>18</v>
      </c>
      <c r="F356" s="19" t="s">
        <v>32</v>
      </c>
      <c r="G356" s="19" t="s">
        <v>33</v>
      </c>
      <c r="H356" s="20">
        <v>1199</v>
      </c>
      <c r="I356" s="20">
        <v>887.26</v>
      </c>
      <c r="J356" s="21">
        <v>0.2</v>
      </c>
      <c r="K356" s="20">
        <f>Ventas[[#This Row],[Precio]]*$J$4</f>
        <v>191.84</v>
      </c>
      <c r="L356" s="20">
        <f>Ventas[[#This Row],[Precio]]-Ventas[[#This Row],[Costo]]-Ventas[[#This Row],[Desc $]]</f>
        <v>71.94</v>
      </c>
      <c r="M356" s="20">
        <f>Ventas[[#This Row],[Precio]]*Ventas[[#This Row],[Descuento]]</f>
        <v>239.8</v>
      </c>
    </row>
    <row r="357" spans="1:13" x14ac:dyDescent="0.25">
      <c r="A357" s="16">
        <v>347</v>
      </c>
      <c r="B357" s="18">
        <v>42438</v>
      </c>
      <c r="C357" s="16" t="s">
        <v>85</v>
      </c>
      <c r="D357" s="19" t="s">
        <v>22</v>
      </c>
      <c r="E357" s="19" t="s">
        <v>86</v>
      </c>
      <c r="F357" s="19" t="s">
        <v>87</v>
      </c>
      <c r="G357" s="19" t="s">
        <v>15</v>
      </c>
      <c r="H357" s="20">
        <v>3999</v>
      </c>
      <c r="I357" s="20">
        <v>1399.6499999999999</v>
      </c>
      <c r="J357" s="21">
        <v>0.15</v>
      </c>
      <c r="K357" s="20">
        <f>Ventas[[#This Row],[Precio]]*$J$4</f>
        <v>639.84</v>
      </c>
      <c r="L357" s="20">
        <f>Ventas[[#This Row],[Precio]]-Ventas[[#This Row],[Costo]]-Ventas[[#This Row],[Desc $]]</f>
        <v>1999.5000000000005</v>
      </c>
      <c r="M357" s="20">
        <f>Ventas[[#This Row],[Precio]]*Ventas[[#This Row],[Descuento]]</f>
        <v>599.85</v>
      </c>
    </row>
    <row r="358" spans="1:13" x14ac:dyDescent="0.25">
      <c r="A358" s="16">
        <v>348</v>
      </c>
      <c r="B358" s="18">
        <v>42383</v>
      </c>
      <c r="C358" s="16" t="s">
        <v>41</v>
      </c>
      <c r="D358" s="19" t="s">
        <v>22</v>
      </c>
      <c r="E358" s="19" t="s">
        <v>18</v>
      </c>
      <c r="F358" s="19" t="s">
        <v>42</v>
      </c>
      <c r="G358" s="19" t="s">
        <v>43</v>
      </c>
      <c r="H358" s="20">
        <v>1149</v>
      </c>
      <c r="I358" s="20">
        <v>896.22</v>
      </c>
      <c r="J358" s="21">
        <v>0</v>
      </c>
      <c r="K358" s="20">
        <f>Ventas[[#This Row],[Precio]]*$J$4</f>
        <v>183.84</v>
      </c>
      <c r="L358" s="20">
        <f>Ventas[[#This Row],[Precio]]-Ventas[[#This Row],[Costo]]-Ventas[[#This Row],[Desc $]]</f>
        <v>252.77999999999997</v>
      </c>
      <c r="M358" s="20">
        <f>Ventas[[#This Row],[Precio]]*Ventas[[#This Row],[Descuento]]</f>
        <v>0</v>
      </c>
    </row>
    <row r="359" spans="1:13" x14ac:dyDescent="0.25">
      <c r="A359" s="16">
        <v>349</v>
      </c>
      <c r="B359" s="18">
        <v>42408</v>
      </c>
      <c r="C359" s="16" t="s">
        <v>44</v>
      </c>
      <c r="D359" s="19" t="s">
        <v>26</v>
      </c>
      <c r="E359" s="19" t="s">
        <v>45</v>
      </c>
      <c r="F359" s="19" t="s">
        <v>46</v>
      </c>
      <c r="G359" s="19" t="s">
        <v>15</v>
      </c>
      <c r="H359" s="20">
        <v>699</v>
      </c>
      <c r="I359" s="20">
        <v>531.24</v>
      </c>
      <c r="J359" s="21">
        <v>0</v>
      </c>
      <c r="K359" s="20">
        <f>Ventas[[#This Row],[Precio]]*$J$4</f>
        <v>111.84</v>
      </c>
      <c r="L359" s="20">
        <f>Ventas[[#This Row],[Precio]]-Ventas[[#This Row],[Costo]]-Ventas[[#This Row],[Desc $]]</f>
        <v>167.76</v>
      </c>
      <c r="M359" s="20">
        <f>Ventas[[#This Row],[Precio]]*Ventas[[#This Row],[Descuento]]</f>
        <v>0</v>
      </c>
    </row>
    <row r="360" spans="1:13" x14ac:dyDescent="0.25">
      <c r="A360" s="16">
        <v>350</v>
      </c>
      <c r="B360" s="18">
        <v>42575</v>
      </c>
      <c r="C360" s="16" t="s">
        <v>25</v>
      </c>
      <c r="D360" s="19" t="s">
        <v>26</v>
      </c>
      <c r="E360" s="19" t="s">
        <v>27</v>
      </c>
      <c r="F360" s="19" t="s">
        <v>28</v>
      </c>
      <c r="G360" s="19" t="s">
        <v>15</v>
      </c>
      <c r="H360" s="20">
        <v>1499</v>
      </c>
      <c r="I360" s="20">
        <v>794.47</v>
      </c>
      <c r="J360" s="21">
        <v>0.2</v>
      </c>
      <c r="K360" s="20">
        <f>Ventas[[#This Row],[Precio]]*$J$4</f>
        <v>239.84</v>
      </c>
      <c r="L360" s="20">
        <f>Ventas[[#This Row],[Precio]]-Ventas[[#This Row],[Costo]]-Ventas[[#This Row],[Desc $]]</f>
        <v>404.72999999999996</v>
      </c>
      <c r="M360" s="20">
        <f>Ventas[[#This Row],[Precio]]*Ventas[[#This Row],[Descuento]]</f>
        <v>299.8</v>
      </c>
    </row>
    <row r="361" spans="1:13" x14ac:dyDescent="0.25">
      <c r="A361" s="16">
        <v>351</v>
      </c>
      <c r="B361" s="18">
        <v>42520</v>
      </c>
      <c r="C361" s="16" t="s">
        <v>74</v>
      </c>
      <c r="D361" s="19" t="s">
        <v>12</v>
      </c>
      <c r="E361" s="19" t="s">
        <v>13</v>
      </c>
      <c r="F361" s="19" t="s">
        <v>75</v>
      </c>
      <c r="G361" s="19" t="s">
        <v>15</v>
      </c>
      <c r="H361" s="20">
        <v>2599</v>
      </c>
      <c r="I361" s="20">
        <v>1819.3</v>
      </c>
      <c r="J361" s="21">
        <v>0.2</v>
      </c>
      <c r="K361" s="20">
        <f>Ventas[[#This Row],[Precio]]*$J$4</f>
        <v>415.84000000000003</v>
      </c>
      <c r="L361" s="20">
        <f>Ventas[[#This Row],[Precio]]-Ventas[[#This Row],[Costo]]-Ventas[[#This Row],[Desc $]]</f>
        <v>259.89999999999998</v>
      </c>
      <c r="M361" s="20">
        <f>Ventas[[#This Row],[Precio]]*Ventas[[#This Row],[Descuento]]</f>
        <v>519.80000000000007</v>
      </c>
    </row>
    <row r="362" spans="1:13" x14ac:dyDescent="0.25">
      <c r="A362" s="16">
        <v>352</v>
      </c>
      <c r="B362" s="18">
        <v>42685</v>
      </c>
      <c r="C362" s="16" t="s">
        <v>41</v>
      </c>
      <c r="D362" s="19" t="s">
        <v>22</v>
      </c>
      <c r="E362" s="19" t="s">
        <v>18</v>
      </c>
      <c r="F362" s="19" t="s">
        <v>42</v>
      </c>
      <c r="G362" s="19" t="s">
        <v>43</v>
      </c>
      <c r="H362" s="20">
        <v>1149</v>
      </c>
      <c r="I362" s="20">
        <v>896.22</v>
      </c>
      <c r="J362" s="21">
        <v>0</v>
      </c>
      <c r="K362" s="20">
        <f>Ventas[[#This Row],[Precio]]*$J$4</f>
        <v>183.84</v>
      </c>
      <c r="L362" s="20">
        <f>Ventas[[#This Row],[Precio]]-Ventas[[#This Row],[Costo]]-Ventas[[#This Row],[Desc $]]</f>
        <v>252.77999999999997</v>
      </c>
      <c r="M362" s="20">
        <f>Ventas[[#This Row],[Precio]]*Ventas[[#This Row],[Descuento]]</f>
        <v>0</v>
      </c>
    </row>
    <row r="363" spans="1:13" x14ac:dyDescent="0.25">
      <c r="A363" s="16">
        <v>353</v>
      </c>
      <c r="B363" s="18">
        <v>42778</v>
      </c>
      <c r="C363" s="16" t="s">
        <v>11</v>
      </c>
      <c r="D363" s="19" t="s">
        <v>12</v>
      </c>
      <c r="E363" s="19" t="s">
        <v>13</v>
      </c>
      <c r="F363" s="19" t="s">
        <v>14</v>
      </c>
      <c r="G363" s="19" t="s">
        <v>15</v>
      </c>
      <c r="H363" s="20">
        <v>1299</v>
      </c>
      <c r="I363" s="20">
        <v>727.44</v>
      </c>
      <c r="J363" s="21">
        <v>0</v>
      </c>
      <c r="K363" s="20">
        <f>Ventas[[#This Row],[Precio]]*$J$4</f>
        <v>207.84</v>
      </c>
      <c r="L363" s="20">
        <f>Ventas[[#This Row],[Precio]]-Ventas[[#This Row],[Costo]]-Ventas[[#This Row],[Desc $]]</f>
        <v>571.55999999999995</v>
      </c>
      <c r="M363" s="20">
        <f>Ventas[[#This Row],[Precio]]*Ventas[[#This Row],[Descuento]]</f>
        <v>0</v>
      </c>
    </row>
    <row r="364" spans="1:13" x14ac:dyDescent="0.25">
      <c r="A364" s="16">
        <v>354</v>
      </c>
      <c r="B364" s="18">
        <v>42605</v>
      </c>
      <c r="C364" s="16" t="s">
        <v>81</v>
      </c>
      <c r="D364" s="19" t="s">
        <v>22</v>
      </c>
      <c r="E364" s="19" t="s">
        <v>18</v>
      </c>
      <c r="F364" s="19" t="s">
        <v>82</v>
      </c>
      <c r="G364" s="19" t="s">
        <v>78</v>
      </c>
      <c r="H364" s="20">
        <v>1299</v>
      </c>
      <c r="I364" s="20">
        <v>909.3</v>
      </c>
      <c r="J364" s="21">
        <v>0</v>
      </c>
      <c r="K364" s="20">
        <f>Ventas[[#This Row],[Precio]]*$J$4</f>
        <v>207.84</v>
      </c>
      <c r="L364" s="20">
        <f>Ventas[[#This Row],[Precio]]-Ventas[[#This Row],[Costo]]-Ventas[[#This Row],[Desc $]]</f>
        <v>389.70000000000005</v>
      </c>
      <c r="M364" s="20">
        <f>Ventas[[#This Row],[Precio]]*Ventas[[#This Row],[Descuento]]</f>
        <v>0</v>
      </c>
    </row>
    <row r="365" spans="1:13" x14ac:dyDescent="0.25">
      <c r="A365" s="16">
        <v>355</v>
      </c>
      <c r="B365" s="18">
        <v>42371</v>
      </c>
      <c r="C365" s="16" t="s">
        <v>41</v>
      </c>
      <c r="D365" s="19" t="s">
        <v>22</v>
      </c>
      <c r="E365" s="19" t="s">
        <v>18</v>
      </c>
      <c r="F365" s="19" t="s">
        <v>42</v>
      </c>
      <c r="G365" s="19" t="s">
        <v>43</v>
      </c>
      <c r="H365" s="20">
        <v>1149</v>
      </c>
      <c r="I365" s="20">
        <v>896.22</v>
      </c>
      <c r="J365" s="21">
        <v>0</v>
      </c>
      <c r="K365" s="20">
        <f>Ventas[[#This Row],[Precio]]*$J$4</f>
        <v>183.84</v>
      </c>
      <c r="L365" s="20">
        <f>Ventas[[#This Row],[Precio]]-Ventas[[#This Row],[Costo]]-Ventas[[#This Row],[Desc $]]</f>
        <v>252.77999999999997</v>
      </c>
      <c r="M365" s="20">
        <f>Ventas[[#This Row],[Precio]]*Ventas[[#This Row],[Descuento]]</f>
        <v>0</v>
      </c>
    </row>
    <row r="366" spans="1:13" x14ac:dyDescent="0.25">
      <c r="A366" s="16">
        <v>356</v>
      </c>
      <c r="B366" s="18">
        <v>42684</v>
      </c>
      <c r="C366" s="16" t="s">
        <v>72</v>
      </c>
      <c r="D366" s="19" t="s">
        <v>22</v>
      </c>
      <c r="E366" s="19" t="s">
        <v>18</v>
      </c>
      <c r="F366" s="19" t="s">
        <v>73</v>
      </c>
      <c r="G366" s="19" t="s">
        <v>69</v>
      </c>
      <c r="H366" s="20">
        <v>799</v>
      </c>
      <c r="I366" s="20">
        <v>535.33000000000004</v>
      </c>
      <c r="J366" s="21">
        <v>0.2</v>
      </c>
      <c r="K366" s="20">
        <f>Ventas[[#This Row],[Precio]]*$J$4</f>
        <v>127.84</v>
      </c>
      <c r="L366" s="20">
        <f>Ventas[[#This Row],[Precio]]-Ventas[[#This Row],[Costo]]-Ventas[[#This Row],[Desc $]]</f>
        <v>103.86999999999995</v>
      </c>
      <c r="M366" s="20">
        <f>Ventas[[#This Row],[Precio]]*Ventas[[#This Row],[Descuento]]</f>
        <v>159.80000000000001</v>
      </c>
    </row>
    <row r="367" spans="1:13" x14ac:dyDescent="0.25">
      <c r="A367" s="16">
        <v>357</v>
      </c>
      <c r="B367" s="18">
        <v>42479</v>
      </c>
      <c r="C367" s="16" t="s">
        <v>25</v>
      </c>
      <c r="D367" s="19" t="s">
        <v>26</v>
      </c>
      <c r="E367" s="19" t="s">
        <v>27</v>
      </c>
      <c r="F367" s="19" t="s">
        <v>28</v>
      </c>
      <c r="G367" s="19" t="s">
        <v>15</v>
      </c>
      <c r="H367" s="20">
        <v>1499</v>
      </c>
      <c r="I367" s="20">
        <v>794.47</v>
      </c>
      <c r="J367" s="21">
        <v>0.15</v>
      </c>
      <c r="K367" s="20">
        <f>Ventas[[#This Row],[Precio]]*$J$4</f>
        <v>239.84</v>
      </c>
      <c r="L367" s="20">
        <f>Ventas[[#This Row],[Precio]]-Ventas[[#This Row],[Costo]]-Ventas[[#This Row],[Desc $]]</f>
        <v>479.67999999999995</v>
      </c>
      <c r="M367" s="20">
        <f>Ventas[[#This Row],[Precio]]*Ventas[[#This Row],[Descuento]]</f>
        <v>224.85</v>
      </c>
    </row>
    <row r="368" spans="1:13" x14ac:dyDescent="0.25">
      <c r="A368" s="16">
        <v>358</v>
      </c>
      <c r="B368" s="18">
        <v>42388</v>
      </c>
      <c r="C368" s="16" t="s">
        <v>160</v>
      </c>
      <c r="D368" s="19" t="s">
        <v>26</v>
      </c>
      <c r="E368" s="19" t="s">
        <v>45</v>
      </c>
      <c r="F368" s="19" t="s">
        <v>161</v>
      </c>
      <c r="G368" s="19" t="s">
        <v>15</v>
      </c>
      <c r="H368" s="20">
        <v>399</v>
      </c>
      <c r="I368" s="20">
        <v>147.63</v>
      </c>
      <c r="J368" s="21">
        <v>0.15</v>
      </c>
      <c r="K368" s="20">
        <f>Ventas[[#This Row],[Precio]]*$J$4</f>
        <v>63.84</v>
      </c>
      <c r="L368" s="20">
        <f>Ventas[[#This Row],[Precio]]-Ventas[[#This Row],[Costo]]-Ventas[[#This Row],[Desc $]]</f>
        <v>191.52</v>
      </c>
      <c r="M368" s="20">
        <f>Ventas[[#This Row],[Precio]]*Ventas[[#This Row],[Descuento]]</f>
        <v>59.849999999999994</v>
      </c>
    </row>
    <row r="369" spans="1:13" x14ac:dyDescent="0.25">
      <c r="A369" s="16">
        <v>359</v>
      </c>
      <c r="B369" s="18">
        <v>42395</v>
      </c>
      <c r="C369" s="16" t="s">
        <v>11</v>
      </c>
      <c r="D369" s="19" t="s">
        <v>12</v>
      </c>
      <c r="E369" s="19" t="s">
        <v>13</v>
      </c>
      <c r="F369" s="19" t="s">
        <v>14</v>
      </c>
      <c r="G369" s="19" t="s">
        <v>15</v>
      </c>
      <c r="H369" s="20">
        <v>1299</v>
      </c>
      <c r="I369" s="20">
        <v>727.44</v>
      </c>
      <c r="J369" s="21">
        <v>0</v>
      </c>
      <c r="K369" s="20">
        <f>Ventas[[#This Row],[Precio]]*$J$4</f>
        <v>207.84</v>
      </c>
      <c r="L369" s="20">
        <f>Ventas[[#This Row],[Precio]]-Ventas[[#This Row],[Costo]]-Ventas[[#This Row],[Desc $]]</f>
        <v>571.55999999999995</v>
      </c>
      <c r="M369" s="20">
        <f>Ventas[[#This Row],[Precio]]*Ventas[[#This Row],[Descuento]]</f>
        <v>0</v>
      </c>
    </row>
    <row r="370" spans="1:13" x14ac:dyDescent="0.25">
      <c r="A370" s="16">
        <v>360</v>
      </c>
      <c r="B370" s="18">
        <v>42657</v>
      </c>
      <c r="C370" s="16" t="s">
        <v>85</v>
      </c>
      <c r="D370" s="19" t="s">
        <v>22</v>
      </c>
      <c r="E370" s="19" t="s">
        <v>86</v>
      </c>
      <c r="F370" s="19" t="s">
        <v>87</v>
      </c>
      <c r="G370" s="19" t="s">
        <v>15</v>
      </c>
      <c r="H370" s="20">
        <v>3999</v>
      </c>
      <c r="I370" s="20">
        <v>1399.6499999999999</v>
      </c>
      <c r="J370" s="21">
        <v>0.15</v>
      </c>
      <c r="K370" s="20">
        <f>Ventas[[#This Row],[Precio]]*$J$4</f>
        <v>639.84</v>
      </c>
      <c r="L370" s="20">
        <f>Ventas[[#This Row],[Precio]]-Ventas[[#This Row],[Costo]]-Ventas[[#This Row],[Desc $]]</f>
        <v>1999.5000000000005</v>
      </c>
      <c r="M370" s="20">
        <f>Ventas[[#This Row],[Precio]]*Ventas[[#This Row],[Descuento]]</f>
        <v>599.85</v>
      </c>
    </row>
    <row r="371" spans="1:13" x14ac:dyDescent="0.25">
      <c r="A371" s="16">
        <v>361</v>
      </c>
      <c r="B371" s="18">
        <v>42716</v>
      </c>
      <c r="C371" s="16" t="s">
        <v>41</v>
      </c>
      <c r="D371" s="19" t="s">
        <v>22</v>
      </c>
      <c r="E371" s="19" t="s">
        <v>18</v>
      </c>
      <c r="F371" s="19" t="s">
        <v>42</v>
      </c>
      <c r="G371" s="19" t="s">
        <v>43</v>
      </c>
      <c r="H371" s="20">
        <v>1149</v>
      </c>
      <c r="I371" s="20">
        <v>896.22</v>
      </c>
      <c r="J371" s="21">
        <v>0</v>
      </c>
      <c r="K371" s="20">
        <f>Ventas[[#This Row],[Precio]]*$J$4</f>
        <v>183.84</v>
      </c>
      <c r="L371" s="20">
        <f>Ventas[[#This Row],[Precio]]-Ventas[[#This Row],[Costo]]-Ventas[[#This Row],[Desc $]]</f>
        <v>252.77999999999997</v>
      </c>
      <c r="M371" s="20">
        <f>Ventas[[#This Row],[Precio]]*Ventas[[#This Row],[Descuento]]</f>
        <v>0</v>
      </c>
    </row>
    <row r="372" spans="1:13" x14ac:dyDescent="0.25">
      <c r="A372" s="16">
        <v>362</v>
      </c>
      <c r="B372" s="18">
        <v>42455</v>
      </c>
      <c r="C372" s="16" t="s">
        <v>138</v>
      </c>
      <c r="D372" s="19" t="s">
        <v>22</v>
      </c>
      <c r="E372" s="19" t="s">
        <v>86</v>
      </c>
      <c r="F372" s="19" t="s">
        <v>139</v>
      </c>
      <c r="G372" s="19" t="s">
        <v>15</v>
      </c>
      <c r="H372" s="20">
        <v>14399</v>
      </c>
      <c r="I372" s="20">
        <v>11375.210000000001</v>
      </c>
      <c r="J372" s="21">
        <v>0.2</v>
      </c>
      <c r="K372" s="20">
        <f>Ventas[[#This Row],[Precio]]*$J$4</f>
        <v>2303.84</v>
      </c>
      <c r="L372" s="20">
        <f>Ventas[[#This Row],[Precio]]-Ventas[[#This Row],[Costo]]-Ventas[[#This Row],[Desc $]]</f>
        <v>143.98999999999887</v>
      </c>
      <c r="M372" s="20">
        <f>Ventas[[#This Row],[Precio]]*Ventas[[#This Row],[Descuento]]</f>
        <v>2879.8</v>
      </c>
    </row>
    <row r="373" spans="1:13" x14ac:dyDescent="0.25">
      <c r="A373" s="16">
        <v>363</v>
      </c>
      <c r="B373" s="18">
        <v>42672</v>
      </c>
      <c r="C373" s="16" t="s">
        <v>31</v>
      </c>
      <c r="D373" s="19" t="s">
        <v>22</v>
      </c>
      <c r="E373" s="19" t="s">
        <v>18</v>
      </c>
      <c r="F373" s="19" t="s">
        <v>32</v>
      </c>
      <c r="G373" s="19" t="s">
        <v>33</v>
      </c>
      <c r="H373" s="20">
        <v>1199</v>
      </c>
      <c r="I373" s="20">
        <v>887.26</v>
      </c>
      <c r="J373" s="21">
        <v>0.15</v>
      </c>
      <c r="K373" s="20">
        <f>Ventas[[#This Row],[Precio]]*$J$4</f>
        <v>191.84</v>
      </c>
      <c r="L373" s="20">
        <f>Ventas[[#This Row],[Precio]]-Ventas[[#This Row],[Costo]]-Ventas[[#This Row],[Desc $]]</f>
        <v>131.89000000000001</v>
      </c>
      <c r="M373" s="20">
        <f>Ventas[[#This Row],[Precio]]*Ventas[[#This Row],[Descuento]]</f>
        <v>179.85</v>
      </c>
    </row>
    <row r="374" spans="1:13" x14ac:dyDescent="0.25">
      <c r="A374" s="16">
        <v>364</v>
      </c>
      <c r="B374" s="18">
        <v>35605</v>
      </c>
      <c r="C374" s="16" t="s">
        <v>31</v>
      </c>
      <c r="D374" s="19" t="s">
        <v>22</v>
      </c>
      <c r="E374" s="19" t="s">
        <v>18</v>
      </c>
      <c r="F374" s="19" t="s">
        <v>32</v>
      </c>
      <c r="G374" s="19" t="s">
        <v>33</v>
      </c>
      <c r="H374" s="20">
        <v>1199</v>
      </c>
      <c r="I374" s="20">
        <v>887.26</v>
      </c>
      <c r="J374" s="21">
        <v>0</v>
      </c>
      <c r="K374" s="20">
        <f>Ventas[[#This Row],[Precio]]*$J$4</f>
        <v>191.84</v>
      </c>
      <c r="L374" s="20">
        <f>Ventas[[#This Row],[Precio]]-Ventas[[#This Row],[Costo]]-Ventas[[#This Row],[Desc $]]</f>
        <v>311.74</v>
      </c>
      <c r="M374" s="20">
        <f>Ventas[[#This Row],[Precio]]*Ventas[[#This Row],[Descuento]]</f>
        <v>0</v>
      </c>
    </row>
    <row r="375" spans="1:13" x14ac:dyDescent="0.25">
      <c r="A375" s="16">
        <v>365</v>
      </c>
      <c r="B375" s="18">
        <v>42395</v>
      </c>
      <c r="C375" s="16" t="s">
        <v>25</v>
      </c>
      <c r="D375" s="19" t="s">
        <v>26</v>
      </c>
      <c r="E375" s="19" t="s">
        <v>27</v>
      </c>
      <c r="F375" s="19" t="s">
        <v>28</v>
      </c>
      <c r="G375" s="19" t="s">
        <v>15</v>
      </c>
      <c r="H375" s="20">
        <v>1499</v>
      </c>
      <c r="I375" s="20">
        <v>794.47</v>
      </c>
      <c r="J375" s="21">
        <v>0</v>
      </c>
      <c r="K375" s="20">
        <f>Ventas[[#This Row],[Precio]]*$J$4</f>
        <v>239.84</v>
      </c>
      <c r="L375" s="20">
        <f>Ventas[[#This Row],[Precio]]-Ventas[[#This Row],[Costo]]-Ventas[[#This Row],[Desc $]]</f>
        <v>704.53</v>
      </c>
      <c r="M375" s="20">
        <f>Ventas[[#This Row],[Precio]]*Ventas[[#This Row],[Descuento]]</f>
        <v>0</v>
      </c>
    </row>
    <row r="376" spans="1:13" x14ac:dyDescent="0.25">
      <c r="A376" s="16">
        <v>366</v>
      </c>
      <c r="B376" s="18">
        <v>42678</v>
      </c>
      <c r="C376" s="16" t="s">
        <v>160</v>
      </c>
      <c r="D376" s="19" t="s">
        <v>26</v>
      </c>
      <c r="E376" s="19" t="s">
        <v>45</v>
      </c>
      <c r="F376" s="19" t="s">
        <v>161</v>
      </c>
      <c r="G376" s="19" t="s">
        <v>15</v>
      </c>
      <c r="H376" s="20">
        <v>399</v>
      </c>
      <c r="I376" s="20">
        <v>147.63</v>
      </c>
      <c r="J376" s="21">
        <v>0</v>
      </c>
      <c r="K376" s="20">
        <f>Ventas[[#This Row],[Precio]]*$J$4</f>
        <v>63.84</v>
      </c>
      <c r="L376" s="20">
        <f>Ventas[[#This Row],[Precio]]-Ventas[[#This Row],[Costo]]-Ventas[[#This Row],[Desc $]]</f>
        <v>251.37</v>
      </c>
      <c r="M376" s="20">
        <f>Ventas[[#This Row],[Precio]]*Ventas[[#This Row],[Descuento]]</f>
        <v>0</v>
      </c>
    </row>
    <row r="377" spans="1:13" x14ac:dyDescent="0.25">
      <c r="A377" s="16">
        <v>367</v>
      </c>
      <c r="B377" s="18">
        <v>42404</v>
      </c>
      <c r="C377" s="16" t="s">
        <v>114</v>
      </c>
      <c r="D377" s="19" t="s">
        <v>22</v>
      </c>
      <c r="E377" s="19" t="s">
        <v>86</v>
      </c>
      <c r="F377" s="19" t="s">
        <v>115</v>
      </c>
      <c r="G377" s="19" t="s">
        <v>15</v>
      </c>
      <c r="H377" s="20">
        <v>7999</v>
      </c>
      <c r="I377" s="20">
        <v>5039.37</v>
      </c>
      <c r="J377" s="21">
        <v>0.15</v>
      </c>
      <c r="K377" s="20">
        <f>Ventas[[#This Row],[Precio]]*$J$4</f>
        <v>1279.8399999999999</v>
      </c>
      <c r="L377" s="20">
        <f>Ventas[[#This Row],[Precio]]-Ventas[[#This Row],[Costo]]-Ventas[[#This Row],[Desc $]]</f>
        <v>1759.7800000000002</v>
      </c>
      <c r="M377" s="20">
        <f>Ventas[[#This Row],[Precio]]*Ventas[[#This Row],[Descuento]]</f>
        <v>1199.8499999999999</v>
      </c>
    </row>
    <row r="378" spans="1:13" x14ac:dyDescent="0.25">
      <c r="A378" s="16">
        <v>368</v>
      </c>
      <c r="B378" s="18">
        <v>42575</v>
      </c>
      <c r="C378" s="16" t="s">
        <v>51</v>
      </c>
      <c r="D378" s="19" t="s">
        <v>22</v>
      </c>
      <c r="E378" s="19" t="s">
        <v>23</v>
      </c>
      <c r="F378" s="19" t="s">
        <v>52</v>
      </c>
      <c r="G378" s="19" t="s">
        <v>15</v>
      </c>
      <c r="H378" s="20">
        <v>599</v>
      </c>
      <c r="I378" s="20">
        <v>455.24</v>
      </c>
      <c r="J378" s="21">
        <v>0.2</v>
      </c>
      <c r="K378" s="20">
        <f>Ventas[[#This Row],[Precio]]*$J$4</f>
        <v>95.84</v>
      </c>
      <c r="L378" s="20">
        <f>Ventas[[#This Row],[Precio]]-Ventas[[#This Row],[Costo]]-Ventas[[#This Row],[Desc $]]</f>
        <v>23.95999999999998</v>
      </c>
      <c r="M378" s="20">
        <f>Ventas[[#This Row],[Precio]]*Ventas[[#This Row],[Descuento]]</f>
        <v>119.80000000000001</v>
      </c>
    </row>
    <row r="379" spans="1:13" x14ac:dyDescent="0.25">
      <c r="A379" s="16">
        <v>369</v>
      </c>
      <c r="B379" s="18">
        <v>42402</v>
      </c>
      <c r="C379" s="16" t="s">
        <v>140</v>
      </c>
      <c r="D379" s="19" t="s">
        <v>22</v>
      </c>
      <c r="E379" s="19" t="s">
        <v>18</v>
      </c>
      <c r="F379" s="19" t="s">
        <v>141</v>
      </c>
      <c r="G379" s="19" t="s">
        <v>43</v>
      </c>
      <c r="H379" s="20">
        <v>999</v>
      </c>
      <c r="I379" s="20">
        <v>809.19</v>
      </c>
      <c r="J379" s="21">
        <v>0.2</v>
      </c>
      <c r="K379" s="20">
        <f>Ventas[[#This Row],[Precio]]*$J$4</f>
        <v>159.84</v>
      </c>
      <c r="L379" s="20">
        <f>Ventas[[#This Row],[Precio]]-Ventas[[#This Row],[Costo]]-Ventas[[#This Row],[Desc $]]</f>
        <v>-9.9900000000000659</v>
      </c>
      <c r="M379" s="20">
        <f>Ventas[[#This Row],[Precio]]*Ventas[[#This Row],[Descuento]]</f>
        <v>199.8</v>
      </c>
    </row>
    <row r="380" spans="1:13" x14ac:dyDescent="0.25">
      <c r="A380" s="16">
        <v>370</v>
      </c>
      <c r="B380" s="18">
        <v>42506</v>
      </c>
      <c r="C380" s="16" t="s">
        <v>41</v>
      </c>
      <c r="D380" s="19" t="s">
        <v>22</v>
      </c>
      <c r="E380" s="19" t="s">
        <v>18</v>
      </c>
      <c r="F380" s="19" t="s">
        <v>42</v>
      </c>
      <c r="G380" s="19" t="s">
        <v>43</v>
      </c>
      <c r="H380" s="20">
        <v>1149</v>
      </c>
      <c r="I380" s="20">
        <v>896.22</v>
      </c>
      <c r="J380" s="21">
        <v>0.3</v>
      </c>
      <c r="K380" s="20">
        <f>Ventas[[#This Row],[Precio]]*$J$4</f>
        <v>183.84</v>
      </c>
      <c r="L380" s="20">
        <f>Ventas[[#This Row],[Precio]]-Ventas[[#This Row],[Costo]]-Ventas[[#This Row],[Desc $]]</f>
        <v>-91.920000000000016</v>
      </c>
      <c r="M380" s="20">
        <f>Ventas[[#This Row],[Precio]]*Ventas[[#This Row],[Descuento]]</f>
        <v>344.7</v>
      </c>
    </row>
    <row r="381" spans="1:13" x14ac:dyDescent="0.25">
      <c r="A381" s="16">
        <v>371</v>
      </c>
      <c r="B381" s="18">
        <v>42506</v>
      </c>
      <c r="C381" s="16" t="s">
        <v>162</v>
      </c>
      <c r="D381" s="19" t="s">
        <v>22</v>
      </c>
      <c r="E381" s="19" t="s">
        <v>23</v>
      </c>
      <c r="F381" s="19" t="s">
        <v>163</v>
      </c>
      <c r="G381" s="19" t="s">
        <v>15</v>
      </c>
      <c r="H381" s="20">
        <v>1299</v>
      </c>
      <c r="I381" s="20">
        <v>1065.1799999999998</v>
      </c>
      <c r="J381" s="21">
        <v>0.3</v>
      </c>
      <c r="K381" s="20">
        <f>Ventas[[#This Row],[Precio]]*$J$4</f>
        <v>207.84</v>
      </c>
      <c r="L381" s="20">
        <f>Ventas[[#This Row],[Precio]]-Ventas[[#This Row],[Costo]]-Ventas[[#This Row],[Desc $]]</f>
        <v>-155.87999999999982</v>
      </c>
      <c r="M381" s="20">
        <f>Ventas[[#This Row],[Precio]]*Ventas[[#This Row],[Descuento]]</f>
        <v>389.7</v>
      </c>
    </row>
    <row r="382" spans="1:13" x14ac:dyDescent="0.25">
      <c r="A382" s="16">
        <v>372</v>
      </c>
      <c r="B382" s="18">
        <v>42506</v>
      </c>
      <c r="C382" s="16" t="s">
        <v>31</v>
      </c>
      <c r="D382" s="19" t="s">
        <v>22</v>
      </c>
      <c r="E382" s="19" t="s">
        <v>18</v>
      </c>
      <c r="F382" s="19" t="s">
        <v>32</v>
      </c>
      <c r="G382" s="19" t="s">
        <v>33</v>
      </c>
      <c r="H382" s="20">
        <v>1199</v>
      </c>
      <c r="I382" s="20">
        <v>887.26</v>
      </c>
      <c r="J382" s="21">
        <v>0.3</v>
      </c>
      <c r="K382" s="20">
        <f>Ventas[[#This Row],[Precio]]*$J$4</f>
        <v>191.84</v>
      </c>
      <c r="L382" s="20">
        <f>Ventas[[#This Row],[Precio]]-Ventas[[#This Row],[Costo]]-Ventas[[#This Row],[Desc $]]</f>
        <v>-47.95999999999998</v>
      </c>
      <c r="M382" s="20">
        <f>Ventas[[#This Row],[Precio]]*Ventas[[#This Row],[Descuento]]</f>
        <v>359.7</v>
      </c>
    </row>
    <row r="383" spans="1:13" x14ac:dyDescent="0.25">
      <c r="A383" s="16">
        <v>373</v>
      </c>
      <c r="B383" s="18">
        <v>42455</v>
      </c>
      <c r="C383" s="16" t="s">
        <v>25</v>
      </c>
      <c r="D383" s="19" t="s">
        <v>26</v>
      </c>
      <c r="E383" s="19" t="s">
        <v>27</v>
      </c>
      <c r="F383" s="19" t="s">
        <v>28</v>
      </c>
      <c r="G383" s="19" t="s">
        <v>15</v>
      </c>
      <c r="H383" s="20">
        <v>1499</v>
      </c>
      <c r="I383" s="20">
        <v>794.47</v>
      </c>
      <c r="J383" s="21">
        <v>0.2</v>
      </c>
      <c r="K383" s="20">
        <f>Ventas[[#This Row],[Precio]]*$J$4</f>
        <v>239.84</v>
      </c>
      <c r="L383" s="20">
        <f>Ventas[[#This Row],[Precio]]-Ventas[[#This Row],[Costo]]-Ventas[[#This Row],[Desc $]]</f>
        <v>404.72999999999996</v>
      </c>
      <c r="M383" s="20">
        <f>Ventas[[#This Row],[Precio]]*Ventas[[#This Row],[Descuento]]</f>
        <v>299.8</v>
      </c>
    </row>
    <row r="384" spans="1:13" x14ac:dyDescent="0.25">
      <c r="A384" s="16">
        <v>374</v>
      </c>
      <c r="B384" s="18">
        <v>42392</v>
      </c>
      <c r="C384" s="16" t="s">
        <v>164</v>
      </c>
      <c r="D384" s="19" t="s">
        <v>22</v>
      </c>
      <c r="E384" s="19" t="s">
        <v>18</v>
      </c>
      <c r="F384" s="19" t="s">
        <v>165</v>
      </c>
      <c r="G384" s="19" t="s">
        <v>33</v>
      </c>
      <c r="H384" s="20">
        <v>899</v>
      </c>
      <c r="I384" s="20">
        <v>368.59</v>
      </c>
      <c r="J384" s="21">
        <v>0</v>
      </c>
      <c r="K384" s="20">
        <f>Ventas[[#This Row],[Precio]]*$J$4</f>
        <v>143.84</v>
      </c>
      <c r="L384" s="20">
        <f>Ventas[[#This Row],[Precio]]-Ventas[[#This Row],[Costo]]-Ventas[[#This Row],[Desc $]]</f>
        <v>530.41000000000008</v>
      </c>
      <c r="M384" s="20">
        <f>Ventas[[#This Row],[Precio]]*Ventas[[#This Row],[Descuento]]</f>
        <v>0</v>
      </c>
    </row>
    <row r="385" spans="1:13" x14ac:dyDescent="0.25">
      <c r="A385" s="16">
        <v>375</v>
      </c>
      <c r="B385" s="18">
        <v>42390</v>
      </c>
      <c r="C385" s="16" t="s">
        <v>126</v>
      </c>
      <c r="D385" s="19" t="s">
        <v>26</v>
      </c>
      <c r="E385" s="19" t="s">
        <v>27</v>
      </c>
      <c r="F385" s="19" t="s">
        <v>127</v>
      </c>
      <c r="G385" s="19" t="s">
        <v>15</v>
      </c>
      <c r="H385" s="20">
        <v>299</v>
      </c>
      <c r="I385" s="20">
        <v>179.4</v>
      </c>
      <c r="J385" s="21">
        <v>0</v>
      </c>
      <c r="K385" s="20">
        <f>Ventas[[#This Row],[Precio]]*$J$4</f>
        <v>47.84</v>
      </c>
      <c r="L385" s="20">
        <f>Ventas[[#This Row],[Precio]]-Ventas[[#This Row],[Costo]]-Ventas[[#This Row],[Desc $]]</f>
        <v>119.6</v>
      </c>
      <c r="M385" s="20">
        <f>Ventas[[#This Row],[Precio]]*Ventas[[#This Row],[Descuento]]</f>
        <v>0</v>
      </c>
    </row>
    <row r="386" spans="1:13" x14ac:dyDescent="0.25">
      <c r="A386" s="16">
        <v>376</v>
      </c>
      <c r="B386" s="18">
        <v>42582</v>
      </c>
      <c r="C386" s="16" t="s">
        <v>41</v>
      </c>
      <c r="D386" s="19" t="s">
        <v>22</v>
      </c>
      <c r="E386" s="19" t="s">
        <v>18</v>
      </c>
      <c r="F386" s="19" t="s">
        <v>42</v>
      </c>
      <c r="G386" s="19" t="s">
        <v>43</v>
      </c>
      <c r="H386" s="20">
        <v>1149</v>
      </c>
      <c r="I386" s="20">
        <v>896.22</v>
      </c>
      <c r="J386" s="21">
        <v>0</v>
      </c>
      <c r="K386" s="20">
        <f>Ventas[[#This Row],[Precio]]*$J$4</f>
        <v>183.84</v>
      </c>
      <c r="L386" s="20">
        <f>Ventas[[#This Row],[Precio]]-Ventas[[#This Row],[Costo]]-Ventas[[#This Row],[Desc $]]</f>
        <v>252.77999999999997</v>
      </c>
      <c r="M386" s="20">
        <f>Ventas[[#This Row],[Precio]]*Ventas[[#This Row],[Descuento]]</f>
        <v>0</v>
      </c>
    </row>
    <row r="387" spans="1:13" x14ac:dyDescent="0.25">
      <c r="A387" s="16">
        <v>377</v>
      </c>
      <c r="B387" s="18">
        <v>42697</v>
      </c>
      <c r="C387" s="16" t="s">
        <v>51</v>
      </c>
      <c r="D387" s="19" t="s">
        <v>22</v>
      </c>
      <c r="E387" s="19" t="s">
        <v>23</v>
      </c>
      <c r="F387" s="19" t="s">
        <v>52</v>
      </c>
      <c r="G387" s="19" t="s">
        <v>15</v>
      </c>
      <c r="H387" s="20">
        <v>599</v>
      </c>
      <c r="I387" s="20">
        <v>455.24</v>
      </c>
      <c r="J387" s="21">
        <v>0</v>
      </c>
      <c r="K387" s="20">
        <f>Ventas[[#This Row],[Precio]]*$J$4</f>
        <v>95.84</v>
      </c>
      <c r="L387" s="20">
        <f>Ventas[[#This Row],[Precio]]-Ventas[[#This Row],[Costo]]-Ventas[[#This Row],[Desc $]]</f>
        <v>143.76</v>
      </c>
      <c r="M387" s="20">
        <f>Ventas[[#This Row],[Precio]]*Ventas[[#This Row],[Descuento]]</f>
        <v>0</v>
      </c>
    </row>
    <row r="388" spans="1:13" x14ac:dyDescent="0.25">
      <c r="A388" s="16">
        <v>378</v>
      </c>
      <c r="B388" s="18">
        <v>42575</v>
      </c>
      <c r="C388" s="16" t="s">
        <v>31</v>
      </c>
      <c r="D388" s="19" t="s">
        <v>22</v>
      </c>
      <c r="E388" s="19" t="s">
        <v>18</v>
      </c>
      <c r="F388" s="19" t="s">
        <v>32</v>
      </c>
      <c r="G388" s="19" t="s">
        <v>33</v>
      </c>
      <c r="H388" s="20">
        <v>1199</v>
      </c>
      <c r="I388" s="20">
        <v>887.26</v>
      </c>
      <c r="J388" s="21">
        <v>0.2</v>
      </c>
      <c r="K388" s="20">
        <f>Ventas[[#This Row],[Precio]]*$J$4</f>
        <v>191.84</v>
      </c>
      <c r="L388" s="20">
        <f>Ventas[[#This Row],[Precio]]-Ventas[[#This Row],[Costo]]-Ventas[[#This Row],[Desc $]]</f>
        <v>71.94</v>
      </c>
      <c r="M388" s="20">
        <f>Ventas[[#This Row],[Precio]]*Ventas[[#This Row],[Descuento]]</f>
        <v>239.8</v>
      </c>
    </row>
    <row r="389" spans="1:13" x14ac:dyDescent="0.25">
      <c r="A389" s="16">
        <v>379</v>
      </c>
      <c r="B389" s="18">
        <v>42575</v>
      </c>
      <c r="C389" s="16" t="s">
        <v>31</v>
      </c>
      <c r="D389" s="19" t="s">
        <v>22</v>
      </c>
      <c r="E389" s="19" t="s">
        <v>18</v>
      </c>
      <c r="F389" s="19" t="s">
        <v>32</v>
      </c>
      <c r="G389" s="19" t="s">
        <v>33</v>
      </c>
      <c r="H389" s="20">
        <v>1199</v>
      </c>
      <c r="I389" s="20">
        <v>887.26</v>
      </c>
      <c r="J389" s="21">
        <v>0.2</v>
      </c>
      <c r="K389" s="20">
        <f>Ventas[[#This Row],[Precio]]*$J$4</f>
        <v>191.84</v>
      </c>
      <c r="L389" s="20">
        <f>Ventas[[#This Row],[Precio]]-Ventas[[#This Row],[Costo]]-Ventas[[#This Row],[Desc $]]</f>
        <v>71.94</v>
      </c>
      <c r="M389" s="20">
        <f>Ventas[[#This Row],[Precio]]*Ventas[[#This Row],[Descuento]]</f>
        <v>239.8</v>
      </c>
    </row>
    <row r="390" spans="1:13" x14ac:dyDescent="0.25">
      <c r="A390" s="16">
        <v>380</v>
      </c>
      <c r="B390" s="18">
        <v>42601</v>
      </c>
      <c r="C390" s="16" t="s">
        <v>51</v>
      </c>
      <c r="D390" s="19" t="s">
        <v>22</v>
      </c>
      <c r="E390" s="19" t="s">
        <v>23</v>
      </c>
      <c r="F390" s="19" t="s">
        <v>52</v>
      </c>
      <c r="G390" s="19" t="s">
        <v>15</v>
      </c>
      <c r="H390" s="20">
        <v>599</v>
      </c>
      <c r="I390" s="20">
        <v>455.24</v>
      </c>
      <c r="J390" s="21">
        <v>0.15</v>
      </c>
      <c r="K390" s="20">
        <f>Ventas[[#This Row],[Precio]]*$J$4</f>
        <v>95.84</v>
      </c>
      <c r="L390" s="20">
        <f>Ventas[[#This Row],[Precio]]-Ventas[[#This Row],[Costo]]-Ventas[[#This Row],[Desc $]]</f>
        <v>53.91</v>
      </c>
      <c r="M390" s="20">
        <f>Ventas[[#This Row],[Precio]]*Ventas[[#This Row],[Descuento]]</f>
        <v>89.85</v>
      </c>
    </row>
    <row r="391" spans="1:13" x14ac:dyDescent="0.25">
      <c r="A391" s="16">
        <v>381</v>
      </c>
      <c r="B391" s="18">
        <v>42787</v>
      </c>
      <c r="C391" s="16" t="s">
        <v>21</v>
      </c>
      <c r="D391" s="19" t="s">
        <v>22</v>
      </c>
      <c r="E391" s="19" t="s">
        <v>23</v>
      </c>
      <c r="F391" s="19" t="s">
        <v>24</v>
      </c>
      <c r="G391" s="19" t="s">
        <v>15</v>
      </c>
      <c r="H391" s="20">
        <v>359</v>
      </c>
      <c r="I391" s="20">
        <v>244.12</v>
      </c>
      <c r="J391" s="21">
        <v>0.1</v>
      </c>
      <c r="K391" s="20">
        <f>Ventas[[#This Row],[Precio]]*$J$4</f>
        <v>57.44</v>
      </c>
      <c r="L391" s="20">
        <f>Ventas[[#This Row],[Precio]]-Ventas[[#This Row],[Costo]]-Ventas[[#This Row],[Desc $]]</f>
        <v>78.97999999999999</v>
      </c>
      <c r="M391" s="20">
        <f>Ventas[[#This Row],[Precio]]*Ventas[[#This Row],[Descuento]]</f>
        <v>35.9</v>
      </c>
    </row>
    <row r="392" spans="1:13" x14ac:dyDescent="0.25">
      <c r="A392" s="16">
        <v>382</v>
      </c>
      <c r="B392" s="18">
        <v>42601</v>
      </c>
      <c r="C392" s="16" t="s">
        <v>25</v>
      </c>
      <c r="D392" s="19" t="s">
        <v>26</v>
      </c>
      <c r="E392" s="19" t="s">
        <v>27</v>
      </c>
      <c r="F392" s="19" t="s">
        <v>28</v>
      </c>
      <c r="G392" s="19" t="s">
        <v>15</v>
      </c>
      <c r="H392" s="20">
        <v>1499</v>
      </c>
      <c r="I392" s="20">
        <v>794.47</v>
      </c>
      <c r="J392" s="21">
        <v>0.15</v>
      </c>
      <c r="K392" s="20">
        <f>Ventas[[#This Row],[Precio]]*$J$4</f>
        <v>239.84</v>
      </c>
      <c r="L392" s="20">
        <f>Ventas[[#This Row],[Precio]]-Ventas[[#This Row],[Costo]]-Ventas[[#This Row],[Desc $]]</f>
        <v>479.67999999999995</v>
      </c>
      <c r="M392" s="20">
        <f>Ventas[[#This Row],[Precio]]*Ventas[[#This Row],[Descuento]]</f>
        <v>224.85</v>
      </c>
    </row>
    <row r="393" spans="1:13" x14ac:dyDescent="0.25">
      <c r="A393" s="16">
        <v>383</v>
      </c>
      <c r="B393" s="18">
        <v>42455</v>
      </c>
      <c r="C393" s="16" t="s">
        <v>166</v>
      </c>
      <c r="D393" s="19" t="s">
        <v>22</v>
      </c>
      <c r="E393" s="19" t="s">
        <v>18</v>
      </c>
      <c r="F393" s="19" t="s">
        <v>167</v>
      </c>
      <c r="G393" s="19" t="s">
        <v>168</v>
      </c>
      <c r="H393" s="20">
        <v>1149</v>
      </c>
      <c r="I393" s="20">
        <v>459.6</v>
      </c>
      <c r="J393" s="21">
        <v>0.2</v>
      </c>
      <c r="K393" s="20">
        <f>Ventas[[#This Row],[Precio]]*$J$4</f>
        <v>183.84</v>
      </c>
      <c r="L393" s="20">
        <f>Ventas[[#This Row],[Precio]]-Ventas[[#This Row],[Costo]]-Ventas[[#This Row],[Desc $]]</f>
        <v>459.59999999999997</v>
      </c>
      <c r="M393" s="20">
        <f>Ventas[[#This Row],[Precio]]*Ventas[[#This Row],[Descuento]]</f>
        <v>229.8</v>
      </c>
    </row>
    <row r="394" spans="1:13" x14ac:dyDescent="0.25">
      <c r="A394" s="16">
        <v>384</v>
      </c>
      <c r="B394" s="18">
        <v>42382</v>
      </c>
      <c r="C394" s="16" t="s">
        <v>169</v>
      </c>
      <c r="D394" s="19" t="s">
        <v>26</v>
      </c>
      <c r="E394" s="19" t="s">
        <v>27</v>
      </c>
      <c r="F394" s="19" t="s">
        <v>170</v>
      </c>
      <c r="G394" s="19" t="s">
        <v>15</v>
      </c>
      <c r="H394" s="20">
        <v>339</v>
      </c>
      <c r="I394" s="20">
        <v>274.59000000000003</v>
      </c>
      <c r="J394" s="21">
        <v>0</v>
      </c>
      <c r="K394" s="20">
        <f>Ventas[[#This Row],[Precio]]*$J$4</f>
        <v>54.24</v>
      </c>
      <c r="L394" s="20">
        <f>Ventas[[#This Row],[Precio]]-Ventas[[#This Row],[Costo]]-Ventas[[#This Row],[Desc $]]</f>
        <v>64.409999999999968</v>
      </c>
      <c r="M394" s="20">
        <f>Ventas[[#This Row],[Precio]]*Ventas[[#This Row],[Descuento]]</f>
        <v>0</v>
      </c>
    </row>
    <row r="395" spans="1:13" x14ac:dyDescent="0.25">
      <c r="A395" s="16">
        <v>385</v>
      </c>
      <c r="B395" s="18">
        <v>42566</v>
      </c>
      <c r="C395" s="16" t="s">
        <v>79</v>
      </c>
      <c r="D395" s="19" t="s">
        <v>26</v>
      </c>
      <c r="E395" s="19" t="s">
        <v>27</v>
      </c>
      <c r="F395" s="19" t="s">
        <v>80</v>
      </c>
      <c r="G395" s="19" t="s">
        <v>15</v>
      </c>
      <c r="H395" s="20">
        <v>499</v>
      </c>
      <c r="I395" s="20">
        <v>174.64999999999998</v>
      </c>
      <c r="J395" s="21">
        <v>0</v>
      </c>
      <c r="K395" s="20">
        <f>Ventas[[#This Row],[Precio]]*$J$4</f>
        <v>79.84</v>
      </c>
      <c r="L395" s="20">
        <f>Ventas[[#This Row],[Precio]]-Ventas[[#This Row],[Costo]]-Ventas[[#This Row],[Desc $]]</f>
        <v>324.35000000000002</v>
      </c>
      <c r="M395" s="20">
        <f>Ventas[[#This Row],[Precio]]*Ventas[[#This Row],[Descuento]]</f>
        <v>0</v>
      </c>
    </row>
    <row r="396" spans="1:13" x14ac:dyDescent="0.25">
      <c r="A396" s="16">
        <v>386</v>
      </c>
      <c r="B396" s="18">
        <v>42404</v>
      </c>
      <c r="C396" s="16" t="s">
        <v>41</v>
      </c>
      <c r="D396" s="19" t="s">
        <v>22</v>
      </c>
      <c r="E396" s="19" t="s">
        <v>18</v>
      </c>
      <c r="F396" s="19" t="s">
        <v>42</v>
      </c>
      <c r="G396" s="19" t="s">
        <v>43</v>
      </c>
      <c r="H396" s="20">
        <v>1149</v>
      </c>
      <c r="I396" s="20">
        <v>896.22</v>
      </c>
      <c r="J396" s="21">
        <v>0.15</v>
      </c>
      <c r="K396" s="20">
        <f>Ventas[[#This Row],[Precio]]*$J$4</f>
        <v>183.84</v>
      </c>
      <c r="L396" s="20">
        <f>Ventas[[#This Row],[Precio]]-Ventas[[#This Row],[Costo]]-Ventas[[#This Row],[Desc $]]</f>
        <v>80.429999999999978</v>
      </c>
      <c r="M396" s="20">
        <f>Ventas[[#This Row],[Precio]]*Ventas[[#This Row],[Descuento]]</f>
        <v>172.35</v>
      </c>
    </row>
    <row r="397" spans="1:13" x14ac:dyDescent="0.25">
      <c r="A397" s="16">
        <v>387</v>
      </c>
      <c r="B397" s="18">
        <v>42640</v>
      </c>
      <c r="C397" s="16" t="s">
        <v>63</v>
      </c>
      <c r="D397" s="19" t="s">
        <v>12</v>
      </c>
      <c r="E397" s="19" t="s">
        <v>35</v>
      </c>
      <c r="F397" s="19" t="s">
        <v>64</v>
      </c>
      <c r="G397" s="19" t="s">
        <v>15</v>
      </c>
      <c r="H397" s="20">
        <v>13999</v>
      </c>
      <c r="I397" s="20">
        <v>9659.31</v>
      </c>
      <c r="J397" s="21">
        <v>0</v>
      </c>
      <c r="K397" s="20">
        <f>Ventas[[#This Row],[Precio]]*$J$4</f>
        <v>2239.84</v>
      </c>
      <c r="L397" s="20">
        <f>Ventas[[#This Row],[Precio]]-Ventas[[#This Row],[Costo]]-Ventas[[#This Row],[Desc $]]</f>
        <v>4339.6900000000005</v>
      </c>
      <c r="M397" s="20">
        <f>Ventas[[#This Row],[Precio]]*Ventas[[#This Row],[Descuento]]</f>
        <v>0</v>
      </c>
    </row>
    <row r="398" spans="1:13" x14ac:dyDescent="0.25">
      <c r="A398" s="16">
        <v>388</v>
      </c>
      <c r="B398" s="18">
        <v>42438</v>
      </c>
      <c r="C398" s="16" t="s">
        <v>81</v>
      </c>
      <c r="D398" s="19" t="s">
        <v>22</v>
      </c>
      <c r="E398" s="19" t="s">
        <v>18</v>
      </c>
      <c r="F398" s="19" t="s">
        <v>82</v>
      </c>
      <c r="G398" s="19" t="s">
        <v>78</v>
      </c>
      <c r="H398" s="20">
        <v>1299</v>
      </c>
      <c r="I398" s="20">
        <v>909.3</v>
      </c>
      <c r="J398" s="21">
        <v>0.15</v>
      </c>
      <c r="K398" s="20">
        <f>Ventas[[#This Row],[Precio]]*$J$4</f>
        <v>207.84</v>
      </c>
      <c r="L398" s="20">
        <f>Ventas[[#This Row],[Precio]]-Ventas[[#This Row],[Costo]]-Ventas[[#This Row],[Desc $]]</f>
        <v>194.85000000000005</v>
      </c>
      <c r="M398" s="20">
        <f>Ventas[[#This Row],[Precio]]*Ventas[[#This Row],[Descuento]]</f>
        <v>194.85</v>
      </c>
    </row>
    <row r="399" spans="1:13" x14ac:dyDescent="0.25">
      <c r="A399" s="16">
        <v>389</v>
      </c>
      <c r="B399" s="18">
        <v>42550</v>
      </c>
      <c r="C399" s="16" t="s">
        <v>114</v>
      </c>
      <c r="D399" s="19" t="s">
        <v>22</v>
      </c>
      <c r="E399" s="19" t="s">
        <v>86</v>
      </c>
      <c r="F399" s="19" t="s">
        <v>115</v>
      </c>
      <c r="G399" s="19" t="s">
        <v>15</v>
      </c>
      <c r="H399" s="20">
        <v>7999</v>
      </c>
      <c r="I399" s="20">
        <v>5039.37</v>
      </c>
      <c r="J399" s="21">
        <v>0</v>
      </c>
      <c r="K399" s="20">
        <f>Ventas[[#This Row],[Precio]]*$J$4</f>
        <v>1279.8399999999999</v>
      </c>
      <c r="L399" s="20">
        <f>Ventas[[#This Row],[Precio]]-Ventas[[#This Row],[Costo]]-Ventas[[#This Row],[Desc $]]</f>
        <v>2959.63</v>
      </c>
      <c r="M399" s="20">
        <f>Ventas[[#This Row],[Precio]]*Ventas[[#This Row],[Descuento]]</f>
        <v>0</v>
      </c>
    </row>
    <row r="400" spans="1:13" x14ac:dyDescent="0.25">
      <c r="A400" s="16">
        <v>390</v>
      </c>
      <c r="B400" s="18">
        <v>42520</v>
      </c>
      <c r="C400" s="16" t="s">
        <v>124</v>
      </c>
      <c r="D400" s="19" t="s">
        <v>22</v>
      </c>
      <c r="E400" s="19" t="s">
        <v>86</v>
      </c>
      <c r="F400" s="19" t="s">
        <v>125</v>
      </c>
      <c r="G400" s="19" t="s">
        <v>15</v>
      </c>
      <c r="H400" s="20">
        <v>11999</v>
      </c>
      <c r="I400" s="20">
        <v>6119.49</v>
      </c>
      <c r="J400" s="21">
        <v>0.2</v>
      </c>
      <c r="K400" s="20">
        <f>Ventas[[#This Row],[Precio]]*$J$4</f>
        <v>1919.8400000000001</v>
      </c>
      <c r="L400" s="20">
        <f>Ventas[[#This Row],[Precio]]-Ventas[[#This Row],[Costo]]-Ventas[[#This Row],[Desc $]]</f>
        <v>3479.71</v>
      </c>
      <c r="M400" s="20">
        <f>Ventas[[#This Row],[Precio]]*Ventas[[#This Row],[Descuento]]</f>
        <v>2399.8000000000002</v>
      </c>
    </row>
    <row r="401" spans="1:13" x14ac:dyDescent="0.25">
      <c r="A401" s="16">
        <v>391</v>
      </c>
      <c r="B401" s="18">
        <v>42438</v>
      </c>
      <c r="C401" s="16" t="s">
        <v>79</v>
      </c>
      <c r="D401" s="19" t="s">
        <v>26</v>
      </c>
      <c r="E401" s="19" t="s">
        <v>27</v>
      </c>
      <c r="F401" s="19" t="s">
        <v>80</v>
      </c>
      <c r="G401" s="19" t="s">
        <v>15</v>
      </c>
      <c r="H401" s="20">
        <v>499</v>
      </c>
      <c r="I401" s="20">
        <v>174.64999999999998</v>
      </c>
      <c r="J401" s="21">
        <v>0.15</v>
      </c>
      <c r="K401" s="20">
        <f>Ventas[[#This Row],[Precio]]*$J$4</f>
        <v>79.84</v>
      </c>
      <c r="L401" s="20">
        <f>Ventas[[#This Row],[Precio]]-Ventas[[#This Row],[Costo]]-Ventas[[#This Row],[Desc $]]</f>
        <v>249.50000000000003</v>
      </c>
      <c r="M401" s="20">
        <f>Ventas[[#This Row],[Precio]]*Ventas[[#This Row],[Descuento]]</f>
        <v>74.849999999999994</v>
      </c>
    </row>
    <row r="402" spans="1:13" x14ac:dyDescent="0.25">
      <c r="A402" s="16">
        <v>392</v>
      </c>
      <c r="B402" s="18">
        <v>42503</v>
      </c>
      <c r="C402" s="16" t="s">
        <v>16</v>
      </c>
      <c r="D402" s="19" t="s">
        <v>22</v>
      </c>
      <c r="E402" s="19" t="s">
        <v>18</v>
      </c>
      <c r="F402" s="19" t="s">
        <v>19</v>
      </c>
      <c r="G402" s="19" t="s">
        <v>20</v>
      </c>
      <c r="H402" s="20">
        <v>1149</v>
      </c>
      <c r="I402" s="20">
        <v>792.81</v>
      </c>
      <c r="J402" s="21">
        <v>0</v>
      </c>
      <c r="K402" s="20">
        <f>Ventas[[#This Row],[Precio]]*$J$4</f>
        <v>183.84</v>
      </c>
      <c r="L402" s="20">
        <f>Ventas[[#This Row],[Precio]]-Ventas[[#This Row],[Costo]]-Ventas[[#This Row],[Desc $]]</f>
        <v>356.19000000000005</v>
      </c>
      <c r="M402" s="20">
        <f>Ventas[[#This Row],[Precio]]*Ventas[[#This Row],[Descuento]]</f>
        <v>0</v>
      </c>
    </row>
    <row r="403" spans="1:13" x14ac:dyDescent="0.25">
      <c r="A403" s="16">
        <v>393</v>
      </c>
      <c r="B403" s="18">
        <v>42717</v>
      </c>
      <c r="C403" s="16" t="s">
        <v>21</v>
      </c>
      <c r="D403" s="19" t="s">
        <v>22</v>
      </c>
      <c r="E403" s="19" t="s">
        <v>23</v>
      </c>
      <c r="F403" s="19" t="s">
        <v>24</v>
      </c>
      <c r="G403" s="19" t="s">
        <v>15</v>
      </c>
      <c r="H403" s="20">
        <v>359</v>
      </c>
      <c r="I403" s="20">
        <v>244.12</v>
      </c>
      <c r="J403" s="21">
        <v>0</v>
      </c>
      <c r="K403" s="20">
        <f>Ventas[[#This Row],[Precio]]*$J$4</f>
        <v>57.44</v>
      </c>
      <c r="L403" s="20">
        <f>Ventas[[#This Row],[Precio]]-Ventas[[#This Row],[Costo]]-Ventas[[#This Row],[Desc $]]</f>
        <v>114.88</v>
      </c>
      <c r="M403" s="20">
        <f>Ventas[[#This Row],[Precio]]*Ventas[[#This Row],[Descuento]]</f>
        <v>0</v>
      </c>
    </row>
    <row r="404" spans="1:13" x14ac:dyDescent="0.25">
      <c r="A404" s="16">
        <v>394</v>
      </c>
      <c r="B404" s="18">
        <v>42672</v>
      </c>
      <c r="C404" s="16" t="s">
        <v>41</v>
      </c>
      <c r="D404" s="19" t="s">
        <v>22</v>
      </c>
      <c r="E404" s="19" t="s">
        <v>18</v>
      </c>
      <c r="F404" s="19" t="s">
        <v>42</v>
      </c>
      <c r="G404" s="19" t="s">
        <v>43</v>
      </c>
      <c r="H404" s="20">
        <v>1149</v>
      </c>
      <c r="I404" s="20">
        <v>896.22</v>
      </c>
      <c r="J404" s="21">
        <v>0.15</v>
      </c>
      <c r="K404" s="20">
        <f>Ventas[[#This Row],[Precio]]*$J$4</f>
        <v>183.84</v>
      </c>
      <c r="L404" s="20">
        <f>Ventas[[#This Row],[Precio]]-Ventas[[#This Row],[Costo]]-Ventas[[#This Row],[Desc $]]</f>
        <v>80.429999999999978</v>
      </c>
      <c r="M404" s="20">
        <f>Ventas[[#This Row],[Precio]]*Ventas[[#This Row],[Descuento]]</f>
        <v>172.35</v>
      </c>
    </row>
    <row r="405" spans="1:13" x14ac:dyDescent="0.25">
      <c r="A405" s="16">
        <v>395</v>
      </c>
      <c r="B405" s="18">
        <v>42787</v>
      </c>
      <c r="C405" s="16" t="s">
        <v>41</v>
      </c>
      <c r="D405" s="19" t="s">
        <v>22</v>
      </c>
      <c r="E405" s="19" t="s">
        <v>18</v>
      </c>
      <c r="F405" s="19" t="s">
        <v>42</v>
      </c>
      <c r="G405" s="19" t="s">
        <v>43</v>
      </c>
      <c r="H405" s="20">
        <v>1149</v>
      </c>
      <c r="I405" s="20">
        <v>896.22</v>
      </c>
      <c r="J405" s="21">
        <v>0.1</v>
      </c>
      <c r="K405" s="20">
        <f>Ventas[[#This Row],[Precio]]*$J$4</f>
        <v>183.84</v>
      </c>
      <c r="L405" s="20">
        <f>Ventas[[#This Row],[Precio]]-Ventas[[#This Row],[Costo]]-Ventas[[#This Row],[Desc $]]</f>
        <v>137.87999999999997</v>
      </c>
      <c r="M405" s="20">
        <f>Ventas[[#This Row],[Precio]]*Ventas[[#This Row],[Descuento]]</f>
        <v>114.9</v>
      </c>
    </row>
    <row r="406" spans="1:13" x14ac:dyDescent="0.25">
      <c r="A406" s="16">
        <v>396</v>
      </c>
      <c r="B406" s="18">
        <v>42735</v>
      </c>
      <c r="C406" s="16" t="s">
        <v>122</v>
      </c>
      <c r="D406" s="19" t="s">
        <v>22</v>
      </c>
      <c r="E406" s="19" t="s">
        <v>23</v>
      </c>
      <c r="F406" s="19" t="s">
        <v>123</v>
      </c>
      <c r="G406" s="19" t="s">
        <v>15</v>
      </c>
      <c r="H406" s="20">
        <v>999</v>
      </c>
      <c r="I406" s="20">
        <v>569.42999999999995</v>
      </c>
      <c r="J406" s="21">
        <v>0</v>
      </c>
      <c r="K406" s="20">
        <f>Ventas[[#This Row],[Precio]]*$J$4</f>
        <v>159.84</v>
      </c>
      <c r="L406" s="20">
        <f>Ventas[[#This Row],[Precio]]-Ventas[[#This Row],[Costo]]-Ventas[[#This Row],[Desc $]]</f>
        <v>429.57000000000005</v>
      </c>
      <c r="M406" s="20">
        <f>Ventas[[#This Row],[Precio]]*Ventas[[#This Row],[Descuento]]</f>
        <v>0</v>
      </c>
    </row>
    <row r="407" spans="1:13" x14ac:dyDescent="0.25">
      <c r="A407" s="16">
        <v>397</v>
      </c>
      <c r="B407" s="18">
        <v>42530</v>
      </c>
      <c r="C407" s="16" t="s">
        <v>41</v>
      </c>
      <c r="D407" s="19" t="s">
        <v>22</v>
      </c>
      <c r="E407" s="19" t="s">
        <v>18</v>
      </c>
      <c r="F407" s="19" t="s">
        <v>42</v>
      </c>
      <c r="G407" s="19" t="s">
        <v>43</v>
      </c>
      <c r="H407" s="20">
        <v>1149</v>
      </c>
      <c r="I407" s="20">
        <v>896.22</v>
      </c>
      <c r="J407" s="21">
        <v>0</v>
      </c>
      <c r="K407" s="20">
        <f>Ventas[[#This Row],[Precio]]*$J$4</f>
        <v>183.84</v>
      </c>
      <c r="L407" s="20">
        <f>Ventas[[#This Row],[Precio]]-Ventas[[#This Row],[Costo]]-Ventas[[#This Row],[Desc $]]</f>
        <v>252.77999999999997</v>
      </c>
      <c r="M407" s="20">
        <f>Ventas[[#This Row],[Precio]]*Ventas[[#This Row],[Descuento]]</f>
        <v>0</v>
      </c>
    </row>
    <row r="408" spans="1:13" x14ac:dyDescent="0.25">
      <c r="A408" s="16">
        <v>398</v>
      </c>
      <c r="B408" s="18">
        <v>42506</v>
      </c>
      <c r="C408" s="16" t="s">
        <v>85</v>
      </c>
      <c r="D408" s="19" t="s">
        <v>22</v>
      </c>
      <c r="E408" s="19" t="s">
        <v>86</v>
      </c>
      <c r="F408" s="19" t="s">
        <v>87</v>
      </c>
      <c r="G408" s="19" t="s">
        <v>15</v>
      </c>
      <c r="H408" s="20">
        <v>3999</v>
      </c>
      <c r="I408" s="20">
        <v>1399.6499999999999</v>
      </c>
      <c r="J408" s="21">
        <v>0.3</v>
      </c>
      <c r="K408" s="20">
        <f>Ventas[[#This Row],[Precio]]*$J$4</f>
        <v>639.84</v>
      </c>
      <c r="L408" s="20">
        <f>Ventas[[#This Row],[Precio]]-Ventas[[#This Row],[Costo]]-Ventas[[#This Row],[Desc $]]</f>
        <v>1399.6500000000003</v>
      </c>
      <c r="M408" s="20">
        <f>Ventas[[#This Row],[Precio]]*Ventas[[#This Row],[Descuento]]</f>
        <v>1199.7</v>
      </c>
    </row>
    <row r="409" spans="1:13" x14ac:dyDescent="0.25">
      <c r="A409" s="16">
        <v>399</v>
      </c>
      <c r="B409" s="18">
        <v>42657</v>
      </c>
      <c r="C409" s="16" t="s">
        <v>70</v>
      </c>
      <c r="D409" s="19" t="s">
        <v>26</v>
      </c>
      <c r="E409" s="19" t="s">
        <v>45</v>
      </c>
      <c r="F409" s="19" t="s">
        <v>71</v>
      </c>
      <c r="G409" s="19" t="s">
        <v>15</v>
      </c>
      <c r="H409" s="20">
        <v>449</v>
      </c>
      <c r="I409" s="20">
        <v>161.63999999999999</v>
      </c>
      <c r="J409" s="21">
        <v>0.15</v>
      </c>
      <c r="K409" s="20">
        <f>Ventas[[#This Row],[Precio]]*$J$4</f>
        <v>71.84</v>
      </c>
      <c r="L409" s="20">
        <f>Ventas[[#This Row],[Precio]]-Ventas[[#This Row],[Costo]]-Ventas[[#This Row],[Desc $]]</f>
        <v>220.01000000000002</v>
      </c>
      <c r="M409" s="20">
        <f>Ventas[[#This Row],[Precio]]*Ventas[[#This Row],[Descuento]]</f>
        <v>67.349999999999994</v>
      </c>
    </row>
    <row r="410" spans="1:13" x14ac:dyDescent="0.25">
      <c r="A410" s="16">
        <v>400</v>
      </c>
      <c r="B410" s="18">
        <v>42520</v>
      </c>
      <c r="C410" s="16" t="s">
        <v>31</v>
      </c>
      <c r="D410" s="19" t="s">
        <v>22</v>
      </c>
      <c r="E410" s="19" t="s">
        <v>18</v>
      </c>
      <c r="F410" s="19" t="s">
        <v>32</v>
      </c>
      <c r="G410" s="19" t="s">
        <v>33</v>
      </c>
      <c r="H410" s="20">
        <v>1199</v>
      </c>
      <c r="I410" s="20">
        <v>887.26</v>
      </c>
      <c r="J410" s="21">
        <v>0.2</v>
      </c>
      <c r="K410" s="20">
        <f>Ventas[[#This Row],[Precio]]*$J$4</f>
        <v>191.84</v>
      </c>
      <c r="L410" s="20">
        <f>Ventas[[#This Row],[Precio]]-Ventas[[#This Row],[Costo]]-Ventas[[#This Row],[Desc $]]</f>
        <v>71.94</v>
      </c>
      <c r="M410" s="20">
        <f>Ventas[[#This Row],[Precio]]*Ventas[[#This Row],[Descuento]]</f>
        <v>239.8</v>
      </c>
    </row>
    <row r="411" spans="1:13" x14ac:dyDescent="0.25">
      <c r="A411" s="16">
        <v>401</v>
      </c>
      <c r="B411" s="18">
        <v>42721</v>
      </c>
      <c r="C411" s="16" t="s">
        <v>156</v>
      </c>
      <c r="D411" s="19" t="s">
        <v>22</v>
      </c>
      <c r="E411" s="19" t="s">
        <v>23</v>
      </c>
      <c r="F411" s="19" t="s">
        <v>157</v>
      </c>
      <c r="G411" s="19" t="s">
        <v>15</v>
      </c>
      <c r="H411" s="20">
        <v>399</v>
      </c>
      <c r="I411" s="20">
        <v>239.39999999999998</v>
      </c>
      <c r="J411" s="21">
        <v>0</v>
      </c>
      <c r="K411" s="20">
        <f>Ventas[[#This Row],[Precio]]*$J$4</f>
        <v>63.84</v>
      </c>
      <c r="L411" s="20">
        <f>Ventas[[#This Row],[Precio]]-Ventas[[#This Row],[Costo]]-Ventas[[#This Row],[Desc $]]</f>
        <v>159.60000000000002</v>
      </c>
      <c r="M411" s="20">
        <f>Ventas[[#This Row],[Precio]]*Ventas[[#This Row],[Descuento]]</f>
        <v>0</v>
      </c>
    </row>
    <row r="412" spans="1:13" x14ac:dyDescent="0.25">
      <c r="A412" s="16">
        <v>402</v>
      </c>
      <c r="B412" s="18">
        <v>42529</v>
      </c>
      <c r="C412" s="16" t="s">
        <v>171</v>
      </c>
      <c r="D412" s="19" t="s">
        <v>26</v>
      </c>
      <c r="E412" s="19" t="s">
        <v>45</v>
      </c>
      <c r="F412" s="19" t="s">
        <v>172</v>
      </c>
      <c r="G412" s="19" t="s">
        <v>15</v>
      </c>
      <c r="H412" s="20">
        <v>799</v>
      </c>
      <c r="I412" s="20">
        <v>679.15</v>
      </c>
      <c r="J412" s="21">
        <v>0</v>
      </c>
      <c r="K412" s="20">
        <f>Ventas[[#This Row],[Precio]]*$J$4</f>
        <v>127.84</v>
      </c>
      <c r="L412" s="20">
        <f>Ventas[[#This Row],[Precio]]-Ventas[[#This Row],[Costo]]-Ventas[[#This Row],[Desc $]]</f>
        <v>119.85000000000002</v>
      </c>
      <c r="M412" s="20">
        <f>Ventas[[#This Row],[Precio]]*Ventas[[#This Row],[Descuento]]</f>
        <v>0</v>
      </c>
    </row>
    <row r="413" spans="1:13" x14ac:dyDescent="0.25">
      <c r="A413" s="16">
        <v>403</v>
      </c>
      <c r="B413" s="18">
        <v>42479</v>
      </c>
      <c r="C413" s="16" t="s">
        <v>136</v>
      </c>
      <c r="D413" s="19" t="s">
        <v>12</v>
      </c>
      <c r="E413" s="19" t="s">
        <v>35</v>
      </c>
      <c r="F413" s="19" t="s">
        <v>137</v>
      </c>
      <c r="G413" s="19" t="s">
        <v>15</v>
      </c>
      <c r="H413" s="20">
        <v>7599</v>
      </c>
      <c r="I413" s="20">
        <v>2735.64</v>
      </c>
      <c r="J413" s="21">
        <v>0.15</v>
      </c>
      <c r="K413" s="20">
        <f>Ventas[[#This Row],[Precio]]*$J$4</f>
        <v>1215.8399999999999</v>
      </c>
      <c r="L413" s="20">
        <f>Ventas[[#This Row],[Precio]]-Ventas[[#This Row],[Costo]]-Ventas[[#This Row],[Desc $]]</f>
        <v>3723.5100000000007</v>
      </c>
      <c r="M413" s="20">
        <f>Ventas[[#This Row],[Precio]]*Ventas[[#This Row],[Descuento]]</f>
        <v>1139.8499999999999</v>
      </c>
    </row>
    <row r="414" spans="1:13" x14ac:dyDescent="0.25">
      <c r="A414" s="16">
        <v>404</v>
      </c>
      <c r="B414" s="18">
        <v>42575</v>
      </c>
      <c r="C414" s="16" t="s">
        <v>31</v>
      </c>
      <c r="D414" s="19" t="s">
        <v>22</v>
      </c>
      <c r="E414" s="19" t="s">
        <v>18</v>
      </c>
      <c r="F414" s="19" t="s">
        <v>32</v>
      </c>
      <c r="G414" s="19" t="s">
        <v>33</v>
      </c>
      <c r="H414" s="20">
        <v>1199</v>
      </c>
      <c r="I414" s="20">
        <v>887.26</v>
      </c>
      <c r="J414" s="21">
        <v>0.2</v>
      </c>
      <c r="K414" s="20">
        <f>Ventas[[#This Row],[Precio]]*$J$4</f>
        <v>191.84</v>
      </c>
      <c r="L414" s="20">
        <f>Ventas[[#This Row],[Precio]]-Ventas[[#This Row],[Costo]]-Ventas[[#This Row],[Desc $]]</f>
        <v>71.94</v>
      </c>
      <c r="M414" s="20">
        <f>Ventas[[#This Row],[Precio]]*Ventas[[#This Row],[Descuento]]</f>
        <v>239.8</v>
      </c>
    </row>
    <row r="415" spans="1:13" x14ac:dyDescent="0.25">
      <c r="A415" s="16">
        <v>405</v>
      </c>
      <c r="B415" s="18">
        <v>42396</v>
      </c>
      <c r="C415" s="16" t="s">
        <v>112</v>
      </c>
      <c r="D415" s="19" t="s">
        <v>22</v>
      </c>
      <c r="E415" s="19" t="s">
        <v>23</v>
      </c>
      <c r="F415" s="19" t="s">
        <v>113</v>
      </c>
      <c r="G415" s="19" t="s">
        <v>15</v>
      </c>
      <c r="H415" s="20">
        <v>459</v>
      </c>
      <c r="I415" s="20">
        <v>325.89</v>
      </c>
      <c r="J415" s="21">
        <v>0</v>
      </c>
      <c r="K415" s="20">
        <f>Ventas[[#This Row],[Precio]]*$J$4</f>
        <v>73.44</v>
      </c>
      <c r="L415" s="20">
        <f>Ventas[[#This Row],[Precio]]-Ventas[[#This Row],[Costo]]-Ventas[[#This Row],[Desc $]]</f>
        <v>133.11000000000001</v>
      </c>
      <c r="M415" s="20">
        <f>Ventas[[#This Row],[Precio]]*Ventas[[#This Row],[Descuento]]</f>
        <v>0</v>
      </c>
    </row>
    <row r="416" spans="1:13" x14ac:dyDescent="0.25">
      <c r="A416" s="16">
        <v>406</v>
      </c>
      <c r="B416" s="18">
        <v>42708</v>
      </c>
      <c r="C416" s="16" t="s">
        <v>61</v>
      </c>
      <c r="D416" s="19" t="s">
        <v>26</v>
      </c>
      <c r="E416" s="19" t="s">
        <v>45</v>
      </c>
      <c r="F416" s="19" t="s">
        <v>62</v>
      </c>
      <c r="G416" s="19" t="s">
        <v>15</v>
      </c>
      <c r="H416" s="20">
        <v>799</v>
      </c>
      <c r="I416" s="20">
        <v>679.15</v>
      </c>
      <c r="J416" s="21">
        <v>0</v>
      </c>
      <c r="K416" s="20">
        <f>Ventas[[#This Row],[Precio]]*$J$4</f>
        <v>127.84</v>
      </c>
      <c r="L416" s="20">
        <f>Ventas[[#This Row],[Precio]]-Ventas[[#This Row],[Costo]]-Ventas[[#This Row],[Desc $]]</f>
        <v>119.85000000000002</v>
      </c>
      <c r="M416" s="20">
        <f>Ventas[[#This Row],[Precio]]*Ventas[[#This Row],[Descuento]]</f>
        <v>0</v>
      </c>
    </row>
    <row r="417" spans="1:13" x14ac:dyDescent="0.25">
      <c r="A417" s="16">
        <v>407</v>
      </c>
      <c r="B417" s="18">
        <v>42630</v>
      </c>
      <c r="C417" s="16" t="s">
        <v>41</v>
      </c>
      <c r="D417" s="19" t="s">
        <v>22</v>
      </c>
      <c r="E417" s="19" t="s">
        <v>18</v>
      </c>
      <c r="F417" s="19" t="s">
        <v>42</v>
      </c>
      <c r="G417" s="19" t="s">
        <v>43</v>
      </c>
      <c r="H417" s="20">
        <v>1149</v>
      </c>
      <c r="I417" s="20">
        <v>896.22</v>
      </c>
      <c r="J417" s="21">
        <v>0</v>
      </c>
      <c r="K417" s="20">
        <f>Ventas[[#This Row],[Precio]]*$J$4</f>
        <v>183.84</v>
      </c>
      <c r="L417" s="20">
        <f>Ventas[[#This Row],[Precio]]-Ventas[[#This Row],[Costo]]-Ventas[[#This Row],[Desc $]]</f>
        <v>252.77999999999997</v>
      </c>
      <c r="M417" s="20">
        <f>Ventas[[#This Row],[Precio]]*Ventas[[#This Row],[Descuento]]</f>
        <v>0</v>
      </c>
    </row>
    <row r="418" spans="1:13" x14ac:dyDescent="0.25">
      <c r="A418" s="16">
        <v>408</v>
      </c>
      <c r="B418" s="18">
        <v>42657</v>
      </c>
      <c r="C418" s="16" t="s">
        <v>74</v>
      </c>
      <c r="D418" s="19" t="s">
        <v>12</v>
      </c>
      <c r="E418" s="19" t="s">
        <v>13</v>
      </c>
      <c r="F418" s="19" t="s">
        <v>75</v>
      </c>
      <c r="G418" s="19" t="s">
        <v>15</v>
      </c>
      <c r="H418" s="20">
        <v>2599</v>
      </c>
      <c r="I418" s="20">
        <v>1819.3</v>
      </c>
      <c r="J418" s="21">
        <v>0.15</v>
      </c>
      <c r="K418" s="20">
        <f>Ventas[[#This Row],[Precio]]*$J$4</f>
        <v>415.84000000000003</v>
      </c>
      <c r="L418" s="20">
        <f>Ventas[[#This Row],[Precio]]-Ventas[[#This Row],[Costo]]-Ventas[[#This Row],[Desc $]]</f>
        <v>389.85000000000008</v>
      </c>
      <c r="M418" s="20">
        <f>Ventas[[#This Row],[Precio]]*Ventas[[#This Row],[Descuento]]</f>
        <v>389.84999999999997</v>
      </c>
    </row>
    <row r="419" spans="1:13" x14ac:dyDescent="0.25">
      <c r="A419" s="16">
        <v>409</v>
      </c>
      <c r="B419" s="18">
        <v>42388</v>
      </c>
      <c r="C419" s="16" t="s">
        <v>72</v>
      </c>
      <c r="D419" s="19" t="s">
        <v>22</v>
      </c>
      <c r="E419" s="19" t="s">
        <v>18</v>
      </c>
      <c r="F419" s="19" t="s">
        <v>73</v>
      </c>
      <c r="G419" s="19" t="s">
        <v>69</v>
      </c>
      <c r="H419" s="20">
        <v>799</v>
      </c>
      <c r="I419" s="20">
        <v>535.33000000000004</v>
      </c>
      <c r="J419" s="21">
        <v>0.15</v>
      </c>
      <c r="K419" s="20">
        <f>Ventas[[#This Row],[Precio]]*$J$4</f>
        <v>127.84</v>
      </c>
      <c r="L419" s="20">
        <f>Ventas[[#This Row],[Precio]]-Ventas[[#This Row],[Costo]]-Ventas[[#This Row],[Desc $]]</f>
        <v>143.81999999999996</v>
      </c>
      <c r="M419" s="20">
        <f>Ventas[[#This Row],[Precio]]*Ventas[[#This Row],[Descuento]]</f>
        <v>119.85</v>
      </c>
    </row>
    <row r="420" spans="1:13" x14ac:dyDescent="0.25">
      <c r="A420" s="16">
        <v>410</v>
      </c>
      <c r="B420" s="18">
        <v>42647</v>
      </c>
      <c r="C420" s="16" t="s">
        <v>25</v>
      </c>
      <c r="D420" s="19" t="s">
        <v>26</v>
      </c>
      <c r="E420" s="19" t="s">
        <v>27</v>
      </c>
      <c r="F420" s="19" t="s">
        <v>28</v>
      </c>
      <c r="G420" s="19" t="s">
        <v>15</v>
      </c>
      <c r="H420" s="20">
        <v>1499</v>
      </c>
      <c r="I420" s="20">
        <v>794.47</v>
      </c>
      <c r="J420" s="21">
        <v>0</v>
      </c>
      <c r="K420" s="20">
        <f>Ventas[[#This Row],[Precio]]*$J$4</f>
        <v>239.84</v>
      </c>
      <c r="L420" s="20">
        <f>Ventas[[#This Row],[Precio]]-Ventas[[#This Row],[Costo]]-Ventas[[#This Row],[Desc $]]</f>
        <v>704.53</v>
      </c>
      <c r="M420" s="20">
        <f>Ventas[[#This Row],[Precio]]*Ventas[[#This Row],[Descuento]]</f>
        <v>0</v>
      </c>
    </row>
    <row r="421" spans="1:13" x14ac:dyDescent="0.25">
      <c r="A421" s="16">
        <v>411</v>
      </c>
      <c r="B421" s="18">
        <v>42672</v>
      </c>
      <c r="C421" s="16" t="s">
        <v>47</v>
      </c>
      <c r="D421" s="19" t="s">
        <v>26</v>
      </c>
      <c r="E421" s="19" t="s">
        <v>27</v>
      </c>
      <c r="F421" s="19" t="s">
        <v>48</v>
      </c>
      <c r="G421" s="19" t="s">
        <v>15</v>
      </c>
      <c r="H421" s="20">
        <v>699</v>
      </c>
      <c r="I421" s="20">
        <v>482.30999999999995</v>
      </c>
      <c r="J421" s="21">
        <v>0.15</v>
      </c>
      <c r="K421" s="20">
        <f>Ventas[[#This Row],[Precio]]*$J$4</f>
        <v>111.84</v>
      </c>
      <c r="L421" s="20">
        <f>Ventas[[#This Row],[Precio]]-Ventas[[#This Row],[Costo]]-Ventas[[#This Row],[Desc $]]</f>
        <v>111.84000000000006</v>
      </c>
      <c r="M421" s="20">
        <f>Ventas[[#This Row],[Precio]]*Ventas[[#This Row],[Descuento]]</f>
        <v>104.85</v>
      </c>
    </row>
    <row r="422" spans="1:13" x14ac:dyDescent="0.25">
      <c r="A422" s="16">
        <v>412</v>
      </c>
      <c r="B422" s="18">
        <v>42512</v>
      </c>
      <c r="C422" s="16" t="s">
        <v>162</v>
      </c>
      <c r="D422" s="19" t="s">
        <v>22</v>
      </c>
      <c r="E422" s="19" t="s">
        <v>23</v>
      </c>
      <c r="F422" s="19" t="s">
        <v>163</v>
      </c>
      <c r="G422" s="19" t="s">
        <v>15</v>
      </c>
      <c r="H422" s="20">
        <v>1299</v>
      </c>
      <c r="I422" s="20">
        <v>1065.1799999999998</v>
      </c>
      <c r="J422" s="21">
        <v>0.15</v>
      </c>
      <c r="K422" s="20">
        <f>Ventas[[#This Row],[Precio]]*$J$4</f>
        <v>207.84</v>
      </c>
      <c r="L422" s="20">
        <f>Ventas[[#This Row],[Precio]]-Ventas[[#This Row],[Costo]]-Ventas[[#This Row],[Desc $]]</f>
        <v>38.970000000000169</v>
      </c>
      <c r="M422" s="20">
        <f>Ventas[[#This Row],[Precio]]*Ventas[[#This Row],[Descuento]]</f>
        <v>194.85</v>
      </c>
    </row>
    <row r="423" spans="1:13" x14ac:dyDescent="0.25">
      <c r="A423" s="16">
        <v>413</v>
      </c>
      <c r="B423" s="18">
        <v>42506</v>
      </c>
      <c r="C423" s="16" t="s">
        <v>51</v>
      </c>
      <c r="D423" s="19" t="s">
        <v>22</v>
      </c>
      <c r="E423" s="19" t="s">
        <v>23</v>
      </c>
      <c r="F423" s="19" t="s">
        <v>52</v>
      </c>
      <c r="G423" s="19" t="s">
        <v>15</v>
      </c>
      <c r="H423" s="20">
        <v>599</v>
      </c>
      <c r="I423" s="20">
        <v>455.24</v>
      </c>
      <c r="J423" s="21">
        <v>0.3</v>
      </c>
      <c r="K423" s="20">
        <f>Ventas[[#This Row],[Precio]]*$J$4</f>
        <v>95.84</v>
      </c>
      <c r="L423" s="20">
        <f>Ventas[[#This Row],[Precio]]-Ventas[[#This Row],[Costo]]-Ventas[[#This Row],[Desc $]]</f>
        <v>-35.94</v>
      </c>
      <c r="M423" s="20">
        <f>Ventas[[#This Row],[Precio]]*Ventas[[#This Row],[Descuento]]</f>
        <v>179.7</v>
      </c>
    </row>
    <row r="424" spans="1:13" x14ac:dyDescent="0.25">
      <c r="A424" s="16">
        <v>414</v>
      </c>
      <c r="B424" s="18">
        <v>42640</v>
      </c>
      <c r="C424" s="16" t="s">
        <v>120</v>
      </c>
      <c r="D424" s="19" t="s">
        <v>22</v>
      </c>
      <c r="E424" s="19" t="s">
        <v>23</v>
      </c>
      <c r="F424" s="19" t="s">
        <v>121</v>
      </c>
      <c r="G424" s="19" t="s">
        <v>15</v>
      </c>
      <c r="H424" s="20">
        <v>169</v>
      </c>
      <c r="I424" s="20">
        <v>130.13</v>
      </c>
      <c r="J424" s="21">
        <v>0</v>
      </c>
      <c r="K424" s="20">
        <f>Ventas[[#This Row],[Precio]]*$J$4</f>
        <v>27.04</v>
      </c>
      <c r="L424" s="20">
        <f>Ventas[[#This Row],[Precio]]-Ventas[[#This Row],[Costo]]-Ventas[[#This Row],[Desc $]]</f>
        <v>38.870000000000005</v>
      </c>
      <c r="M424" s="20">
        <f>Ventas[[#This Row],[Precio]]*Ventas[[#This Row],[Descuento]]</f>
        <v>0</v>
      </c>
    </row>
    <row r="425" spans="1:13" x14ac:dyDescent="0.25">
      <c r="A425" s="16">
        <v>415</v>
      </c>
      <c r="B425" s="18">
        <v>42546</v>
      </c>
      <c r="C425" s="16" t="s">
        <v>90</v>
      </c>
      <c r="D425" s="19" t="s">
        <v>12</v>
      </c>
      <c r="E425" s="19" t="s">
        <v>35</v>
      </c>
      <c r="F425" s="19" t="s">
        <v>91</v>
      </c>
      <c r="G425" s="19" t="s">
        <v>15</v>
      </c>
      <c r="H425" s="20">
        <v>6999</v>
      </c>
      <c r="I425" s="20">
        <v>4829.3099999999995</v>
      </c>
      <c r="J425" s="21">
        <v>0.2</v>
      </c>
      <c r="K425" s="20">
        <f>Ventas[[#This Row],[Precio]]*$J$4</f>
        <v>1119.8399999999999</v>
      </c>
      <c r="L425" s="20">
        <f>Ventas[[#This Row],[Precio]]-Ventas[[#This Row],[Costo]]-Ventas[[#This Row],[Desc $]]</f>
        <v>769.89000000000033</v>
      </c>
      <c r="M425" s="20">
        <f>Ventas[[#This Row],[Precio]]*Ventas[[#This Row],[Descuento]]</f>
        <v>1399.8000000000002</v>
      </c>
    </row>
    <row r="426" spans="1:13" x14ac:dyDescent="0.25">
      <c r="A426" s="16">
        <v>416</v>
      </c>
      <c r="B426" s="18">
        <v>42631</v>
      </c>
      <c r="C426" s="16" t="s">
        <v>134</v>
      </c>
      <c r="D426" s="19" t="s">
        <v>22</v>
      </c>
      <c r="E426" s="19" t="s">
        <v>18</v>
      </c>
      <c r="F426" s="19" t="s">
        <v>135</v>
      </c>
      <c r="G426" s="19" t="s">
        <v>33</v>
      </c>
      <c r="H426" s="20">
        <v>409</v>
      </c>
      <c r="I426" s="20">
        <v>237.21999999999997</v>
      </c>
      <c r="J426" s="21">
        <v>0.1</v>
      </c>
      <c r="K426" s="20">
        <f>Ventas[[#This Row],[Precio]]*$J$4</f>
        <v>65.44</v>
      </c>
      <c r="L426" s="20">
        <f>Ventas[[#This Row],[Precio]]-Ventas[[#This Row],[Costo]]-Ventas[[#This Row],[Desc $]]</f>
        <v>130.88000000000002</v>
      </c>
      <c r="M426" s="20">
        <f>Ventas[[#This Row],[Precio]]*Ventas[[#This Row],[Descuento]]</f>
        <v>40.900000000000006</v>
      </c>
    </row>
    <row r="427" spans="1:13" x14ac:dyDescent="0.25">
      <c r="A427" s="16">
        <v>417</v>
      </c>
      <c r="B427" s="18">
        <v>42424</v>
      </c>
      <c r="C427" s="16" t="s">
        <v>85</v>
      </c>
      <c r="D427" s="19" t="s">
        <v>22</v>
      </c>
      <c r="E427" s="19" t="s">
        <v>86</v>
      </c>
      <c r="F427" s="19" t="s">
        <v>87</v>
      </c>
      <c r="G427" s="19" t="s">
        <v>15</v>
      </c>
      <c r="H427" s="20">
        <v>3999</v>
      </c>
      <c r="I427" s="20">
        <v>1399.6499999999999</v>
      </c>
      <c r="J427" s="21">
        <v>0.15</v>
      </c>
      <c r="K427" s="20">
        <f>Ventas[[#This Row],[Precio]]*$J$4</f>
        <v>639.84</v>
      </c>
      <c r="L427" s="20">
        <f>Ventas[[#This Row],[Precio]]-Ventas[[#This Row],[Costo]]-Ventas[[#This Row],[Desc $]]</f>
        <v>1999.5000000000005</v>
      </c>
      <c r="M427" s="20">
        <f>Ventas[[#This Row],[Precio]]*Ventas[[#This Row],[Descuento]]</f>
        <v>599.85</v>
      </c>
    </row>
    <row r="428" spans="1:13" x14ac:dyDescent="0.25">
      <c r="A428" s="16">
        <v>418</v>
      </c>
      <c r="B428" s="18">
        <v>42663</v>
      </c>
      <c r="C428" s="16" t="s">
        <v>21</v>
      </c>
      <c r="D428" s="19" t="s">
        <v>22</v>
      </c>
      <c r="E428" s="19" t="s">
        <v>23</v>
      </c>
      <c r="F428" s="19" t="s">
        <v>24</v>
      </c>
      <c r="G428" s="19" t="s">
        <v>15</v>
      </c>
      <c r="H428" s="20">
        <v>359</v>
      </c>
      <c r="I428" s="20">
        <v>244.12</v>
      </c>
      <c r="J428" s="21">
        <v>0</v>
      </c>
      <c r="K428" s="20">
        <f>Ventas[[#This Row],[Precio]]*$J$4</f>
        <v>57.44</v>
      </c>
      <c r="L428" s="20">
        <f>Ventas[[#This Row],[Precio]]-Ventas[[#This Row],[Costo]]-Ventas[[#This Row],[Desc $]]</f>
        <v>114.88</v>
      </c>
      <c r="M428" s="20">
        <f>Ventas[[#This Row],[Precio]]*Ventas[[#This Row],[Descuento]]</f>
        <v>0</v>
      </c>
    </row>
    <row r="429" spans="1:13" x14ac:dyDescent="0.25">
      <c r="A429" s="16">
        <v>419</v>
      </c>
      <c r="B429" s="18">
        <v>42388</v>
      </c>
      <c r="C429" s="16" t="s">
        <v>67</v>
      </c>
      <c r="D429" s="19" t="s">
        <v>22</v>
      </c>
      <c r="E429" s="19" t="s">
        <v>18</v>
      </c>
      <c r="F429" s="19" t="s">
        <v>68</v>
      </c>
      <c r="G429" s="19" t="s">
        <v>69</v>
      </c>
      <c r="H429" s="20">
        <v>199</v>
      </c>
      <c r="I429" s="20">
        <v>81.589999999999989</v>
      </c>
      <c r="J429" s="21">
        <v>0.15</v>
      </c>
      <c r="K429" s="20">
        <f>Ventas[[#This Row],[Precio]]*$J$4</f>
        <v>31.84</v>
      </c>
      <c r="L429" s="20">
        <f>Ventas[[#This Row],[Precio]]-Ventas[[#This Row],[Costo]]-Ventas[[#This Row],[Desc $]]</f>
        <v>87.560000000000016</v>
      </c>
      <c r="M429" s="20">
        <f>Ventas[[#This Row],[Precio]]*Ventas[[#This Row],[Descuento]]</f>
        <v>29.849999999999998</v>
      </c>
    </row>
    <row r="430" spans="1:13" x14ac:dyDescent="0.25">
      <c r="A430" s="16">
        <v>420</v>
      </c>
      <c r="B430" s="18">
        <v>42416</v>
      </c>
      <c r="C430" s="16" t="s">
        <v>134</v>
      </c>
      <c r="D430" s="19" t="s">
        <v>22</v>
      </c>
      <c r="E430" s="19" t="s">
        <v>18</v>
      </c>
      <c r="F430" s="19" t="s">
        <v>135</v>
      </c>
      <c r="G430" s="19" t="s">
        <v>33</v>
      </c>
      <c r="H430" s="20">
        <v>409</v>
      </c>
      <c r="I430" s="20">
        <v>237.21999999999997</v>
      </c>
      <c r="J430" s="21">
        <v>0</v>
      </c>
      <c r="K430" s="20">
        <f>Ventas[[#This Row],[Precio]]*$J$4</f>
        <v>65.44</v>
      </c>
      <c r="L430" s="20">
        <f>Ventas[[#This Row],[Precio]]-Ventas[[#This Row],[Costo]]-Ventas[[#This Row],[Desc $]]</f>
        <v>171.78000000000003</v>
      </c>
      <c r="M430" s="20">
        <f>Ventas[[#This Row],[Precio]]*Ventas[[#This Row],[Descuento]]</f>
        <v>0</v>
      </c>
    </row>
    <row r="431" spans="1:13" x14ac:dyDescent="0.25">
      <c r="A431" s="16">
        <v>421</v>
      </c>
      <c r="B431" s="18">
        <v>42752</v>
      </c>
      <c r="C431" s="16" t="s">
        <v>21</v>
      </c>
      <c r="D431" s="19" t="s">
        <v>22</v>
      </c>
      <c r="E431" s="19" t="s">
        <v>23</v>
      </c>
      <c r="F431" s="19" t="s">
        <v>24</v>
      </c>
      <c r="G431" s="19" t="s">
        <v>15</v>
      </c>
      <c r="H431" s="20">
        <v>359</v>
      </c>
      <c r="I431" s="20">
        <v>244.12</v>
      </c>
      <c r="J431" s="21">
        <v>0</v>
      </c>
      <c r="K431" s="20">
        <f>Ventas[[#This Row],[Precio]]*$J$4</f>
        <v>57.44</v>
      </c>
      <c r="L431" s="20">
        <f>Ventas[[#This Row],[Precio]]-Ventas[[#This Row],[Costo]]-Ventas[[#This Row],[Desc $]]</f>
        <v>114.88</v>
      </c>
      <c r="M431" s="20">
        <f>Ventas[[#This Row],[Precio]]*Ventas[[#This Row],[Descuento]]</f>
        <v>0</v>
      </c>
    </row>
    <row r="432" spans="1:13" x14ac:dyDescent="0.25">
      <c r="A432" s="16">
        <v>422</v>
      </c>
      <c r="B432" s="18">
        <v>42519</v>
      </c>
      <c r="C432" s="16" t="s">
        <v>102</v>
      </c>
      <c r="D432" s="19" t="s">
        <v>22</v>
      </c>
      <c r="E432" s="19" t="s">
        <v>18</v>
      </c>
      <c r="F432" s="19" t="s">
        <v>103</v>
      </c>
      <c r="G432" s="19" t="s">
        <v>33</v>
      </c>
      <c r="H432" s="20">
        <v>899</v>
      </c>
      <c r="I432" s="20">
        <v>440.51</v>
      </c>
      <c r="J432" s="21">
        <v>0</v>
      </c>
      <c r="K432" s="20">
        <f>Ventas[[#This Row],[Precio]]*$J$4</f>
        <v>143.84</v>
      </c>
      <c r="L432" s="20">
        <f>Ventas[[#This Row],[Precio]]-Ventas[[#This Row],[Costo]]-Ventas[[#This Row],[Desc $]]</f>
        <v>458.49</v>
      </c>
      <c r="M432" s="20">
        <f>Ventas[[#This Row],[Precio]]*Ventas[[#This Row],[Descuento]]</f>
        <v>0</v>
      </c>
    </row>
    <row r="433" spans="1:13" x14ac:dyDescent="0.25">
      <c r="A433" s="16">
        <v>423</v>
      </c>
      <c r="B433" s="18">
        <v>42618</v>
      </c>
      <c r="C433" s="16" t="s">
        <v>21</v>
      </c>
      <c r="D433" s="19" t="s">
        <v>22</v>
      </c>
      <c r="E433" s="19" t="s">
        <v>23</v>
      </c>
      <c r="F433" s="19" t="s">
        <v>24</v>
      </c>
      <c r="G433" s="19" t="s">
        <v>15</v>
      </c>
      <c r="H433" s="20">
        <v>359</v>
      </c>
      <c r="I433" s="20">
        <v>244.12</v>
      </c>
      <c r="J433" s="21">
        <v>0</v>
      </c>
      <c r="K433" s="20">
        <f>Ventas[[#This Row],[Precio]]*$J$4</f>
        <v>57.44</v>
      </c>
      <c r="L433" s="20">
        <f>Ventas[[#This Row],[Precio]]-Ventas[[#This Row],[Costo]]-Ventas[[#This Row],[Desc $]]</f>
        <v>114.88</v>
      </c>
      <c r="M433" s="20">
        <f>Ventas[[#This Row],[Precio]]*Ventas[[#This Row],[Descuento]]</f>
        <v>0</v>
      </c>
    </row>
    <row r="434" spans="1:13" x14ac:dyDescent="0.25">
      <c r="A434" s="16">
        <v>424</v>
      </c>
      <c r="B434" s="18">
        <v>42397</v>
      </c>
      <c r="C434" s="16" t="s">
        <v>85</v>
      </c>
      <c r="D434" s="19" t="s">
        <v>22</v>
      </c>
      <c r="E434" s="19" t="s">
        <v>86</v>
      </c>
      <c r="F434" s="19" t="s">
        <v>87</v>
      </c>
      <c r="G434" s="19" t="s">
        <v>15</v>
      </c>
      <c r="H434" s="20">
        <v>3999</v>
      </c>
      <c r="I434" s="20">
        <v>1399.6499999999999</v>
      </c>
      <c r="J434" s="21">
        <v>0</v>
      </c>
      <c r="K434" s="20">
        <f>Ventas[[#This Row],[Precio]]*$J$4</f>
        <v>639.84</v>
      </c>
      <c r="L434" s="20">
        <f>Ventas[[#This Row],[Precio]]-Ventas[[#This Row],[Costo]]-Ventas[[#This Row],[Desc $]]</f>
        <v>2599.3500000000004</v>
      </c>
      <c r="M434" s="20">
        <f>Ventas[[#This Row],[Precio]]*Ventas[[#This Row],[Descuento]]</f>
        <v>0</v>
      </c>
    </row>
    <row r="435" spans="1:13" x14ac:dyDescent="0.25">
      <c r="A435" s="16">
        <v>425</v>
      </c>
      <c r="B435" s="18">
        <v>42419</v>
      </c>
      <c r="C435" s="16" t="s">
        <v>63</v>
      </c>
      <c r="D435" s="19" t="s">
        <v>12</v>
      </c>
      <c r="E435" s="19" t="s">
        <v>35</v>
      </c>
      <c r="F435" s="19" t="s">
        <v>64</v>
      </c>
      <c r="G435" s="19" t="s">
        <v>15</v>
      </c>
      <c r="H435" s="20">
        <v>13999</v>
      </c>
      <c r="I435" s="20">
        <v>9659.31</v>
      </c>
      <c r="J435" s="21">
        <v>0</v>
      </c>
      <c r="K435" s="20">
        <f>Ventas[[#This Row],[Precio]]*$J$4</f>
        <v>2239.84</v>
      </c>
      <c r="L435" s="20">
        <f>Ventas[[#This Row],[Precio]]-Ventas[[#This Row],[Costo]]-Ventas[[#This Row],[Desc $]]</f>
        <v>4339.6900000000005</v>
      </c>
      <c r="M435" s="20">
        <f>Ventas[[#This Row],[Precio]]*Ventas[[#This Row],[Descuento]]</f>
        <v>0</v>
      </c>
    </row>
    <row r="436" spans="1:13" x14ac:dyDescent="0.25">
      <c r="A436" s="16">
        <v>426</v>
      </c>
      <c r="B436" s="18">
        <v>42455</v>
      </c>
      <c r="C436" s="16" t="s">
        <v>21</v>
      </c>
      <c r="D436" s="19" t="s">
        <v>22</v>
      </c>
      <c r="E436" s="19" t="s">
        <v>23</v>
      </c>
      <c r="F436" s="19" t="s">
        <v>24</v>
      </c>
      <c r="G436" s="19" t="s">
        <v>15</v>
      </c>
      <c r="H436" s="20">
        <v>359</v>
      </c>
      <c r="I436" s="20">
        <v>244.12</v>
      </c>
      <c r="J436" s="21">
        <v>0.2</v>
      </c>
      <c r="K436" s="20">
        <f>Ventas[[#This Row],[Precio]]*$J$4</f>
        <v>57.44</v>
      </c>
      <c r="L436" s="20">
        <f>Ventas[[#This Row],[Precio]]-Ventas[[#This Row],[Costo]]-Ventas[[#This Row],[Desc $]]</f>
        <v>43.08</v>
      </c>
      <c r="M436" s="20">
        <f>Ventas[[#This Row],[Precio]]*Ventas[[#This Row],[Descuento]]</f>
        <v>71.8</v>
      </c>
    </row>
    <row r="437" spans="1:13" x14ac:dyDescent="0.25">
      <c r="A437" s="16">
        <v>427</v>
      </c>
      <c r="B437" s="18">
        <v>42620</v>
      </c>
      <c r="C437" s="16" t="s">
        <v>51</v>
      </c>
      <c r="D437" s="19" t="s">
        <v>22</v>
      </c>
      <c r="E437" s="19" t="s">
        <v>23</v>
      </c>
      <c r="F437" s="19" t="s">
        <v>52</v>
      </c>
      <c r="G437" s="19" t="s">
        <v>15</v>
      </c>
      <c r="H437" s="20">
        <v>599</v>
      </c>
      <c r="I437" s="20">
        <v>455.24</v>
      </c>
      <c r="J437" s="21">
        <v>0</v>
      </c>
      <c r="K437" s="20">
        <f>Ventas[[#This Row],[Precio]]*$J$4</f>
        <v>95.84</v>
      </c>
      <c r="L437" s="20">
        <f>Ventas[[#This Row],[Precio]]-Ventas[[#This Row],[Costo]]-Ventas[[#This Row],[Desc $]]</f>
        <v>143.76</v>
      </c>
      <c r="M437" s="20">
        <f>Ventas[[#This Row],[Precio]]*Ventas[[#This Row],[Descuento]]</f>
        <v>0</v>
      </c>
    </row>
    <row r="438" spans="1:13" x14ac:dyDescent="0.25">
      <c r="A438" s="16">
        <v>428</v>
      </c>
      <c r="B438" s="18">
        <v>42512</v>
      </c>
      <c r="C438" s="16" t="s">
        <v>16</v>
      </c>
      <c r="D438" s="19" t="s">
        <v>22</v>
      </c>
      <c r="E438" s="19" t="s">
        <v>18</v>
      </c>
      <c r="F438" s="19" t="s">
        <v>19</v>
      </c>
      <c r="G438" s="19" t="s">
        <v>20</v>
      </c>
      <c r="H438" s="20">
        <v>1149</v>
      </c>
      <c r="I438" s="20">
        <v>792.81</v>
      </c>
      <c r="J438" s="21">
        <v>0.15</v>
      </c>
      <c r="K438" s="20">
        <f>Ventas[[#This Row],[Precio]]*$J$4</f>
        <v>183.84</v>
      </c>
      <c r="L438" s="20">
        <f>Ventas[[#This Row],[Precio]]-Ventas[[#This Row],[Costo]]-Ventas[[#This Row],[Desc $]]</f>
        <v>183.84000000000006</v>
      </c>
      <c r="M438" s="20">
        <f>Ventas[[#This Row],[Precio]]*Ventas[[#This Row],[Descuento]]</f>
        <v>172.35</v>
      </c>
    </row>
    <row r="439" spans="1:13" x14ac:dyDescent="0.25">
      <c r="A439" s="16">
        <v>429</v>
      </c>
      <c r="B439" s="18">
        <v>42520</v>
      </c>
      <c r="C439" s="16" t="s">
        <v>41</v>
      </c>
      <c r="D439" s="19" t="s">
        <v>22</v>
      </c>
      <c r="E439" s="19" t="s">
        <v>18</v>
      </c>
      <c r="F439" s="19" t="s">
        <v>42</v>
      </c>
      <c r="G439" s="19" t="s">
        <v>43</v>
      </c>
      <c r="H439" s="20">
        <v>1149</v>
      </c>
      <c r="I439" s="20">
        <v>896.22</v>
      </c>
      <c r="J439" s="21">
        <v>0.2</v>
      </c>
      <c r="K439" s="20">
        <f>Ventas[[#This Row],[Precio]]*$J$4</f>
        <v>183.84</v>
      </c>
      <c r="L439" s="20">
        <f>Ventas[[#This Row],[Precio]]-Ventas[[#This Row],[Costo]]-Ventas[[#This Row],[Desc $]]</f>
        <v>22.979999999999961</v>
      </c>
      <c r="M439" s="20">
        <f>Ventas[[#This Row],[Precio]]*Ventas[[#This Row],[Descuento]]</f>
        <v>229.8</v>
      </c>
    </row>
    <row r="440" spans="1:13" x14ac:dyDescent="0.25">
      <c r="A440" s="16">
        <v>430</v>
      </c>
      <c r="B440" s="18">
        <v>42455</v>
      </c>
      <c r="C440" s="16" t="s">
        <v>85</v>
      </c>
      <c r="D440" s="19" t="s">
        <v>22</v>
      </c>
      <c r="E440" s="19" t="s">
        <v>86</v>
      </c>
      <c r="F440" s="19" t="s">
        <v>87</v>
      </c>
      <c r="G440" s="19" t="s">
        <v>15</v>
      </c>
      <c r="H440" s="20">
        <v>3999</v>
      </c>
      <c r="I440" s="20">
        <v>1399.6499999999999</v>
      </c>
      <c r="J440" s="21">
        <v>0.2</v>
      </c>
      <c r="K440" s="20">
        <f>Ventas[[#This Row],[Precio]]*$J$4</f>
        <v>639.84</v>
      </c>
      <c r="L440" s="20">
        <f>Ventas[[#This Row],[Precio]]-Ventas[[#This Row],[Costo]]-Ventas[[#This Row],[Desc $]]</f>
        <v>1799.5500000000002</v>
      </c>
      <c r="M440" s="20">
        <f>Ventas[[#This Row],[Precio]]*Ventas[[#This Row],[Descuento]]</f>
        <v>799.80000000000007</v>
      </c>
    </row>
    <row r="441" spans="1:13" x14ac:dyDescent="0.25">
      <c r="A441" s="16">
        <v>431</v>
      </c>
      <c r="B441" s="18">
        <v>42623</v>
      </c>
      <c r="C441" s="16" t="s">
        <v>63</v>
      </c>
      <c r="D441" s="19" t="s">
        <v>12</v>
      </c>
      <c r="E441" s="19" t="s">
        <v>35</v>
      </c>
      <c r="F441" s="19" t="s">
        <v>64</v>
      </c>
      <c r="G441" s="19" t="s">
        <v>15</v>
      </c>
      <c r="H441" s="20">
        <v>13999</v>
      </c>
      <c r="I441" s="20">
        <v>9659.31</v>
      </c>
      <c r="J441" s="21">
        <v>0</v>
      </c>
      <c r="K441" s="20">
        <f>Ventas[[#This Row],[Precio]]*$J$4</f>
        <v>2239.84</v>
      </c>
      <c r="L441" s="20">
        <f>Ventas[[#This Row],[Precio]]-Ventas[[#This Row],[Costo]]-Ventas[[#This Row],[Desc $]]</f>
        <v>4339.6900000000005</v>
      </c>
      <c r="M441" s="20">
        <f>Ventas[[#This Row],[Precio]]*Ventas[[#This Row],[Descuento]]</f>
        <v>0</v>
      </c>
    </row>
    <row r="442" spans="1:13" x14ac:dyDescent="0.25">
      <c r="A442" s="16">
        <v>432</v>
      </c>
      <c r="B442" s="18">
        <v>42796</v>
      </c>
      <c r="C442" s="16" t="s">
        <v>61</v>
      </c>
      <c r="D442" s="19" t="s">
        <v>26</v>
      </c>
      <c r="E442" s="19" t="s">
        <v>45</v>
      </c>
      <c r="F442" s="19" t="s">
        <v>62</v>
      </c>
      <c r="G442" s="19" t="s">
        <v>15</v>
      </c>
      <c r="H442" s="20">
        <v>799</v>
      </c>
      <c r="I442" s="20">
        <v>679.15</v>
      </c>
      <c r="J442" s="21">
        <v>0</v>
      </c>
      <c r="K442" s="20">
        <f>Ventas[[#This Row],[Precio]]*$J$4</f>
        <v>127.84</v>
      </c>
      <c r="L442" s="20">
        <f>Ventas[[#This Row],[Precio]]-Ventas[[#This Row],[Costo]]-Ventas[[#This Row],[Desc $]]</f>
        <v>119.85000000000002</v>
      </c>
      <c r="M442" s="20">
        <f>Ventas[[#This Row],[Precio]]*Ventas[[#This Row],[Descuento]]</f>
        <v>0</v>
      </c>
    </row>
    <row r="443" spans="1:13" x14ac:dyDescent="0.25">
      <c r="A443" s="16">
        <v>433</v>
      </c>
      <c r="B443" s="18">
        <v>42536</v>
      </c>
      <c r="C443" s="16" t="s">
        <v>31</v>
      </c>
      <c r="D443" s="19" t="s">
        <v>22</v>
      </c>
      <c r="E443" s="19" t="s">
        <v>18</v>
      </c>
      <c r="F443" s="19" t="s">
        <v>32</v>
      </c>
      <c r="G443" s="19" t="s">
        <v>33</v>
      </c>
      <c r="H443" s="20">
        <v>1199</v>
      </c>
      <c r="I443" s="20">
        <v>887.26</v>
      </c>
      <c r="J443" s="21">
        <v>0</v>
      </c>
      <c r="K443" s="20">
        <f>Ventas[[#This Row],[Precio]]*$J$4</f>
        <v>191.84</v>
      </c>
      <c r="L443" s="20">
        <f>Ventas[[#This Row],[Precio]]-Ventas[[#This Row],[Costo]]-Ventas[[#This Row],[Desc $]]</f>
        <v>311.74</v>
      </c>
      <c r="M443" s="20">
        <f>Ventas[[#This Row],[Precio]]*Ventas[[#This Row],[Descuento]]</f>
        <v>0</v>
      </c>
    </row>
    <row r="444" spans="1:13" x14ac:dyDescent="0.25">
      <c r="A444" s="16">
        <v>434</v>
      </c>
      <c r="B444" s="18">
        <v>42657</v>
      </c>
      <c r="C444" s="16" t="s">
        <v>16</v>
      </c>
      <c r="D444" s="19" t="s">
        <v>22</v>
      </c>
      <c r="E444" s="19" t="s">
        <v>18</v>
      </c>
      <c r="F444" s="19" t="s">
        <v>19</v>
      </c>
      <c r="G444" s="19" t="s">
        <v>20</v>
      </c>
      <c r="H444" s="20">
        <v>1149</v>
      </c>
      <c r="I444" s="20">
        <v>792.81</v>
      </c>
      <c r="J444" s="21">
        <v>0.15</v>
      </c>
      <c r="K444" s="20">
        <f>Ventas[[#This Row],[Precio]]*$J$4</f>
        <v>183.84</v>
      </c>
      <c r="L444" s="20">
        <f>Ventas[[#This Row],[Precio]]-Ventas[[#This Row],[Costo]]-Ventas[[#This Row],[Desc $]]</f>
        <v>183.84000000000006</v>
      </c>
      <c r="M444" s="20">
        <f>Ventas[[#This Row],[Precio]]*Ventas[[#This Row],[Descuento]]</f>
        <v>172.35</v>
      </c>
    </row>
    <row r="445" spans="1:13" x14ac:dyDescent="0.25">
      <c r="A445" s="16">
        <v>435</v>
      </c>
      <c r="B445" s="18">
        <v>42506</v>
      </c>
      <c r="C445" s="16" t="s">
        <v>41</v>
      </c>
      <c r="D445" s="19" t="s">
        <v>22</v>
      </c>
      <c r="E445" s="19" t="s">
        <v>18</v>
      </c>
      <c r="F445" s="19" t="s">
        <v>42</v>
      </c>
      <c r="G445" s="19" t="s">
        <v>43</v>
      </c>
      <c r="H445" s="20">
        <v>1149</v>
      </c>
      <c r="I445" s="20">
        <v>896.22</v>
      </c>
      <c r="J445" s="21">
        <v>0.3</v>
      </c>
      <c r="K445" s="20">
        <f>Ventas[[#This Row],[Precio]]*$J$4</f>
        <v>183.84</v>
      </c>
      <c r="L445" s="20">
        <f>Ventas[[#This Row],[Precio]]-Ventas[[#This Row],[Costo]]-Ventas[[#This Row],[Desc $]]</f>
        <v>-91.920000000000016</v>
      </c>
      <c r="M445" s="20">
        <f>Ventas[[#This Row],[Precio]]*Ventas[[#This Row],[Descuento]]</f>
        <v>344.7</v>
      </c>
    </row>
    <row r="446" spans="1:13" x14ac:dyDescent="0.25">
      <c r="A446" s="16">
        <v>436</v>
      </c>
      <c r="B446" s="18">
        <v>42579</v>
      </c>
      <c r="C446" s="16" t="s">
        <v>31</v>
      </c>
      <c r="D446" s="19" t="s">
        <v>22</v>
      </c>
      <c r="E446" s="19" t="s">
        <v>18</v>
      </c>
      <c r="F446" s="19" t="s">
        <v>32</v>
      </c>
      <c r="G446" s="19" t="s">
        <v>33</v>
      </c>
      <c r="H446" s="20">
        <v>1199</v>
      </c>
      <c r="I446" s="20">
        <v>887.26</v>
      </c>
      <c r="J446" s="21">
        <v>0</v>
      </c>
      <c r="K446" s="20">
        <f>Ventas[[#This Row],[Precio]]*$J$4</f>
        <v>191.84</v>
      </c>
      <c r="L446" s="20">
        <f>Ventas[[#This Row],[Precio]]-Ventas[[#This Row],[Costo]]-Ventas[[#This Row],[Desc $]]</f>
        <v>311.74</v>
      </c>
      <c r="M446" s="20">
        <f>Ventas[[#This Row],[Precio]]*Ventas[[#This Row],[Descuento]]</f>
        <v>0</v>
      </c>
    </row>
    <row r="447" spans="1:13" x14ac:dyDescent="0.25">
      <c r="A447" s="16">
        <v>437</v>
      </c>
      <c r="B447" s="18">
        <v>42512</v>
      </c>
      <c r="C447" s="16" t="s">
        <v>85</v>
      </c>
      <c r="D447" s="19" t="s">
        <v>22</v>
      </c>
      <c r="E447" s="19" t="s">
        <v>86</v>
      </c>
      <c r="F447" s="19" t="s">
        <v>87</v>
      </c>
      <c r="G447" s="19" t="s">
        <v>15</v>
      </c>
      <c r="H447" s="20">
        <v>3999</v>
      </c>
      <c r="I447" s="20">
        <v>1399.6499999999999</v>
      </c>
      <c r="J447" s="21">
        <v>0.15</v>
      </c>
      <c r="K447" s="20">
        <f>Ventas[[#This Row],[Precio]]*$J$4</f>
        <v>639.84</v>
      </c>
      <c r="L447" s="20">
        <f>Ventas[[#This Row],[Precio]]-Ventas[[#This Row],[Costo]]-Ventas[[#This Row],[Desc $]]</f>
        <v>1999.5000000000005</v>
      </c>
      <c r="M447" s="20">
        <f>Ventas[[#This Row],[Precio]]*Ventas[[#This Row],[Descuento]]</f>
        <v>599.85</v>
      </c>
    </row>
    <row r="448" spans="1:13" x14ac:dyDescent="0.25">
      <c r="A448" s="16">
        <v>438</v>
      </c>
      <c r="B448" s="18">
        <v>35133</v>
      </c>
      <c r="C448" s="16" t="s">
        <v>53</v>
      </c>
      <c r="D448" s="19" t="s">
        <v>22</v>
      </c>
      <c r="E448" s="19" t="s">
        <v>18</v>
      </c>
      <c r="F448" s="19" t="s">
        <v>54</v>
      </c>
      <c r="G448" s="19" t="s">
        <v>33</v>
      </c>
      <c r="H448" s="20">
        <v>1299</v>
      </c>
      <c r="I448" s="20">
        <v>766.41</v>
      </c>
      <c r="J448" s="21">
        <v>0.15</v>
      </c>
      <c r="K448" s="20">
        <f>Ventas[[#This Row],[Precio]]*$J$4</f>
        <v>207.84</v>
      </c>
      <c r="L448" s="20">
        <f>Ventas[[#This Row],[Precio]]-Ventas[[#This Row],[Costo]]-Ventas[[#This Row],[Desc $]]</f>
        <v>337.74</v>
      </c>
      <c r="M448" s="20">
        <f>Ventas[[#This Row],[Precio]]*Ventas[[#This Row],[Descuento]]</f>
        <v>194.85</v>
      </c>
    </row>
    <row r="449" spans="1:13" x14ac:dyDescent="0.25">
      <c r="A449" s="16">
        <v>439</v>
      </c>
      <c r="B449" s="18">
        <v>42631</v>
      </c>
      <c r="C449" s="16" t="s">
        <v>53</v>
      </c>
      <c r="D449" s="19" t="s">
        <v>22</v>
      </c>
      <c r="E449" s="19" t="s">
        <v>18</v>
      </c>
      <c r="F449" s="19" t="s">
        <v>54</v>
      </c>
      <c r="G449" s="19" t="s">
        <v>33</v>
      </c>
      <c r="H449" s="20">
        <v>1299</v>
      </c>
      <c r="I449" s="20">
        <v>766.41</v>
      </c>
      <c r="J449" s="21">
        <v>0.1</v>
      </c>
      <c r="K449" s="20">
        <f>Ventas[[#This Row],[Precio]]*$J$4</f>
        <v>207.84</v>
      </c>
      <c r="L449" s="20">
        <f>Ventas[[#This Row],[Precio]]-Ventas[[#This Row],[Costo]]-Ventas[[#This Row],[Desc $]]</f>
        <v>402.69000000000005</v>
      </c>
      <c r="M449" s="20">
        <f>Ventas[[#This Row],[Precio]]*Ventas[[#This Row],[Descuento]]</f>
        <v>129.9</v>
      </c>
    </row>
    <row r="450" spans="1:13" x14ac:dyDescent="0.25">
      <c r="A450" s="16">
        <v>440</v>
      </c>
      <c r="B450" s="18">
        <v>42506</v>
      </c>
      <c r="C450" s="16" t="s">
        <v>25</v>
      </c>
      <c r="D450" s="19" t="s">
        <v>26</v>
      </c>
      <c r="E450" s="19" t="s">
        <v>27</v>
      </c>
      <c r="F450" s="19" t="s">
        <v>28</v>
      </c>
      <c r="G450" s="19" t="s">
        <v>15</v>
      </c>
      <c r="H450" s="20">
        <v>1499</v>
      </c>
      <c r="I450" s="20">
        <v>794.47</v>
      </c>
      <c r="J450" s="21">
        <v>0.3</v>
      </c>
      <c r="K450" s="20">
        <f>Ventas[[#This Row],[Precio]]*$J$4</f>
        <v>239.84</v>
      </c>
      <c r="L450" s="20">
        <f>Ventas[[#This Row],[Precio]]-Ventas[[#This Row],[Costo]]-Ventas[[#This Row],[Desc $]]</f>
        <v>254.82999999999998</v>
      </c>
      <c r="M450" s="20">
        <f>Ventas[[#This Row],[Precio]]*Ventas[[#This Row],[Descuento]]</f>
        <v>449.7</v>
      </c>
    </row>
    <row r="451" spans="1:13" x14ac:dyDescent="0.25">
      <c r="A451" s="16">
        <v>441</v>
      </c>
      <c r="B451" s="18">
        <v>42388</v>
      </c>
      <c r="C451" s="16" t="s">
        <v>29</v>
      </c>
      <c r="D451" s="19" t="s">
        <v>26</v>
      </c>
      <c r="E451" s="19" t="s">
        <v>27</v>
      </c>
      <c r="F451" s="19" t="s">
        <v>30</v>
      </c>
      <c r="G451" s="19" t="s">
        <v>15</v>
      </c>
      <c r="H451" s="20">
        <v>259</v>
      </c>
      <c r="I451" s="20">
        <v>220.15</v>
      </c>
      <c r="J451" s="21">
        <v>0.15</v>
      </c>
      <c r="K451" s="20">
        <f>Ventas[[#This Row],[Precio]]*$J$4</f>
        <v>41.44</v>
      </c>
      <c r="L451" s="20">
        <f>Ventas[[#This Row],[Precio]]-Ventas[[#This Row],[Costo]]-Ventas[[#This Row],[Desc $]]</f>
        <v>0</v>
      </c>
      <c r="M451" s="20">
        <f>Ventas[[#This Row],[Precio]]*Ventas[[#This Row],[Descuento]]</f>
        <v>38.85</v>
      </c>
    </row>
    <row r="452" spans="1:13" x14ac:dyDescent="0.25">
      <c r="A452" s="16">
        <v>442</v>
      </c>
      <c r="B452" s="18">
        <v>42519</v>
      </c>
      <c r="C452" s="16" t="s">
        <v>162</v>
      </c>
      <c r="D452" s="19" t="s">
        <v>22</v>
      </c>
      <c r="E452" s="19" t="s">
        <v>23</v>
      </c>
      <c r="F452" s="19" t="s">
        <v>163</v>
      </c>
      <c r="G452" s="19" t="s">
        <v>15</v>
      </c>
      <c r="H452" s="20">
        <v>1299</v>
      </c>
      <c r="I452" s="20">
        <v>1065.1799999999998</v>
      </c>
      <c r="J452" s="21">
        <v>0</v>
      </c>
      <c r="K452" s="20">
        <f>Ventas[[#This Row],[Precio]]*$J$4</f>
        <v>207.84</v>
      </c>
      <c r="L452" s="20">
        <f>Ventas[[#This Row],[Precio]]-Ventas[[#This Row],[Costo]]-Ventas[[#This Row],[Desc $]]</f>
        <v>233.82000000000016</v>
      </c>
      <c r="M452" s="20">
        <f>Ventas[[#This Row],[Precio]]*Ventas[[#This Row],[Descuento]]</f>
        <v>0</v>
      </c>
    </row>
    <row r="453" spans="1:13" x14ac:dyDescent="0.25">
      <c r="A453" s="16">
        <v>443</v>
      </c>
      <c r="B453" s="18">
        <v>42643</v>
      </c>
      <c r="C453" s="16" t="s">
        <v>51</v>
      </c>
      <c r="D453" s="19" t="s">
        <v>22</v>
      </c>
      <c r="E453" s="19" t="s">
        <v>23</v>
      </c>
      <c r="F453" s="19" t="s">
        <v>52</v>
      </c>
      <c r="G453" s="19" t="s">
        <v>15</v>
      </c>
      <c r="H453" s="20">
        <v>599</v>
      </c>
      <c r="I453" s="20">
        <v>455.24</v>
      </c>
      <c r="J453" s="21">
        <v>0.2</v>
      </c>
      <c r="K453" s="20">
        <f>Ventas[[#This Row],[Precio]]*$J$4</f>
        <v>95.84</v>
      </c>
      <c r="L453" s="20">
        <f>Ventas[[#This Row],[Precio]]-Ventas[[#This Row],[Costo]]-Ventas[[#This Row],[Desc $]]</f>
        <v>23.95999999999998</v>
      </c>
      <c r="M453" s="20">
        <f>Ventas[[#This Row],[Precio]]*Ventas[[#This Row],[Descuento]]</f>
        <v>119.80000000000001</v>
      </c>
    </row>
    <row r="454" spans="1:13" x14ac:dyDescent="0.25">
      <c r="A454" s="16">
        <v>444</v>
      </c>
      <c r="B454" s="18">
        <v>42454</v>
      </c>
      <c r="C454" s="16" t="s">
        <v>94</v>
      </c>
      <c r="D454" s="19" t="s">
        <v>26</v>
      </c>
      <c r="E454" s="19" t="s">
        <v>45</v>
      </c>
      <c r="F454" s="19" t="s">
        <v>95</v>
      </c>
      <c r="G454" s="19" t="s">
        <v>15</v>
      </c>
      <c r="H454" s="20">
        <v>819</v>
      </c>
      <c r="I454" s="20">
        <v>319.41000000000003</v>
      </c>
      <c r="J454" s="21">
        <v>0.15</v>
      </c>
      <c r="K454" s="20">
        <f>Ventas[[#This Row],[Precio]]*$J$4</f>
        <v>131.04</v>
      </c>
      <c r="L454" s="20">
        <f>Ventas[[#This Row],[Precio]]-Ventas[[#This Row],[Costo]]-Ventas[[#This Row],[Desc $]]</f>
        <v>376.74</v>
      </c>
      <c r="M454" s="20">
        <f>Ventas[[#This Row],[Precio]]*Ventas[[#This Row],[Descuento]]</f>
        <v>122.85</v>
      </c>
    </row>
    <row r="455" spans="1:13" x14ac:dyDescent="0.25">
      <c r="A455" s="16">
        <v>445</v>
      </c>
      <c r="B455" s="18">
        <v>42749</v>
      </c>
      <c r="C455" s="16" t="s">
        <v>47</v>
      </c>
      <c r="D455" s="19" t="s">
        <v>26</v>
      </c>
      <c r="E455" s="19" t="s">
        <v>27</v>
      </c>
      <c r="F455" s="19" t="s">
        <v>48</v>
      </c>
      <c r="G455" s="19" t="s">
        <v>15</v>
      </c>
      <c r="H455" s="20">
        <v>699</v>
      </c>
      <c r="I455" s="20">
        <v>482.30999999999995</v>
      </c>
      <c r="J455" s="21">
        <v>0</v>
      </c>
      <c r="K455" s="20">
        <f>Ventas[[#This Row],[Precio]]*$J$4</f>
        <v>111.84</v>
      </c>
      <c r="L455" s="20">
        <f>Ventas[[#This Row],[Precio]]-Ventas[[#This Row],[Costo]]-Ventas[[#This Row],[Desc $]]</f>
        <v>216.69000000000005</v>
      </c>
      <c r="M455" s="20">
        <f>Ventas[[#This Row],[Precio]]*Ventas[[#This Row],[Descuento]]</f>
        <v>0</v>
      </c>
    </row>
    <row r="456" spans="1:13" x14ac:dyDescent="0.25">
      <c r="A456" s="16">
        <v>446</v>
      </c>
      <c r="B456" s="18">
        <v>42693</v>
      </c>
      <c r="C456" s="16" t="s">
        <v>21</v>
      </c>
      <c r="D456" s="19" t="s">
        <v>22</v>
      </c>
      <c r="E456" s="19" t="s">
        <v>23</v>
      </c>
      <c r="F456" s="19" t="s">
        <v>24</v>
      </c>
      <c r="G456" s="19" t="s">
        <v>15</v>
      </c>
      <c r="H456" s="20">
        <v>359</v>
      </c>
      <c r="I456" s="20">
        <v>244.12</v>
      </c>
      <c r="J456" s="21">
        <v>0</v>
      </c>
      <c r="K456" s="20">
        <f>Ventas[[#This Row],[Precio]]*$J$4</f>
        <v>57.44</v>
      </c>
      <c r="L456" s="20">
        <f>Ventas[[#This Row],[Precio]]-Ventas[[#This Row],[Costo]]-Ventas[[#This Row],[Desc $]]</f>
        <v>114.88</v>
      </c>
      <c r="M456" s="20">
        <f>Ventas[[#This Row],[Precio]]*Ventas[[#This Row],[Descuento]]</f>
        <v>0</v>
      </c>
    </row>
    <row r="457" spans="1:13" x14ac:dyDescent="0.25">
      <c r="A457" s="16">
        <v>447</v>
      </c>
      <c r="B457" s="18">
        <v>42424</v>
      </c>
      <c r="C457" s="16" t="s">
        <v>85</v>
      </c>
      <c r="D457" s="19" t="s">
        <v>22</v>
      </c>
      <c r="E457" s="19" t="s">
        <v>86</v>
      </c>
      <c r="F457" s="19" t="s">
        <v>87</v>
      </c>
      <c r="G457" s="19" t="s">
        <v>15</v>
      </c>
      <c r="H457" s="20">
        <v>3999</v>
      </c>
      <c r="I457" s="20">
        <v>1399.6499999999999</v>
      </c>
      <c r="J457" s="21">
        <v>0.15</v>
      </c>
      <c r="K457" s="20">
        <f>Ventas[[#This Row],[Precio]]*$J$4</f>
        <v>639.84</v>
      </c>
      <c r="L457" s="20">
        <f>Ventas[[#This Row],[Precio]]-Ventas[[#This Row],[Costo]]-Ventas[[#This Row],[Desc $]]</f>
        <v>1999.5000000000005</v>
      </c>
      <c r="M457" s="20">
        <f>Ventas[[#This Row],[Precio]]*Ventas[[#This Row],[Descuento]]</f>
        <v>599.85</v>
      </c>
    </row>
    <row r="458" spans="1:13" x14ac:dyDescent="0.25">
      <c r="A458" s="16">
        <v>448</v>
      </c>
      <c r="B458" s="18">
        <v>42769</v>
      </c>
      <c r="C458" s="16" t="s">
        <v>41</v>
      </c>
      <c r="D458" s="19" t="s">
        <v>22</v>
      </c>
      <c r="E458" s="19" t="s">
        <v>18</v>
      </c>
      <c r="F458" s="19" t="s">
        <v>42</v>
      </c>
      <c r="G458" s="19" t="s">
        <v>43</v>
      </c>
      <c r="H458" s="20">
        <v>1149</v>
      </c>
      <c r="I458" s="20">
        <v>896.22</v>
      </c>
      <c r="J458" s="21">
        <v>0</v>
      </c>
      <c r="K458" s="20">
        <f>Ventas[[#This Row],[Precio]]*$J$4</f>
        <v>183.84</v>
      </c>
      <c r="L458" s="20">
        <f>Ventas[[#This Row],[Precio]]-Ventas[[#This Row],[Costo]]-Ventas[[#This Row],[Desc $]]</f>
        <v>252.77999999999997</v>
      </c>
      <c r="M458" s="20">
        <f>Ventas[[#This Row],[Precio]]*Ventas[[#This Row],[Descuento]]</f>
        <v>0</v>
      </c>
    </row>
    <row r="459" spans="1:13" x14ac:dyDescent="0.25">
      <c r="A459" s="16">
        <v>449</v>
      </c>
      <c r="B459" s="18">
        <v>42631</v>
      </c>
      <c r="C459" s="16" t="s">
        <v>51</v>
      </c>
      <c r="D459" s="19" t="s">
        <v>22</v>
      </c>
      <c r="E459" s="19" t="s">
        <v>23</v>
      </c>
      <c r="F459" s="19" t="s">
        <v>52</v>
      </c>
      <c r="G459" s="19" t="s">
        <v>15</v>
      </c>
      <c r="H459" s="20">
        <v>599</v>
      </c>
      <c r="I459" s="20">
        <v>455.24</v>
      </c>
      <c r="J459" s="21">
        <v>0.1</v>
      </c>
      <c r="K459" s="20">
        <f>Ventas[[#This Row],[Precio]]*$J$4</f>
        <v>95.84</v>
      </c>
      <c r="L459" s="20">
        <f>Ventas[[#This Row],[Precio]]-Ventas[[#This Row],[Costo]]-Ventas[[#This Row],[Desc $]]</f>
        <v>83.859999999999985</v>
      </c>
      <c r="M459" s="20">
        <f>Ventas[[#This Row],[Precio]]*Ventas[[#This Row],[Descuento]]</f>
        <v>59.900000000000006</v>
      </c>
    </row>
    <row r="460" spans="1:13" x14ac:dyDescent="0.25">
      <c r="A460" s="16">
        <v>450</v>
      </c>
      <c r="B460" s="18">
        <v>42643</v>
      </c>
      <c r="C460" s="16" t="s">
        <v>134</v>
      </c>
      <c r="D460" s="19" t="s">
        <v>22</v>
      </c>
      <c r="E460" s="19" t="s">
        <v>18</v>
      </c>
      <c r="F460" s="19" t="s">
        <v>135</v>
      </c>
      <c r="G460" s="19" t="s">
        <v>33</v>
      </c>
      <c r="H460" s="20">
        <v>409</v>
      </c>
      <c r="I460" s="20">
        <v>237.21999999999997</v>
      </c>
      <c r="J460" s="21">
        <v>0.2</v>
      </c>
      <c r="K460" s="20">
        <f>Ventas[[#This Row],[Precio]]*$J$4</f>
        <v>65.44</v>
      </c>
      <c r="L460" s="20">
        <f>Ventas[[#This Row],[Precio]]-Ventas[[#This Row],[Costo]]-Ventas[[#This Row],[Desc $]]</f>
        <v>89.980000000000018</v>
      </c>
      <c r="M460" s="20">
        <f>Ventas[[#This Row],[Precio]]*Ventas[[#This Row],[Descuento]]</f>
        <v>81.800000000000011</v>
      </c>
    </row>
    <row r="461" spans="1:13" x14ac:dyDescent="0.25">
      <c r="A461" s="16">
        <v>451</v>
      </c>
      <c r="B461" s="18">
        <v>42404</v>
      </c>
      <c r="C461" s="16" t="s">
        <v>11</v>
      </c>
      <c r="D461" s="19" t="s">
        <v>12</v>
      </c>
      <c r="E461" s="19" t="s">
        <v>13</v>
      </c>
      <c r="F461" s="19" t="s">
        <v>14</v>
      </c>
      <c r="G461" s="19" t="s">
        <v>15</v>
      </c>
      <c r="H461" s="20">
        <v>1299</v>
      </c>
      <c r="I461" s="20">
        <v>727.44</v>
      </c>
      <c r="J461" s="21">
        <v>0.15</v>
      </c>
      <c r="K461" s="20">
        <f>Ventas[[#This Row],[Precio]]*$J$4</f>
        <v>207.84</v>
      </c>
      <c r="L461" s="20">
        <f>Ventas[[#This Row],[Precio]]-Ventas[[#This Row],[Costo]]-Ventas[[#This Row],[Desc $]]</f>
        <v>376.70999999999992</v>
      </c>
      <c r="M461" s="20">
        <f>Ventas[[#This Row],[Precio]]*Ventas[[#This Row],[Descuento]]</f>
        <v>194.85</v>
      </c>
    </row>
    <row r="462" spans="1:13" x14ac:dyDescent="0.25">
      <c r="A462" s="16">
        <v>452</v>
      </c>
      <c r="B462" s="18">
        <v>42454</v>
      </c>
      <c r="C462" s="16" t="s">
        <v>148</v>
      </c>
      <c r="D462" s="19" t="s">
        <v>22</v>
      </c>
      <c r="E462" s="19" t="s">
        <v>18</v>
      </c>
      <c r="F462" s="19" t="s">
        <v>149</v>
      </c>
      <c r="G462" s="19" t="s">
        <v>33</v>
      </c>
      <c r="H462" s="20">
        <v>899</v>
      </c>
      <c r="I462" s="20">
        <v>719.2</v>
      </c>
      <c r="J462" s="21">
        <v>0.15</v>
      </c>
      <c r="K462" s="20">
        <f>Ventas[[#This Row],[Precio]]*$J$4</f>
        <v>143.84</v>
      </c>
      <c r="L462" s="20">
        <f>Ventas[[#This Row],[Precio]]-Ventas[[#This Row],[Costo]]-Ventas[[#This Row],[Desc $]]</f>
        <v>44.94999999999996</v>
      </c>
      <c r="M462" s="20">
        <f>Ventas[[#This Row],[Precio]]*Ventas[[#This Row],[Descuento]]</f>
        <v>134.85</v>
      </c>
    </row>
    <row r="463" spans="1:13" x14ac:dyDescent="0.25">
      <c r="A463" s="16">
        <v>453</v>
      </c>
      <c r="B463" s="18">
        <v>42631</v>
      </c>
      <c r="C463" s="16" t="s">
        <v>31</v>
      </c>
      <c r="D463" s="19" t="s">
        <v>22</v>
      </c>
      <c r="E463" s="19" t="s">
        <v>18</v>
      </c>
      <c r="F463" s="19" t="s">
        <v>32</v>
      </c>
      <c r="G463" s="19" t="s">
        <v>33</v>
      </c>
      <c r="H463" s="20">
        <v>1199</v>
      </c>
      <c r="I463" s="20">
        <v>887.26</v>
      </c>
      <c r="J463" s="21">
        <v>0.1</v>
      </c>
      <c r="K463" s="20">
        <f>Ventas[[#This Row],[Precio]]*$J$4</f>
        <v>191.84</v>
      </c>
      <c r="L463" s="20">
        <f>Ventas[[#This Row],[Precio]]-Ventas[[#This Row],[Costo]]-Ventas[[#This Row],[Desc $]]</f>
        <v>191.84</v>
      </c>
      <c r="M463" s="20">
        <f>Ventas[[#This Row],[Precio]]*Ventas[[#This Row],[Descuento]]</f>
        <v>119.9</v>
      </c>
    </row>
    <row r="464" spans="1:13" x14ac:dyDescent="0.25">
      <c r="A464" s="16">
        <v>454</v>
      </c>
      <c r="B464" s="18">
        <v>42693</v>
      </c>
      <c r="C464" s="16" t="s">
        <v>41</v>
      </c>
      <c r="D464" s="19" t="s">
        <v>22</v>
      </c>
      <c r="E464" s="19" t="s">
        <v>18</v>
      </c>
      <c r="F464" s="19" t="s">
        <v>42</v>
      </c>
      <c r="G464" s="19" t="s">
        <v>43</v>
      </c>
      <c r="H464" s="20">
        <v>1149</v>
      </c>
      <c r="I464" s="20">
        <v>896.22</v>
      </c>
      <c r="J464" s="21">
        <v>0</v>
      </c>
      <c r="K464" s="20">
        <f>Ventas[[#This Row],[Precio]]*$J$4</f>
        <v>183.84</v>
      </c>
      <c r="L464" s="20">
        <f>Ventas[[#This Row],[Precio]]-Ventas[[#This Row],[Costo]]-Ventas[[#This Row],[Desc $]]</f>
        <v>252.77999999999997</v>
      </c>
      <c r="M464" s="20">
        <f>Ventas[[#This Row],[Precio]]*Ventas[[#This Row],[Descuento]]</f>
        <v>0</v>
      </c>
    </row>
    <row r="465" spans="1:13" x14ac:dyDescent="0.25">
      <c r="A465" s="16">
        <v>455</v>
      </c>
      <c r="B465" s="18">
        <v>42493</v>
      </c>
      <c r="C465" s="16" t="s">
        <v>41</v>
      </c>
      <c r="D465" s="19" t="s">
        <v>22</v>
      </c>
      <c r="E465" s="19" t="s">
        <v>18</v>
      </c>
      <c r="F465" s="19" t="s">
        <v>42</v>
      </c>
      <c r="G465" s="19" t="s">
        <v>43</v>
      </c>
      <c r="H465" s="20">
        <v>1149</v>
      </c>
      <c r="I465" s="20">
        <v>896.22</v>
      </c>
      <c r="J465" s="21">
        <v>0</v>
      </c>
      <c r="K465" s="20">
        <f>Ventas[[#This Row],[Precio]]*$J$4</f>
        <v>183.84</v>
      </c>
      <c r="L465" s="20">
        <f>Ventas[[#This Row],[Precio]]-Ventas[[#This Row],[Costo]]-Ventas[[#This Row],[Desc $]]</f>
        <v>252.77999999999997</v>
      </c>
      <c r="M465" s="20">
        <f>Ventas[[#This Row],[Precio]]*Ventas[[#This Row],[Descuento]]</f>
        <v>0</v>
      </c>
    </row>
    <row r="466" spans="1:13" x14ac:dyDescent="0.25">
      <c r="A466" s="16">
        <v>456</v>
      </c>
      <c r="B466" s="18">
        <v>42665</v>
      </c>
      <c r="C466" s="16" t="s">
        <v>173</v>
      </c>
      <c r="D466" s="19" t="s">
        <v>22</v>
      </c>
      <c r="E466" s="19" t="s">
        <v>18</v>
      </c>
      <c r="F466" s="19" t="s">
        <v>174</v>
      </c>
      <c r="G466" s="19" t="s">
        <v>43</v>
      </c>
      <c r="H466" s="20">
        <v>1199</v>
      </c>
      <c r="I466" s="20">
        <v>971.19</v>
      </c>
      <c r="J466" s="21">
        <v>0</v>
      </c>
      <c r="K466" s="20">
        <f>Ventas[[#This Row],[Precio]]*$J$4</f>
        <v>191.84</v>
      </c>
      <c r="L466" s="20">
        <f>Ventas[[#This Row],[Precio]]-Ventas[[#This Row],[Costo]]-Ventas[[#This Row],[Desc $]]</f>
        <v>227.80999999999995</v>
      </c>
      <c r="M466" s="20">
        <f>Ventas[[#This Row],[Precio]]*Ventas[[#This Row],[Descuento]]</f>
        <v>0</v>
      </c>
    </row>
    <row r="467" spans="1:13" x14ac:dyDescent="0.25">
      <c r="A467" s="16">
        <v>457</v>
      </c>
      <c r="B467" s="18">
        <v>42657</v>
      </c>
      <c r="C467" s="16" t="s">
        <v>41</v>
      </c>
      <c r="D467" s="19" t="s">
        <v>22</v>
      </c>
      <c r="E467" s="19" t="s">
        <v>18</v>
      </c>
      <c r="F467" s="19" t="s">
        <v>42</v>
      </c>
      <c r="G467" s="19" t="s">
        <v>43</v>
      </c>
      <c r="H467" s="20">
        <v>1149</v>
      </c>
      <c r="I467" s="20">
        <v>896.22</v>
      </c>
      <c r="J467" s="21">
        <v>0.15</v>
      </c>
      <c r="K467" s="20">
        <f>Ventas[[#This Row],[Precio]]*$J$4</f>
        <v>183.84</v>
      </c>
      <c r="L467" s="20">
        <f>Ventas[[#This Row],[Precio]]-Ventas[[#This Row],[Costo]]-Ventas[[#This Row],[Desc $]]</f>
        <v>80.429999999999978</v>
      </c>
      <c r="M467" s="20">
        <f>Ventas[[#This Row],[Precio]]*Ventas[[#This Row],[Descuento]]</f>
        <v>172.35</v>
      </c>
    </row>
    <row r="468" spans="1:13" x14ac:dyDescent="0.25">
      <c r="A468" s="16">
        <v>458</v>
      </c>
      <c r="B468" s="18">
        <v>42814</v>
      </c>
      <c r="C468" s="16" t="s">
        <v>175</v>
      </c>
      <c r="D468" s="19" t="s">
        <v>26</v>
      </c>
      <c r="E468" s="19" t="s">
        <v>27</v>
      </c>
      <c r="F468" s="19" t="s">
        <v>176</v>
      </c>
      <c r="G468" s="19" t="s">
        <v>15</v>
      </c>
      <c r="H468" s="20">
        <v>699</v>
      </c>
      <c r="I468" s="20">
        <v>307.56</v>
      </c>
      <c r="J468" s="21">
        <v>0</v>
      </c>
      <c r="K468" s="20">
        <f>Ventas[[#This Row],[Precio]]*$J$4</f>
        <v>111.84</v>
      </c>
      <c r="L468" s="20">
        <f>Ventas[[#This Row],[Precio]]-Ventas[[#This Row],[Costo]]-Ventas[[#This Row],[Desc $]]</f>
        <v>391.44</v>
      </c>
      <c r="M468" s="20">
        <f>Ventas[[#This Row],[Precio]]*Ventas[[#This Row],[Descuento]]</f>
        <v>0</v>
      </c>
    </row>
    <row r="469" spans="1:13" x14ac:dyDescent="0.25">
      <c r="A469" s="16">
        <v>459</v>
      </c>
      <c r="B469" s="18">
        <v>42696</v>
      </c>
      <c r="C469" s="16" t="s">
        <v>41</v>
      </c>
      <c r="D469" s="19" t="s">
        <v>22</v>
      </c>
      <c r="E469" s="19" t="s">
        <v>18</v>
      </c>
      <c r="F469" s="19" t="s">
        <v>42</v>
      </c>
      <c r="G469" s="19" t="s">
        <v>43</v>
      </c>
      <c r="H469" s="20">
        <v>1149</v>
      </c>
      <c r="I469" s="20">
        <v>896.22</v>
      </c>
      <c r="J469" s="21">
        <v>0</v>
      </c>
      <c r="K469" s="20">
        <f>Ventas[[#This Row],[Precio]]*$J$4</f>
        <v>183.84</v>
      </c>
      <c r="L469" s="20">
        <f>Ventas[[#This Row],[Precio]]-Ventas[[#This Row],[Costo]]-Ventas[[#This Row],[Desc $]]</f>
        <v>252.77999999999997</v>
      </c>
      <c r="M469" s="20">
        <f>Ventas[[#This Row],[Precio]]*Ventas[[#This Row],[Descuento]]</f>
        <v>0</v>
      </c>
    </row>
    <row r="470" spans="1:13" x14ac:dyDescent="0.25">
      <c r="A470" s="16">
        <v>460</v>
      </c>
      <c r="B470" s="18">
        <v>42485</v>
      </c>
      <c r="C470" s="16" t="s">
        <v>177</v>
      </c>
      <c r="D470" s="19" t="s">
        <v>12</v>
      </c>
      <c r="E470" s="19" t="s">
        <v>13</v>
      </c>
      <c r="F470" s="19" t="s">
        <v>178</v>
      </c>
      <c r="G470" s="19" t="s">
        <v>15</v>
      </c>
      <c r="H470" s="20">
        <v>999</v>
      </c>
      <c r="I470" s="20">
        <v>489.51</v>
      </c>
      <c r="J470" s="21">
        <v>0</v>
      </c>
      <c r="K470" s="20">
        <f>Ventas[[#This Row],[Precio]]*$J$4</f>
        <v>159.84</v>
      </c>
      <c r="L470" s="20">
        <f>Ventas[[#This Row],[Precio]]-Ventas[[#This Row],[Costo]]-Ventas[[#This Row],[Desc $]]</f>
        <v>509.49</v>
      </c>
      <c r="M470" s="20">
        <f>Ventas[[#This Row],[Precio]]*Ventas[[#This Row],[Descuento]]</f>
        <v>0</v>
      </c>
    </row>
    <row r="471" spans="1:13" x14ac:dyDescent="0.25">
      <c r="A471" s="16">
        <v>461</v>
      </c>
      <c r="B471" s="18">
        <v>42546</v>
      </c>
      <c r="C471" s="16" t="s">
        <v>171</v>
      </c>
      <c r="D471" s="19" t="s">
        <v>26</v>
      </c>
      <c r="E471" s="19" t="s">
        <v>45</v>
      </c>
      <c r="F471" s="19" t="s">
        <v>172</v>
      </c>
      <c r="G471" s="19" t="s">
        <v>15</v>
      </c>
      <c r="H471" s="20">
        <v>799</v>
      </c>
      <c r="I471" s="20">
        <v>679.15</v>
      </c>
      <c r="J471" s="21">
        <v>0.2</v>
      </c>
      <c r="K471" s="20">
        <f>Ventas[[#This Row],[Precio]]*$J$4</f>
        <v>127.84</v>
      </c>
      <c r="L471" s="20">
        <f>Ventas[[#This Row],[Precio]]-Ventas[[#This Row],[Costo]]-Ventas[[#This Row],[Desc $]]</f>
        <v>-39.949999999999989</v>
      </c>
      <c r="M471" s="20">
        <f>Ventas[[#This Row],[Precio]]*Ventas[[#This Row],[Descuento]]</f>
        <v>159.80000000000001</v>
      </c>
    </row>
    <row r="472" spans="1:13" x14ac:dyDescent="0.25">
      <c r="A472" s="16">
        <v>462</v>
      </c>
      <c r="B472" s="18">
        <v>42697</v>
      </c>
      <c r="C472" s="16" t="s">
        <v>25</v>
      </c>
      <c r="D472" s="19" t="s">
        <v>26</v>
      </c>
      <c r="E472" s="19" t="s">
        <v>27</v>
      </c>
      <c r="F472" s="19" t="s">
        <v>28</v>
      </c>
      <c r="G472" s="19" t="s">
        <v>15</v>
      </c>
      <c r="H472" s="20">
        <v>1499</v>
      </c>
      <c r="I472" s="20">
        <v>794.47</v>
      </c>
      <c r="J472" s="21">
        <v>0</v>
      </c>
      <c r="K472" s="20">
        <f>Ventas[[#This Row],[Precio]]*$J$4</f>
        <v>239.84</v>
      </c>
      <c r="L472" s="20">
        <f>Ventas[[#This Row],[Precio]]-Ventas[[#This Row],[Costo]]-Ventas[[#This Row],[Desc $]]</f>
        <v>704.53</v>
      </c>
      <c r="M472" s="20">
        <f>Ventas[[#This Row],[Precio]]*Ventas[[#This Row],[Descuento]]</f>
        <v>0</v>
      </c>
    </row>
    <row r="473" spans="1:13" x14ac:dyDescent="0.25">
      <c r="A473" s="16">
        <v>463</v>
      </c>
      <c r="B473" s="18">
        <v>42638</v>
      </c>
      <c r="C473" s="16" t="s">
        <v>128</v>
      </c>
      <c r="D473" s="19" t="s">
        <v>26</v>
      </c>
      <c r="E473" s="19" t="s">
        <v>45</v>
      </c>
      <c r="F473" s="19" t="s">
        <v>129</v>
      </c>
      <c r="G473" s="19" t="s">
        <v>15</v>
      </c>
      <c r="H473" s="20">
        <v>399</v>
      </c>
      <c r="I473" s="20">
        <v>323.19</v>
      </c>
      <c r="J473" s="21">
        <v>0</v>
      </c>
      <c r="K473" s="20">
        <f>Ventas[[#This Row],[Precio]]*$J$4</f>
        <v>63.84</v>
      </c>
      <c r="L473" s="20">
        <f>Ventas[[#This Row],[Precio]]-Ventas[[#This Row],[Costo]]-Ventas[[#This Row],[Desc $]]</f>
        <v>75.81</v>
      </c>
      <c r="M473" s="20">
        <f>Ventas[[#This Row],[Precio]]*Ventas[[#This Row],[Descuento]]</f>
        <v>0</v>
      </c>
    </row>
    <row r="474" spans="1:13" x14ac:dyDescent="0.25">
      <c r="A474" s="16">
        <v>464</v>
      </c>
      <c r="B474" s="18">
        <v>42822</v>
      </c>
      <c r="C474" s="16" t="s">
        <v>88</v>
      </c>
      <c r="D474" s="19" t="s">
        <v>22</v>
      </c>
      <c r="E474" s="19" t="s">
        <v>86</v>
      </c>
      <c r="F474" s="19" t="s">
        <v>89</v>
      </c>
      <c r="G474" s="19" t="s">
        <v>15</v>
      </c>
      <c r="H474" s="20">
        <v>7999</v>
      </c>
      <c r="I474" s="20">
        <v>2399.6999999999998</v>
      </c>
      <c r="J474" s="21">
        <v>0</v>
      </c>
      <c r="K474" s="20">
        <f>Ventas[[#This Row],[Precio]]*$J$4</f>
        <v>1279.8399999999999</v>
      </c>
      <c r="L474" s="20">
        <f>Ventas[[#This Row],[Precio]]-Ventas[[#This Row],[Costo]]-Ventas[[#This Row],[Desc $]]</f>
        <v>5599.3</v>
      </c>
      <c r="M474" s="20">
        <f>Ventas[[#This Row],[Precio]]*Ventas[[#This Row],[Descuento]]</f>
        <v>0</v>
      </c>
    </row>
    <row r="475" spans="1:13" x14ac:dyDescent="0.25">
      <c r="A475" s="16">
        <v>465</v>
      </c>
      <c r="B475" s="18">
        <v>42767</v>
      </c>
      <c r="C475" s="16" t="s">
        <v>96</v>
      </c>
      <c r="D475" s="19" t="s">
        <v>12</v>
      </c>
      <c r="E475" s="19" t="s">
        <v>35</v>
      </c>
      <c r="F475" s="19" t="s">
        <v>97</v>
      </c>
      <c r="G475" s="19" t="s">
        <v>15</v>
      </c>
      <c r="H475" s="20">
        <v>11999</v>
      </c>
      <c r="I475" s="20">
        <v>7799.35</v>
      </c>
      <c r="J475" s="21">
        <v>0</v>
      </c>
      <c r="K475" s="20">
        <f>Ventas[[#This Row],[Precio]]*$J$4</f>
        <v>1919.8400000000001</v>
      </c>
      <c r="L475" s="20">
        <f>Ventas[[#This Row],[Precio]]-Ventas[[#This Row],[Costo]]-Ventas[[#This Row],[Desc $]]</f>
        <v>4199.6499999999996</v>
      </c>
      <c r="M475" s="20">
        <f>Ventas[[#This Row],[Precio]]*Ventas[[#This Row],[Descuento]]</f>
        <v>0</v>
      </c>
    </row>
    <row r="476" spans="1:13" x14ac:dyDescent="0.25">
      <c r="A476" s="16">
        <v>466</v>
      </c>
      <c r="B476" s="18">
        <v>42506</v>
      </c>
      <c r="C476" s="16" t="s">
        <v>47</v>
      </c>
      <c r="D476" s="19" t="s">
        <v>26</v>
      </c>
      <c r="E476" s="19" t="s">
        <v>27</v>
      </c>
      <c r="F476" s="19" t="s">
        <v>48</v>
      </c>
      <c r="G476" s="19" t="s">
        <v>15</v>
      </c>
      <c r="H476" s="20">
        <v>699</v>
      </c>
      <c r="I476" s="20">
        <v>482.30999999999995</v>
      </c>
      <c r="J476" s="21">
        <v>0.3</v>
      </c>
      <c r="K476" s="20">
        <f>Ventas[[#This Row],[Precio]]*$J$4</f>
        <v>111.84</v>
      </c>
      <c r="L476" s="20">
        <f>Ventas[[#This Row],[Precio]]-Ventas[[#This Row],[Costo]]-Ventas[[#This Row],[Desc $]]</f>
        <v>6.9900000000000659</v>
      </c>
      <c r="M476" s="20">
        <f>Ventas[[#This Row],[Precio]]*Ventas[[#This Row],[Descuento]]</f>
        <v>209.7</v>
      </c>
    </row>
    <row r="477" spans="1:13" x14ac:dyDescent="0.25">
      <c r="A477" s="16">
        <v>467</v>
      </c>
      <c r="B477" s="18">
        <v>42661</v>
      </c>
      <c r="C477" s="16" t="s">
        <v>100</v>
      </c>
      <c r="D477" s="19" t="s">
        <v>12</v>
      </c>
      <c r="E477" s="19" t="s">
        <v>35</v>
      </c>
      <c r="F477" s="19" t="s">
        <v>101</v>
      </c>
      <c r="G477" s="19" t="s">
        <v>15</v>
      </c>
      <c r="H477" s="20">
        <v>7599</v>
      </c>
      <c r="I477" s="20">
        <v>6307.17</v>
      </c>
      <c r="J477" s="21">
        <v>0</v>
      </c>
      <c r="K477" s="20">
        <f>Ventas[[#This Row],[Precio]]*$J$4</f>
        <v>1215.8399999999999</v>
      </c>
      <c r="L477" s="20">
        <f>Ventas[[#This Row],[Precio]]-Ventas[[#This Row],[Costo]]-Ventas[[#This Row],[Desc $]]</f>
        <v>1291.83</v>
      </c>
      <c r="M477" s="20">
        <f>Ventas[[#This Row],[Precio]]*Ventas[[#This Row],[Descuento]]</f>
        <v>0</v>
      </c>
    </row>
    <row r="478" spans="1:13" x14ac:dyDescent="0.25">
      <c r="A478" s="16">
        <v>468</v>
      </c>
      <c r="B478" s="18">
        <v>42388</v>
      </c>
      <c r="C478" s="16" t="s">
        <v>11</v>
      </c>
      <c r="D478" s="19" t="s">
        <v>12</v>
      </c>
      <c r="E478" s="19" t="s">
        <v>13</v>
      </c>
      <c r="F478" s="19" t="s">
        <v>14</v>
      </c>
      <c r="G478" s="19" t="s">
        <v>15</v>
      </c>
      <c r="H478" s="20">
        <v>1299</v>
      </c>
      <c r="I478" s="20">
        <v>727.44</v>
      </c>
      <c r="J478" s="21">
        <v>0.15</v>
      </c>
      <c r="K478" s="20">
        <f>Ventas[[#This Row],[Precio]]*$J$4</f>
        <v>207.84</v>
      </c>
      <c r="L478" s="20">
        <f>Ventas[[#This Row],[Precio]]-Ventas[[#This Row],[Costo]]-Ventas[[#This Row],[Desc $]]</f>
        <v>376.70999999999992</v>
      </c>
      <c r="M478" s="20">
        <f>Ventas[[#This Row],[Precio]]*Ventas[[#This Row],[Descuento]]</f>
        <v>194.85</v>
      </c>
    </row>
    <row r="479" spans="1:13" x14ac:dyDescent="0.25">
      <c r="A479" s="16">
        <v>469</v>
      </c>
      <c r="B479" s="18">
        <v>42534</v>
      </c>
      <c r="C479" s="16" t="s">
        <v>134</v>
      </c>
      <c r="D479" s="19" t="s">
        <v>22</v>
      </c>
      <c r="E479" s="19" t="s">
        <v>18</v>
      </c>
      <c r="F479" s="19" t="s">
        <v>135</v>
      </c>
      <c r="G479" s="19" t="s">
        <v>33</v>
      </c>
      <c r="H479" s="20">
        <v>409</v>
      </c>
      <c r="I479" s="20">
        <v>237.21999999999997</v>
      </c>
      <c r="J479" s="21">
        <v>0</v>
      </c>
      <c r="K479" s="20">
        <f>Ventas[[#This Row],[Precio]]*$J$4</f>
        <v>65.44</v>
      </c>
      <c r="L479" s="20">
        <f>Ventas[[#This Row],[Precio]]-Ventas[[#This Row],[Costo]]-Ventas[[#This Row],[Desc $]]</f>
        <v>171.78000000000003</v>
      </c>
      <c r="M479" s="20">
        <f>Ventas[[#This Row],[Precio]]*Ventas[[#This Row],[Descuento]]</f>
        <v>0</v>
      </c>
    </row>
    <row r="480" spans="1:13" x14ac:dyDescent="0.25">
      <c r="A480" s="16">
        <v>470</v>
      </c>
      <c r="B480" s="18">
        <v>42684</v>
      </c>
      <c r="C480" s="16" t="s">
        <v>61</v>
      </c>
      <c r="D480" s="19" t="s">
        <v>26</v>
      </c>
      <c r="E480" s="19" t="s">
        <v>45</v>
      </c>
      <c r="F480" s="19" t="s">
        <v>62</v>
      </c>
      <c r="G480" s="19" t="s">
        <v>15</v>
      </c>
      <c r="H480" s="20">
        <v>799</v>
      </c>
      <c r="I480" s="20">
        <v>679.15</v>
      </c>
      <c r="J480" s="21">
        <v>0.2</v>
      </c>
      <c r="K480" s="20">
        <f>Ventas[[#This Row],[Precio]]*$J$4</f>
        <v>127.84</v>
      </c>
      <c r="L480" s="20">
        <f>Ventas[[#This Row],[Precio]]-Ventas[[#This Row],[Costo]]-Ventas[[#This Row],[Desc $]]</f>
        <v>-39.949999999999989</v>
      </c>
      <c r="M480" s="20">
        <f>Ventas[[#This Row],[Precio]]*Ventas[[#This Row],[Descuento]]</f>
        <v>159.80000000000001</v>
      </c>
    </row>
    <row r="481" spans="1:13" x14ac:dyDescent="0.25">
      <c r="A481" s="16">
        <v>471</v>
      </c>
      <c r="B481" s="18">
        <v>42672</v>
      </c>
      <c r="C481" s="16" t="s">
        <v>11</v>
      </c>
      <c r="D481" s="19" t="s">
        <v>12</v>
      </c>
      <c r="E481" s="19" t="s">
        <v>13</v>
      </c>
      <c r="F481" s="19" t="s">
        <v>14</v>
      </c>
      <c r="G481" s="19" t="s">
        <v>15</v>
      </c>
      <c r="H481" s="20">
        <v>1299</v>
      </c>
      <c r="I481" s="20">
        <v>727.44</v>
      </c>
      <c r="J481" s="21">
        <v>0.15</v>
      </c>
      <c r="K481" s="20">
        <f>Ventas[[#This Row],[Precio]]*$J$4</f>
        <v>207.84</v>
      </c>
      <c r="L481" s="20">
        <f>Ventas[[#This Row],[Precio]]-Ventas[[#This Row],[Costo]]-Ventas[[#This Row],[Desc $]]</f>
        <v>376.70999999999992</v>
      </c>
      <c r="M481" s="20">
        <f>Ventas[[#This Row],[Precio]]*Ventas[[#This Row],[Descuento]]</f>
        <v>194.85</v>
      </c>
    </row>
    <row r="482" spans="1:13" x14ac:dyDescent="0.25">
      <c r="A482" s="16">
        <v>472</v>
      </c>
      <c r="B482" s="18">
        <v>42672</v>
      </c>
      <c r="C482" s="16" t="s">
        <v>65</v>
      </c>
      <c r="D482" s="19" t="s">
        <v>12</v>
      </c>
      <c r="E482" s="19" t="s">
        <v>13</v>
      </c>
      <c r="F482" s="19" t="s">
        <v>66</v>
      </c>
      <c r="G482" s="19" t="s">
        <v>15</v>
      </c>
      <c r="H482" s="20">
        <v>1499</v>
      </c>
      <c r="I482" s="20">
        <v>584.61</v>
      </c>
      <c r="J482" s="21">
        <v>0.15</v>
      </c>
      <c r="K482" s="20">
        <f>Ventas[[#This Row],[Precio]]*$J$4</f>
        <v>239.84</v>
      </c>
      <c r="L482" s="20">
        <f>Ventas[[#This Row],[Precio]]-Ventas[[#This Row],[Costo]]-Ventas[[#This Row],[Desc $]]</f>
        <v>689.54</v>
      </c>
      <c r="M482" s="20">
        <f>Ventas[[#This Row],[Precio]]*Ventas[[#This Row],[Descuento]]</f>
        <v>224.85</v>
      </c>
    </row>
    <row r="483" spans="1:13" x14ac:dyDescent="0.25">
      <c r="A483" s="16">
        <v>473</v>
      </c>
      <c r="B483" s="18">
        <v>42567</v>
      </c>
      <c r="C483" s="16" t="s">
        <v>41</v>
      </c>
      <c r="D483" s="19" t="s">
        <v>22</v>
      </c>
      <c r="E483" s="19" t="s">
        <v>18</v>
      </c>
      <c r="F483" s="19" t="s">
        <v>42</v>
      </c>
      <c r="G483" s="19" t="s">
        <v>43</v>
      </c>
      <c r="H483" s="20">
        <v>1149</v>
      </c>
      <c r="I483" s="20">
        <v>896.22</v>
      </c>
      <c r="J483" s="21">
        <v>0</v>
      </c>
      <c r="K483" s="20">
        <f>Ventas[[#This Row],[Precio]]*$J$4</f>
        <v>183.84</v>
      </c>
      <c r="L483" s="20">
        <f>Ventas[[#This Row],[Precio]]-Ventas[[#This Row],[Costo]]-Ventas[[#This Row],[Desc $]]</f>
        <v>252.77999999999997</v>
      </c>
      <c r="M483" s="20">
        <f>Ventas[[#This Row],[Precio]]*Ventas[[#This Row],[Descuento]]</f>
        <v>0</v>
      </c>
    </row>
    <row r="484" spans="1:13" x14ac:dyDescent="0.25">
      <c r="A484" s="16">
        <v>474</v>
      </c>
      <c r="B484" s="18">
        <v>42571</v>
      </c>
      <c r="C484" s="16" t="s">
        <v>41</v>
      </c>
      <c r="D484" s="19" t="s">
        <v>22</v>
      </c>
      <c r="E484" s="19" t="s">
        <v>18</v>
      </c>
      <c r="F484" s="19" t="s">
        <v>42</v>
      </c>
      <c r="G484" s="19" t="s">
        <v>43</v>
      </c>
      <c r="H484" s="20">
        <v>1149</v>
      </c>
      <c r="I484" s="20">
        <v>896.22</v>
      </c>
      <c r="J484" s="21">
        <v>0</v>
      </c>
      <c r="K484" s="20">
        <f>Ventas[[#This Row],[Precio]]*$J$4</f>
        <v>183.84</v>
      </c>
      <c r="L484" s="20">
        <f>Ventas[[#This Row],[Precio]]-Ventas[[#This Row],[Costo]]-Ventas[[#This Row],[Desc $]]</f>
        <v>252.77999999999997</v>
      </c>
      <c r="M484" s="20">
        <f>Ventas[[#This Row],[Precio]]*Ventas[[#This Row],[Descuento]]</f>
        <v>0</v>
      </c>
    </row>
    <row r="485" spans="1:13" x14ac:dyDescent="0.25">
      <c r="A485" s="16">
        <v>475</v>
      </c>
      <c r="B485" s="18">
        <v>42729</v>
      </c>
      <c r="C485" s="16" t="s">
        <v>25</v>
      </c>
      <c r="D485" s="19" t="s">
        <v>26</v>
      </c>
      <c r="E485" s="19" t="s">
        <v>27</v>
      </c>
      <c r="F485" s="19" t="s">
        <v>28</v>
      </c>
      <c r="G485" s="19" t="s">
        <v>15</v>
      </c>
      <c r="H485" s="20">
        <v>1499</v>
      </c>
      <c r="I485" s="20">
        <v>794.47</v>
      </c>
      <c r="J485" s="21">
        <v>0</v>
      </c>
      <c r="K485" s="20">
        <f>Ventas[[#This Row],[Precio]]*$J$4</f>
        <v>239.84</v>
      </c>
      <c r="L485" s="20">
        <f>Ventas[[#This Row],[Precio]]-Ventas[[#This Row],[Costo]]-Ventas[[#This Row],[Desc $]]</f>
        <v>704.53</v>
      </c>
      <c r="M485" s="20">
        <f>Ventas[[#This Row],[Precio]]*Ventas[[#This Row],[Descuento]]</f>
        <v>0</v>
      </c>
    </row>
    <row r="486" spans="1:13" x14ac:dyDescent="0.25">
      <c r="A486" s="16">
        <v>476</v>
      </c>
      <c r="B486" s="18">
        <v>42439</v>
      </c>
      <c r="C486" s="16" t="s">
        <v>72</v>
      </c>
      <c r="D486" s="19" t="s">
        <v>22</v>
      </c>
      <c r="E486" s="19" t="s">
        <v>18</v>
      </c>
      <c r="F486" s="19" t="s">
        <v>73</v>
      </c>
      <c r="G486" s="19" t="s">
        <v>69</v>
      </c>
      <c r="H486" s="20">
        <v>799</v>
      </c>
      <c r="I486" s="20">
        <v>535.33000000000004</v>
      </c>
      <c r="J486" s="21">
        <v>0</v>
      </c>
      <c r="K486" s="20">
        <f>Ventas[[#This Row],[Precio]]*$J$4</f>
        <v>127.84</v>
      </c>
      <c r="L486" s="20">
        <f>Ventas[[#This Row],[Precio]]-Ventas[[#This Row],[Costo]]-Ventas[[#This Row],[Desc $]]</f>
        <v>263.66999999999996</v>
      </c>
      <c r="M486" s="20">
        <f>Ventas[[#This Row],[Precio]]*Ventas[[#This Row],[Descuento]]</f>
        <v>0</v>
      </c>
    </row>
    <row r="487" spans="1:13" x14ac:dyDescent="0.25">
      <c r="A487" s="16">
        <v>477</v>
      </c>
      <c r="B487" s="18">
        <v>42506</v>
      </c>
      <c r="C487" s="16" t="s">
        <v>25</v>
      </c>
      <c r="D487" s="19" t="s">
        <v>26</v>
      </c>
      <c r="E487" s="19" t="s">
        <v>27</v>
      </c>
      <c r="F487" s="19" t="s">
        <v>28</v>
      </c>
      <c r="G487" s="19" t="s">
        <v>15</v>
      </c>
      <c r="H487" s="20">
        <v>1499</v>
      </c>
      <c r="I487" s="20">
        <v>794.47</v>
      </c>
      <c r="J487" s="21">
        <v>0.3</v>
      </c>
      <c r="K487" s="20">
        <f>Ventas[[#This Row],[Precio]]*$J$4</f>
        <v>239.84</v>
      </c>
      <c r="L487" s="20">
        <f>Ventas[[#This Row],[Precio]]-Ventas[[#This Row],[Costo]]-Ventas[[#This Row],[Desc $]]</f>
        <v>254.82999999999998</v>
      </c>
      <c r="M487" s="20">
        <f>Ventas[[#This Row],[Precio]]*Ventas[[#This Row],[Descuento]]</f>
        <v>449.7</v>
      </c>
    </row>
    <row r="488" spans="1:13" x14ac:dyDescent="0.25">
      <c r="A488" s="16">
        <v>478</v>
      </c>
      <c r="B488" s="18">
        <v>42506</v>
      </c>
      <c r="C488" s="16" t="s">
        <v>31</v>
      </c>
      <c r="D488" s="19" t="s">
        <v>22</v>
      </c>
      <c r="E488" s="19" t="s">
        <v>18</v>
      </c>
      <c r="F488" s="19" t="s">
        <v>32</v>
      </c>
      <c r="G488" s="19" t="s">
        <v>33</v>
      </c>
      <c r="H488" s="20">
        <v>1199</v>
      </c>
      <c r="I488" s="20">
        <v>887.26</v>
      </c>
      <c r="J488" s="21">
        <v>0.3</v>
      </c>
      <c r="K488" s="20">
        <f>Ventas[[#This Row],[Precio]]*$J$4</f>
        <v>191.84</v>
      </c>
      <c r="L488" s="20">
        <f>Ventas[[#This Row],[Precio]]-Ventas[[#This Row],[Costo]]-Ventas[[#This Row],[Desc $]]</f>
        <v>-47.95999999999998</v>
      </c>
      <c r="M488" s="20">
        <f>Ventas[[#This Row],[Precio]]*Ventas[[#This Row],[Descuento]]</f>
        <v>359.7</v>
      </c>
    </row>
    <row r="489" spans="1:13" x14ac:dyDescent="0.25">
      <c r="A489" s="16">
        <v>479</v>
      </c>
      <c r="B489" s="18">
        <v>42643</v>
      </c>
      <c r="C489" s="16" t="s">
        <v>63</v>
      </c>
      <c r="D489" s="19" t="s">
        <v>12</v>
      </c>
      <c r="E489" s="19" t="s">
        <v>35</v>
      </c>
      <c r="F489" s="19" t="s">
        <v>64</v>
      </c>
      <c r="G489" s="19" t="s">
        <v>15</v>
      </c>
      <c r="H489" s="20">
        <v>13999</v>
      </c>
      <c r="I489" s="20">
        <v>9659.31</v>
      </c>
      <c r="J489" s="21">
        <v>0.2</v>
      </c>
      <c r="K489" s="20">
        <f>Ventas[[#This Row],[Precio]]*$J$4</f>
        <v>2239.84</v>
      </c>
      <c r="L489" s="20">
        <f>Ventas[[#This Row],[Precio]]-Ventas[[#This Row],[Costo]]-Ventas[[#This Row],[Desc $]]</f>
        <v>1539.8900000000003</v>
      </c>
      <c r="M489" s="20">
        <f>Ventas[[#This Row],[Precio]]*Ventas[[#This Row],[Descuento]]</f>
        <v>2799.8</v>
      </c>
    </row>
    <row r="490" spans="1:13" x14ac:dyDescent="0.25">
      <c r="A490" s="16">
        <v>480</v>
      </c>
      <c r="B490" s="18">
        <v>42458</v>
      </c>
      <c r="C490" s="16" t="s">
        <v>81</v>
      </c>
      <c r="D490" s="19" t="s">
        <v>22</v>
      </c>
      <c r="E490" s="19" t="s">
        <v>18</v>
      </c>
      <c r="F490" s="19" t="s">
        <v>82</v>
      </c>
      <c r="G490" s="19" t="s">
        <v>78</v>
      </c>
      <c r="H490" s="20">
        <v>1299</v>
      </c>
      <c r="I490" s="20">
        <v>909.3</v>
      </c>
      <c r="J490" s="21">
        <v>0</v>
      </c>
      <c r="K490" s="20">
        <f>Ventas[[#This Row],[Precio]]*$J$4</f>
        <v>207.84</v>
      </c>
      <c r="L490" s="20">
        <f>Ventas[[#This Row],[Precio]]-Ventas[[#This Row],[Costo]]-Ventas[[#This Row],[Desc $]]</f>
        <v>389.70000000000005</v>
      </c>
      <c r="M490" s="20">
        <f>Ventas[[#This Row],[Precio]]*Ventas[[#This Row],[Descuento]]</f>
        <v>0</v>
      </c>
    </row>
    <row r="491" spans="1:13" x14ac:dyDescent="0.25">
      <c r="A491" s="16">
        <v>481</v>
      </c>
      <c r="B491" s="18">
        <v>42526</v>
      </c>
      <c r="C491" s="16" t="s">
        <v>41</v>
      </c>
      <c r="D491" s="19" t="s">
        <v>22</v>
      </c>
      <c r="E491" s="19" t="s">
        <v>18</v>
      </c>
      <c r="F491" s="19" t="s">
        <v>42</v>
      </c>
      <c r="G491" s="19" t="s">
        <v>43</v>
      </c>
      <c r="H491" s="20">
        <v>1149</v>
      </c>
      <c r="I491" s="20">
        <v>896.22</v>
      </c>
      <c r="J491" s="21">
        <v>0</v>
      </c>
      <c r="K491" s="20">
        <f>Ventas[[#This Row],[Precio]]*$J$4</f>
        <v>183.84</v>
      </c>
      <c r="L491" s="20">
        <f>Ventas[[#This Row],[Precio]]-Ventas[[#This Row],[Costo]]-Ventas[[#This Row],[Desc $]]</f>
        <v>252.77999999999997</v>
      </c>
      <c r="M491" s="20">
        <f>Ventas[[#This Row],[Precio]]*Ventas[[#This Row],[Descuento]]</f>
        <v>0</v>
      </c>
    </row>
    <row r="492" spans="1:13" x14ac:dyDescent="0.25">
      <c r="A492" s="16">
        <v>482</v>
      </c>
      <c r="B492" s="18">
        <v>42762</v>
      </c>
      <c r="C492" s="16" t="s">
        <v>41</v>
      </c>
      <c r="D492" s="19" t="s">
        <v>22</v>
      </c>
      <c r="E492" s="19" t="s">
        <v>18</v>
      </c>
      <c r="F492" s="19" t="s">
        <v>42</v>
      </c>
      <c r="G492" s="19" t="s">
        <v>43</v>
      </c>
      <c r="H492" s="20">
        <v>1149</v>
      </c>
      <c r="I492" s="20">
        <v>896.22</v>
      </c>
      <c r="J492" s="21">
        <v>0.15</v>
      </c>
      <c r="K492" s="20">
        <f>Ventas[[#This Row],[Precio]]*$J$4</f>
        <v>183.84</v>
      </c>
      <c r="L492" s="20">
        <f>Ventas[[#This Row],[Precio]]-Ventas[[#This Row],[Costo]]-Ventas[[#This Row],[Desc $]]</f>
        <v>80.429999999999978</v>
      </c>
      <c r="M492" s="20">
        <f>Ventas[[#This Row],[Precio]]*Ventas[[#This Row],[Descuento]]</f>
        <v>172.35</v>
      </c>
    </row>
    <row r="493" spans="1:13" x14ac:dyDescent="0.25">
      <c r="A493" s="16">
        <v>483</v>
      </c>
      <c r="B493" s="18">
        <v>42388</v>
      </c>
      <c r="C493" s="16" t="s">
        <v>41</v>
      </c>
      <c r="D493" s="19" t="s">
        <v>22</v>
      </c>
      <c r="E493" s="19" t="s">
        <v>18</v>
      </c>
      <c r="F493" s="19" t="s">
        <v>42</v>
      </c>
      <c r="G493" s="19" t="s">
        <v>43</v>
      </c>
      <c r="H493" s="20">
        <v>1149</v>
      </c>
      <c r="I493" s="20">
        <v>896.22</v>
      </c>
      <c r="J493" s="21">
        <v>0.15</v>
      </c>
      <c r="K493" s="20">
        <f>Ventas[[#This Row],[Precio]]*$J$4</f>
        <v>183.84</v>
      </c>
      <c r="L493" s="20">
        <f>Ventas[[#This Row],[Precio]]-Ventas[[#This Row],[Costo]]-Ventas[[#This Row],[Desc $]]</f>
        <v>80.429999999999978</v>
      </c>
      <c r="M493" s="20">
        <f>Ventas[[#This Row],[Precio]]*Ventas[[#This Row],[Descuento]]</f>
        <v>172.35</v>
      </c>
    </row>
    <row r="494" spans="1:13" x14ac:dyDescent="0.25">
      <c r="A494" s="16">
        <v>484</v>
      </c>
      <c r="B494" s="18">
        <v>42457</v>
      </c>
      <c r="C494" s="16" t="s">
        <v>41</v>
      </c>
      <c r="D494" s="19" t="s">
        <v>22</v>
      </c>
      <c r="E494" s="19" t="s">
        <v>18</v>
      </c>
      <c r="F494" s="19" t="s">
        <v>42</v>
      </c>
      <c r="G494" s="19" t="s">
        <v>43</v>
      </c>
      <c r="H494" s="20">
        <v>1149</v>
      </c>
      <c r="I494" s="20">
        <v>896.22</v>
      </c>
      <c r="J494" s="21">
        <v>0</v>
      </c>
      <c r="K494" s="20">
        <f>Ventas[[#This Row],[Precio]]*$J$4</f>
        <v>183.84</v>
      </c>
      <c r="L494" s="20">
        <f>Ventas[[#This Row],[Precio]]-Ventas[[#This Row],[Costo]]-Ventas[[#This Row],[Desc $]]</f>
        <v>252.77999999999997</v>
      </c>
      <c r="M494" s="20">
        <f>Ventas[[#This Row],[Precio]]*Ventas[[#This Row],[Descuento]]</f>
        <v>0</v>
      </c>
    </row>
    <row r="495" spans="1:13" x14ac:dyDescent="0.25">
      <c r="A495" s="16">
        <v>485</v>
      </c>
      <c r="B495" s="18">
        <v>42506</v>
      </c>
      <c r="C495" s="16" t="s">
        <v>51</v>
      </c>
      <c r="D495" s="19" t="s">
        <v>22</v>
      </c>
      <c r="E495" s="19" t="s">
        <v>23</v>
      </c>
      <c r="F495" s="19" t="s">
        <v>52</v>
      </c>
      <c r="G495" s="19" t="s">
        <v>15</v>
      </c>
      <c r="H495" s="20">
        <v>599</v>
      </c>
      <c r="I495" s="20">
        <v>455.24</v>
      </c>
      <c r="J495" s="21">
        <v>0.3</v>
      </c>
      <c r="K495" s="20">
        <f>Ventas[[#This Row],[Precio]]*$J$4</f>
        <v>95.84</v>
      </c>
      <c r="L495" s="20">
        <f>Ventas[[#This Row],[Precio]]-Ventas[[#This Row],[Costo]]-Ventas[[#This Row],[Desc $]]</f>
        <v>-35.94</v>
      </c>
      <c r="M495" s="20">
        <f>Ventas[[#This Row],[Precio]]*Ventas[[#This Row],[Descuento]]</f>
        <v>179.7</v>
      </c>
    </row>
    <row r="496" spans="1:13" x14ac:dyDescent="0.25">
      <c r="A496" s="16">
        <v>486</v>
      </c>
      <c r="B496" s="18">
        <v>42732</v>
      </c>
      <c r="C496" s="16" t="s">
        <v>31</v>
      </c>
      <c r="D496" s="19" t="s">
        <v>22</v>
      </c>
      <c r="E496" s="19" t="s">
        <v>18</v>
      </c>
      <c r="F496" s="19" t="s">
        <v>32</v>
      </c>
      <c r="G496" s="19" t="s">
        <v>33</v>
      </c>
      <c r="H496" s="20">
        <v>1199</v>
      </c>
      <c r="I496" s="20">
        <v>887.26</v>
      </c>
      <c r="J496" s="21">
        <v>0</v>
      </c>
      <c r="K496" s="20">
        <f>Ventas[[#This Row],[Precio]]*$J$4</f>
        <v>191.84</v>
      </c>
      <c r="L496" s="20">
        <f>Ventas[[#This Row],[Precio]]-Ventas[[#This Row],[Costo]]-Ventas[[#This Row],[Desc $]]</f>
        <v>311.74</v>
      </c>
      <c r="M496" s="20">
        <f>Ventas[[#This Row],[Precio]]*Ventas[[#This Row],[Descuento]]</f>
        <v>0</v>
      </c>
    </row>
    <row r="497" spans="1:13" x14ac:dyDescent="0.25">
      <c r="A497" s="16">
        <v>487</v>
      </c>
      <c r="B497" s="18">
        <v>42546</v>
      </c>
      <c r="C497" s="16" t="s">
        <v>31</v>
      </c>
      <c r="D497" s="19" t="s">
        <v>22</v>
      </c>
      <c r="E497" s="19" t="s">
        <v>18</v>
      </c>
      <c r="F497" s="19" t="s">
        <v>32</v>
      </c>
      <c r="G497" s="19" t="s">
        <v>33</v>
      </c>
      <c r="H497" s="20">
        <v>1199</v>
      </c>
      <c r="I497" s="20">
        <v>887.26</v>
      </c>
      <c r="J497" s="21">
        <v>0.2</v>
      </c>
      <c r="K497" s="20">
        <f>Ventas[[#This Row],[Precio]]*$J$4</f>
        <v>191.84</v>
      </c>
      <c r="L497" s="20">
        <f>Ventas[[#This Row],[Precio]]-Ventas[[#This Row],[Costo]]-Ventas[[#This Row],[Desc $]]</f>
        <v>71.94</v>
      </c>
      <c r="M497" s="20">
        <f>Ventas[[#This Row],[Precio]]*Ventas[[#This Row],[Descuento]]</f>
        <v>239.8</v>
      </c>
    </row>
    <row r="498" spans="1:13" x14ac:dyDescent="0.25">
      <c r="A498" s="16">
        <v>488</v>
      </c>
      <c r="B498" s="18">
        <v>42792</v>
      </c>
      <c r="C498" s="16" t="s">
        <v>70</v>
      </c>
      <c r="D498" s="19" t="s">
        <v>26</v>
      </c>
      <c r="E498" s="19" t="s">
        <v>45</v>
      </c>
      <c r="F498" s="19" t="s">
        <v>71</v>
      </c>
      <c r="G498" s="19" t="s">
        <v>15</v>
      </c>
      <c r="H498" s="20">
        <v>449</v>
      </c>
      <c r="I498" s="20">
        <v>161.63999999999999</v>
      </c>
      <c r="J498" s="21">
        <v>0.1</v>
      </c>
      <c r="K498" s="20">
        <f>Ventas[[#This Row],[Precio]]*$J$4</f>
        <v>71.84</v>
      </c>
      <c r="L498" s="20">
        <f>Ventas[[#This Row],[Precio]]-Ventas[[#This Row],[Costo]]-Ventas[[#This Row],[Desc $]]</f>
        <v>242.46</v>
      </c>
      <c r="M498" s="20">
        <f>Ventas[[#This Row],[Precio]]*Ventas[[#This Row],[Descuento]]</f>
        <v>44.900000000000006</v>
      </c>
    </row>
    <row r="499" spans="1:13" x14ac:dyDescent="0.25">
      <c r="A499" s="16">
        <v>489</v>
      </c>
      <c r="B499" s="18">
        <v>42506</v>
      </c>
      <c r="C499" s="16" t="s">
        <v>138</v>
      </c>
      <c r="D499" s="19" t="s">
        <v>22</v>
      </c>
      <c r="E499" s="19" t="s">
        <v>86</v>
      </c>
      <c r="F499" s="19" t="s">
        <v>139</v>
      </c>
      <c r="G499" s="19" t="s">
        <v>15</v>
      </c>
      <c r="H499" s="20">
        <v>14399</v>
      </c>
      <c r="I499" s="20">
        <v>11375.210000000001</v>
      </c>
      <c r="J499" s="21">
        <v>0.3</v>
      </c>
      <c r="K499" s="20">
        <f>Ventas[[#This Row],[Precio]]*$J$4</f>
        <v>2303.84</v>
      </c>
      <c r="L499" s="20">
        <f>Ventas[[#This Row],[Precio]]-Ventas[[#This Row],[Costo]]-Ventas[[#This Row],[Desc $]]</f>
        <v>-1295.9100000000008</v>
      </c>
      <c r="M499" s="20">
        <f>Ventas[[#This Row],[Precio]]*Ventas[[#This Row],[Descuento]]</f>
        <v>4319.7</v>
      </c>
    </row>
    <row r="500" spans="1:13" x14ac:dyDescent="0.25">
      <c r="A500" s="16">
        <v>490</v>
      </c>
      <c r="B500" s="18">
        <v>42601</v>
      </c>
      <c r="C500" s="16" t="s">
        <v>29</v>
      </c>
      <c r="D500" s="19" t="s">
        <v>26</v>
      </c>
      <c r="E500" s="19" t="s">
        <v>27</v>
      </c>
      <c r="F500" s="19" t="s">
        <v>30</v>
      </c>
      <c r="G500" s="19" t="s">
        <v>15</v>
      </c>
      <c r="H500" s="20">
        <v>259</v>
      </c>
      <c r="I500" s="20">
        <v>220.15</v>
      </c>
      <c r="J500" s="21">
        <v>0.15</v>
      </c>
      <c r="K500" s="20">
        <f>Ventas[[#This Row],[Precio]]*$J$4</f>
        <v>41.44</v>
      </c>
      <c r="L500" s="20">
        <f>Ventas[[#This Row],[Precio]]-Ventas[[#This Row],[Costo]]-Ventas[[#This Row],[Desc $]]</f>
        <v>0</v>
      </c>
      <c r="M500" s="20">
        <f>Ventas[[#This Row],[Precio]]*Ventas[[#This Row],[Descuento]]</f>
        <v>38.85</v>
      </c>
    </row>
    <row r="501" spans="1:13" x14ac:dyDescent="0.25">
      <c r="A501" s="16">
        <v>491</v>
      </c>
      <c r="B501" s="18">
        <v>42506</v>
      </c>
      <c r="C501" s="16" t="s">
        <v>25</v>
      </c>
      <c r="D501" s="19" t="s">
        <v>26</v>
      </c>
      <c r="E501" s="19" t="s">
        <v>27</v>
      </c>
      <c r="F501" s="19" t="s">
        <v>28</v>
      </c>
      <c r="G501" s="19" t="s">
        <v>15</v>
      </c>
      <c r="H501" s="20">
        <v>1499</v>
      </c>
      <c r="I501" s="20">
        <v>794.47</v>
      </c>
      <c r="J501" s="21">
        <v>0.3</v>
      </c>
      <c r="K501" s="20">
        <f>Ventas[[#This Row],[Precio]]*$J$4</f>
        <v>239.84</v>
      </c>
      <c r="L501" s="20">
        <f>Ventas[[#This Row],[Precio]]-Ventas[[#This Row],[Costo]]-Ventas[[#This Row],[Desc $]]</f>
        <v>254.82999999999998</v>
      </c>
      <c r="M501" s="20">
        <f>Ventas[[#This Row],[Precio]]*Ventas[[#This Row],[Descuento]]</f>
        <v>449.7</v>
      </c>
    </row>
    <row r="502" spans="1:13" x14ac:dyDescent="0.25">
      <c r="A502" s="16">
        <v>492</v>
      </c>
      <c r="B502" s="18">
        <v>42506</v>
      </c>
      <c r="C502" s="16" t="s">
        <v>140</v>
      </c>
      <c r="D502" s="19" t="s">
        <v>22</v>
      </c>
      <c r="E502" s="19" t="s">
        <v>18</v>
      </c>
      <c r="F502" s="19" t="s">
        <v>141</v>
      </c>
      <c r="G502" s="19" t="s">
        <v>43</v>
      </c>
      <c r="H502" s="20">
        <v>999</v>
      </c>
      <c r="I502" s="20">
        <v>809.19</v>
      </c>
      <c r="J502" s="21">
        <v>0.3</v>
      </c>
      <c r="K502" s="20">
        <f>Ventas[[#This Row],[Precio]]*$J$4</f>
        <v>159.84</v>
      </c>
      <c r="L502" s="20">
        <f>Ventas[[#This Row],[Precio]]-Ventas[[#This Row],[Costo]]-Ventas[[#This Row],[Desc $]]</f>
        <v>-109.89000000000004</v>
      </c>
      <c r="M502" s="20">
        <f>Ventas[[#This Row],[Precio]]*Ventas[[#This Row],[Descuento]]</f>
        <v>299.7</v>
      </c>
    </row>
    <row r="503" spans="1:13" x14ac:dyDescent="0.25">
      <c r="A503" s="16">
        <v>493</v>
      </c>
      <c r="B503" s="18">
        <v>42506</v>
      </c>
      <c r="C503" s="16" t="s">
        <v>55</v>
      </c>
      <c r="D503" s="19" t="s">
        <v>26</v>
      </c>
      <c r="E503" s="19" t="s">
        <v>45</v>
      </c>
      <c r="F503" s="19" t="s">
        <v>56</v>
      </c>
      <c r="G503" s="19" t="s">
        <v>15</v>
      </c>
      <c r="H503" s="20">
        <v>499</v>
      </c>
      <c r="I503" s="20">
        <v>279.44000000000005</v>
      </c>
      <c r="J503" s="21">
        <v>0.3</v>
      </c>
      <c r="K503" s="20">
        <f>Ventas[[#This Row],[Precio]]*$J$4</f>
        <v>79.84</v>
      </c>
      <c r="L503" s="20">
        <f>Ventas[[#This Row],[Precio]]-Ventas[[#This Row],[Costo]]-Ventas[[#This Row],[Desc $]]</f>
        <v>69.859999999999957</v>
      </c>
      <c r="M503" s="20">
        <f>Ventas[[#This Row],[Precio]]*Ventas[[#This Row],[Descuento]]</f>
        <v>149.69999999999999</v>
      </c>
    </row>
    <row r="504" spans="1:13" x14ac:dyDescent="0.25">
      <c r="A504" s="16">
        <v>494</v>
      </c>
      <c r="B504" s="18">
        <v>42454</v>
      </c>
      <c r="C504" s="16" t="s">
        <v>21</v>
      </c>
      <c r="D504" s="19" t="s">
        <v>22</v>
      </c>
      <c r="E504" s="19" t="s">
        <v>23</v>
      </c>
      <c r="F504" s="19" t="s">
        <v>24</v>
      </c>
      <c r="G504" s="19" t="s">
        <v>15</v>
      </c>
      <c r="H504" s="20">
        <v>359</v>
      </c>
      <c r="I504" s="20">
        <v>244.12</v>
      </c>
      <c r="J504" s="21">
        <v>0.15</v>
      </c>
      <c r="K504" s="20">
        <f>Ventas[[#This Row],[Precio]]*$J$4</f>
        <v>57.44</v>
      </c>
      <c r="L504" s="20">
        <f>Ventas[[#This Row],[Precio]]-Ventas[[#This Row],[Costo]]-Ventas[[#This Row],[Desc $]]</f>
        <v>61.029999999999994</v>
      </c>
      <c r="M504" s="20">
        <f>Ventas[[#This Row],[Precio]]*Ventas[[#This Row],[Descuento]]</f>
        <v>53.85</v>
      </c>
    </row>
    <row r="505" spans="1:13" x14ac:dyDescent="0.25">
      <c r="A505" s="16">
        <v>495</v>
      </c>
      <c r="B505" s="18">
        <v>46063</v>
      </c>
      <c r="C505" s="16" t="s">
        <v>41</v>
      </c>
      <c r="D505" s="19" t="s">
        <v>22</v>
      </c>
      <c r="E505" s="19" t="s">
        <v>18</v>
      </c>
      <c r="F505" s="19" t="s">
        <v>42</v>
      </c>
      <c r="G505" s="19" t="s">
        <v>43</v>
      </c>
      <c r="H505" s="20">
        <v>1149</v>
      </c>
      <c r="I505" s="20">
        <v>896.22</v>
      </c>
      <c r="J505" s="21">
        <v>0</v>
      </c>
      <c r="K505" s="20">
        <f>Ventas[[#This Row],[Precio]]*$J$4</f>
        <v>183.84</v>
      </c>
      <c r="L505" s="20">
        <f>Ventas[[#This Row],[Precio]]-Ventas[[#This Row],[Costo]]-Ventas[[#This Row],[Desc $]]</f>
        <v>252.77999999999997</v>
      </c>
      <c r="M505" s="20">
        <f>Ventas[[#This Row],[Precio]]*Ventas[[#This Row],[Descuento]]</f>
        <v>0</v>
      </c>
    </row>
    <row r="506" spans="1:13" x14ac:dyDescent="0.25">
      <c r="A506" s="16">
        <v>496</v>
      </c>
      <c r="B506" s="18">
        <v>42388</v>
      </c>
      <c r="C506" s="16" t="s">
        <v>16</v>
      </c>
      <c r="D506" s="19" t="s">
        <v>22</v>
      </c>
      <c r="E506" s="19" t="s">
        <v>18</v>
      </c>
      <c r="F506" s="19" t="s">
        <v>19</v>
      </c>
      <c r="G506" s="19" t="s">
        <v>20</v>
      </c>
      <c r="H506" s="20">
        <v>1149</v>
      </c>
      <c r="I506" s="20">
        <v>792.81</v>
      </c>
      <c r="J506" s="21">
        <v>0.15</v>
      </c>
      <c r="K506" s="20">
        <f>Ventas[[#This Row],[Precio]]*$J$4</f>
        <v>183.84</v>
      </c>
      <c r="L506" s="20">
        <f>Ventas[[#This Row],[Precio]]-Ventas[[#This Row],[Costo]]-Ventas[[#This Row],[Desc $]]</f>
        <v>183.84000000000006</v>
      </c>
      <c r="M506" s="20">
        <f>Ventas[[#This Row],[Precio]]*Ventas[[#This Row],[Descuento]]</f>
        <v>172.35</v>
      </c>
    </row>
    <row r="507" spans="1:13" x14ac:dyDescent="0.25">
      <c r="A507" s="16">
        <v>497</v>
      </c>
      <c r="B507" s="18">
        <v>42643</v>
      </c>
      <c r="C507" s="16" t="s">
        <v>61</v>
      </c>
      <c r="D507" s="19" t="s">
        <v>26</v>
      </c>
      <c r="E507" s="19" t="s">
        <v>45</v>
      </c>
      <c r="F507" s="19" t="s">
        <v>62</v>
      </c>
      <c r="G507" s="19" t="s">
        <v>15</v>
      </c>
      <c r="H507" s="20">
        <v>799</v>
      </c>
      <c r="I507" s="20">
        <v>679.15</v>
      </c>
      <c r="J507" s="21">
        <v>0.2</v>
      </c>
      <c r="K507" s="20">
        <f>Ventas[[#This Row],[Precio]]*$J$4</f>
        <v>127.84</v>
      </c>
      <c r="L507" s="20">
        <f>Ventas[[#This Row],[Precio]]-Ventas[[#This Row],[Costo]]-Ventas[[#This Row],[Desc $]]</f>
        <v>-39.949999999999989</v>
      </c>
      <c r="M507" s="20">
        <f>Ventas[[#This Row],[Precio]]*Ventas[[#This Row],[Descuento]]</f>
        <v>159.80000000000001</v>
      </c>
    </row>
    <row r="508" spans="1:13" x14ac:dyDescent="0.25">
      <c r="A508" s="16">
        <v>498</v>
      </c>
      <c r="B508" s="18">
        <v>42721</v>
      </c>
      <c r="C508" s="16" t="s">
        <v>31</v>
      </c>
      <c r="D508" s="19" t="s">
        <v>22</v>
      </c>
      <c r="E508" s="19" t="s">
        <v>18</v>
      </c>
      <c r="F508" s="19" t="s">
        <v>32</v>
      </c>
      <c r="G508" s="19" t="s">
        <v>33</v>
      </c>
      <c r="H508" s="20">
        <v>1199</v>
      </c>
      <c r="I508" s="20">
        <v>887.26</v>
      </c>
      <c r="J508" s="21">
        <v>0</v>
      </c>
      <c r="K508" s="20">
        <f>Ventas[[#This Row],[Precio]]*$J$4</f>
        <v>191.84</v>
      </c>
      <c r="L508" s="20">
        <f>Ventas[[#This Row],[Precio]]-Ventas[[#This Row],[Costo]]-Ventas[[#This Row],[Desc $]]</f>
        <v>311.74</v>
      </c>
      <c r="M508" s="20">
        <f>Ventas[[#This Row],[Precio]]*Ventas[[#This Row],[Descuento]]</f>
        <v>0</v>
      </c>
    </row>
    <row r="509" spans="1:13" x14ac:dyDescent="0.25">
      <c r="A509" s="16">
        <v>499</v>
      </c>
      <c r="B509" s="18">
        <v>42634</v>
      </c>
      <c r="C509" s="16" t="s">
        <v>25</v>
      </c>
      <c r="D509" s="19" t="s">
        <v>26</v>
      </c>
      <c r="E509" s="19" t="s">
        <v>27</v>
      </c>
      <c r="F509" s="19" t="s">
        <v>28</v>
      </c>
      <c r="G509" s="19" t="s">
        <v>15</v>
      </c>
      <c r="H509" s="20">
        <v>1499</v>
      </c>
      <c r="I509" s="20">
        <v>794.47</v>
      </c>
      <c r="J509" s="21">
        <v>0</v>
      </c>
      <c r="K509" s="20">
        <f>Ventas[[#This Row],[Precio]]*$J$4</f>
        <v>239.84</v>
      </c>
      <c r="L509" s="20">
        <f>Ventas[[#This Row],[Precio]]-Ventas[[#This Row],[Costo]]-Ventas[[#This Row],[Desc $]]</f>
        <v>704.53</v>
      </c>
      <c r="M509" s="20">
        <f>Ventas[[#This Row],[Precio]]*Ventas[[#This Row],[Descuento]]</f>
        <v>0</v>
      </c>
    </row>
    <row r="510" spans="1:13" x14ac:dyDescent="0.25">
      <c r="A510" s="16">
        <v>500</v>
      </c>
      <c r="B510" s="18">
        <v>42424</v>
      </c>
      <c r="C510" s="16" t="s">
        <v>41</v>
      </c>
      <c r="D510" s="19" t="s">
        <v>22</v>
      </c>
      <c r="E510" s="19" t="s">
        <v>18</v>
      </c>
      <c r="F510" s="19" t="s">
        <v>42</v>
      </c>
      <c r="G510" s="19" t="s">
        <v>43</v>
      </c>
      <c r="H510" s="20">
        <v>1149</v>
      </c>
      <c r="I510" s="20">
        <v>896.22</v>
      </c>
      <c r="J510" s="21">
        <v>0.15</v>
      </c>
      <c r="K510" s="20">
        <f>Ventas[[#This Row],[Precio]]*$J$4</f>
        <v>183.84</v>
      </c>
      <c r="L510" s="20">
        <f>Ventas[[#This Row],[Precio]]-Ventas[[#This Row],[Costo]]-Ventas[[#This Row],[Desc $]]</f>
        <v>80.429999999999978</v>
      </c>
      <c r="M510" s="20">
        <f>Ventas[[#This Row],[Precio]]*Ventas[[#This Row],[Descuento]]</f>
        <v>172.35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134D-AEE8-4EEF-B167-0EE02F4E30B4}">
  <dimension ref="A10:AB510"/>
  <sheetViews>
    <sheetView showGridLines="0" topLeftCell="K7" workbookViewId="0">
      <selection activeCell="V13" sqref="V13"/>
    </sheetView>
  </sheetViews>
  <sheetFormatPr baseColWidth="10" defaultColWidth="9.140625" defaultRowHeight="15" x14ac:dyDescent="0.25"/>
  <cols>
    <col min="1" max="1" width="16.42578125" customWidth="1"/>
    <col min="2" max="2" width="11.85546875" style="1" bestFit="1" customWidth="1"/>
    <col min="3" max="3" width="16.42578125" customWidth="1"/>
    <col min="4" max="4" width="15.28515625" bestFit="1" customWidth="1"/>
    <col min="5" max="5" width="18.7109375" bestFit="1" customWidth="1"/>
    <col min="6" max="6" width="41.42578125" bestFit="1" customWidth="1"/>
    <col min="7" max="7" width="9.42578125" bestFit="1" customWidth="1"/>
    <col min="8" max="9" width="10.140625" style="5" bestFit="1" customWidth="1"/>
    <col min="10" max="10" width="12.5703125" style="2" customWidth="1"/>
    <col min="11" max="11" width="11.28515625" style="5" customWidth="1"/>
    <col min="21" max="21" width="8" bestFit="1" customWidth="1"/>
    <col min="22" max="22" width="41.140625" bestFit="1" customWidth="1"/>
    <col min="23" max="23" width="16.140625" bestFit="1" customWidth="1"/>
    <col min="24" max="24" width="14.5703125" bestFit="1" customWidth="1"/>
    <col min="25" max="26" width="8" bestFit="1" customWidth="1"/>
    <col min="27" max="27" width="17.5703125" bestFit="1" customWidth="1"/>
    <col min="28" max="28" width="22.5703125" bestFit="1" customWidth="1"/>
    <col min="29" max="29" width="8" bestFit="1" customWidth="1"/>
    <col min="47" max="49" width="10.140625" bestFit="1" customWidth="1"/>
    <col min="50" max="50" width="12.5703125" bestFit="1" customWidth="1"/>
  </cols>
  <sheetData>
    <row r="10" spans="1:28" x14ac:dyDescent="0.25">
      <c r="A10" s="6" t="s">
        <v>0</v>
      </c>
      <c r="B10" s="7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8" t="s">
        <v>7</v>
      </c>
      <c r="I10" s="8" t="s">
        <v>8</v>
      </c>
      <c r="J10" s="9" t="s">
        <v>9</v>
      </c>
      <c r="K10" s="8" t="s">
        <v>10</v>
      </c>
      <c r="V10" s="24" t="s">
        <v>567</v>
      </c>
      <c r="W10" s="24" t="s">
        <v>568</v>
      </c>
      <c r="X10" s="5" t="s">
        <v>550</v>
      </c>
      <c r="AA10" s="24" t="s">
        <v>551</v>
      </c>
      <c r="AB10" t="s">
        <v>573</v>
      </c>
    </row>
    <row r="11" spans="1:28" x14ac:dyDescent="0.25">
      <c r="A11">
        <v>1</v>
      </c>
      <c r="B11" s="1">
        <v>42546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s="5">
        <v>1299</v>
      </c>
      <c r="I11" s="5">
        <v>727.44</v>
      </c>
      <c r="J11" s="2">
        <v>0.2</v>
      </c>
      <c r="K11" s="5">
        <v>311.76</v>
      </c>
      <c r="V11" t="s">
        <v>553</v>
      </c>
      <c r="W11" t="s">
        <v>554</v>
      </c>
      <c r="X11" s="5">
        <v>53376</v>
      </c>
      <c r="AA11" s="19" t="s">
        <v>22</v>
      </c>
      <c r="AB11" s="27">
        <v>0.11310344827586184</v>
      </c>
    </row>
    <row r="12" spans="1:28" x14ac:dyDescent="0.25">
      <c r="A12">
        <v>2</v>
      </c>
      <c r="B12" s="1">
        <v>42675</v>
      </c>
      <c r="C12" t="s">
        <v>16</v>
      </c>
      <c r="D12" t="s">
        <v>22</v>
      </c>
      <c r="E12" t="s">
        <v>18</v>
      </c>
      <c r="F12" t="s">
        <v>19</v>
      </c>
      <c r="G12" t="s">
        <v>20</v>
      </c>
      <c r="H12" s="5">
        <v>1149</v>
      </c>
      <c r="I12" s="5">
        <v>792.81</v>
      </c>
      <c r="J12" s="2">
        <v>0</v>
      </c>
      <c r="K12" s="5">
        <v>356.19000000000005</v>
      </c>
      <c r="W12" t="s">
        <v>555</v>
      </c>
      <c r="X12" s="5">
        <v>215608</v>
      </c>
      <c r="AA12" s="19" t="s">
        <v>12</v>
      </c>
      <c r="AB12" s="27">
        <v>0.12395833333333334</v>
      </c>
    </row>
    <row r="13" spans="1:28" x14ac:dyDescent="0.25">
      <c r="A13">
        <v>3</v>
      </c>
      <c r="B13" s="1">
        <v>42601</v>
      </c>
      <c r="C13" t="s">
        <v>21</v>
      </c>
      <c r="D13" t="s">
        <v>22</v>
      </c>
      <c r="E13" t="s">
        <v>23</v>
      </c>
      <c r="F13" t="s">
        <v>24</v>
      </c>
      <c r="G13" t="s">
        <v>15</v>
      </c>
      <c r="H13" s="5">
        <v>359</v>
      </c>
      <c r="I13" s="5">
        <v>244.12</v>
      </c>
      <c r="J13" s="2">
        <v>0.15</v>
      </c>
      <c r="K13" s="5">
        <v>61.029999999999973</v>
      </c>
      <c r="W13" t="s">
        <v>556</v>
      </c>
      <c r="X13" s="5">
        <v>121429</v>
      </c>
      <c r="AA13" s="19" t="s">
        <v>26</v>
      </c>
      <c r="AB13" s="27">
        <v>0.11140350877192988</v>
      </c>
    </row>
    <row r="14" spans="1:28" x14ac:dyDescent="0.25">
      <c r="A14">
        <v>4</v>
      </c>
      <c r="B14" s="1">
        <v>42388</v>
      </c>
      <c r="C14" t="s">
        <v>25</v>
      </c>
      <c r="D14" t="s">
        <v>26</v>
      </c>
      <c r="E14" t="s">
        <v>27</v>
      </c>
      <c r="F14" t="s">
        <v>28</v>
      </c>
      <c r="G14" t="s">
        <v>15</v>
      </c>
      <c r="H14" s="5">
        <v>1499</v>
      </c>
      <c r="I14" s="5">
        <v>794.47</v>
      </c>
      <c r="J14" s="2">
        <v>0.15</v>
      </c>
      <c r="K14" s="5">
        <v>479.67999999999984</v>
      </c>
      <c r="W14" t="s">
        <v>557</v>
      </c>
      <c r="X14" s="5">
        <v>43568</v>
      </c>
      <c r="AA14" s="19" t="s">
        <v>552</v>
      </c>
      <c r="AB14" s="27">
        <v>0.11479999999999992</v>
      </c>
    </row>
    <row r="15" spans="1:28" x14ac:dyDescent="0.25">
      <c r="A15">
        <v>5</v>
      </c>
      <c r="B15" s="1">
        <v>42506</v>
      </c>
      <c r="C15" t="s">
        <v>16</v>
      </c>
      <c r="D15" t="s">
        <v>22</v>
      </c>
      <c r="E15" t="s">
        <v>18</v>
      </c>
      <c r="F15" t="s">
        <v>19</v>
      </c>
      <c r="G15" t="s">
        <v>20</v>
      </c>
      <c r="H15" s="5">
        <v>1149</v>
      </c>
      <c r="I15" s="5">
        <v>792.81</v>
      </c>
      <c r="J15" s="2">
        <v>0.3</v>
      </c>
      <c r="K15" s="5">
        <v>11.490000000000009</v>
      </c>
      <c r="W15" t="s">
        <v>558</v>
      </c>
      <c r="X15" s="5">
        <v>200347</v>
      </c>
    </row>
    <row r="16" spans="1:28" x14ac:dyDescent="0.25">
      <c r="A16">
        <v>6</v>
      </c>
      <c r="B16" s="1">
        <v>42404</v>
      </c>
      <c r="C16" t="s">
        <v>29</v>
      </c>
      <c r="D16" t="s">
        <v>26</v>
      </c>
      <c r="E16" t="s">
        <v>27</v>
      </c>
      <c r="F16" t="s">
        <v>30</v>
      </c>
      <c r="G16" t="s">
        <v>15</v>
      </c>
      <c r="H16" s="5">
        <v>259</v>
      </c>
      <c r="I16" s="5">
        <v>220.15</v>
      </c>
      <c r="J16" s="2">
        <v>0.15</v>
      </c>
      <c r="K16" s="5">
        <v>0</v>
      </c>
      <c r="W16" t="s">
        <v>559</v>
      </c>
      <c r="X16" s="5">
        <v>50741</v>
      </c>
    </row>
    <row r="17" spans="1:28" x14ac:dyDescent="0.25">
      <c r="A17">
        <v>7</v>
      </c>
      <c r="B17" s="1">
        <v>42825</v>
      </c>
      <c r="C17" t="s">
        <v>31</v>
      </c>
      <c r="D17" t="s">
        <v>22</v>
      </c>
      <c r="E17" t="s">
        <v>18</v>
      </c>
      <c r="F17" t="s">
        <v>32</v>
      </c>
      <c r="G17" t="s">
        <v>33</v>
      </c>
      <c r="H17" s="5">
        <v>1199</v>
      </c>
      <c r="I17" s="5">
        <v>887.26</v>
      </c>
      <c r="J17" s="2">
        <v>0</v>
      </c>
      <c r="K17" s="5">
        <v>71.940000000000055</v>
      </c>
      <c r="W17" t="s">
        <v>560</v>
      </c>
      <c r="X17" s="5">
        <v>84351</v>
      </c>
      <c r="AA17" s="24" t="s">
        <v>551</v>
      </c>
      <c r="AB17" t="s">
        <v>574</v>
      </c>
    </row>
    <row r="18" spans="1:28" x14ac:dyDescent="0.25">
      <c r="A18">
        <v>8</v>
      </c>
      <c r="B18" s="1">
        <v>42424</v>
      </c>
      <c r="C18" t="s">
        <v>16</v>
      </c>
      <c r="D18" t="s">
        <v>22</v>
      </c>
      <c r="E18" t="s">
        <v>18</v>
      </c>
      <c r="F18" t="s">
        <v>19</v>
      </c>
      <c r="G18" t="s">
        <v>20</v>
      </c>
      <c r="H18" s="5">
        <v>1149</v>
      </c>
      <c r="I18" s="5">
        <v>792.81</v>
      </c>
      <c r="J18" s="2">
        <v>0.15</v>
      </c>
      <c r="K18" s="5">
        <v>183.84000000000003</v>
      </c>
      <c r="W18" t="s">
        <v>561</v>
      </c>
      <c r="X18" s="5">
        <v>50068</v>
      </c>
      <c r="AA18" s="19" t="s">
        <v>22</v>
      </c>
      <c r="AB18" s="28"/>
    </row>
    <row r="19" spans="1:28" x14ac:dyDescent="0.25">
      <c r="A19">
        <v>9</v>
      </c>
      <c r="B19" s="1">
        <v>42512</v>
      </c>
      <c r="C19" t="s">
        <v>34</v>
      </c>
      <c r="D19" t="s">
        <v>12</v>
      </c>
      <c r="E19" t="s">
        <v>35</v>
      </c>
      <c r="F19" t="s">
        <v>36</v>
      </c>
      <c r="G19" t="s">
        <v>15</v>
      </c>
      <c r="H19" s="5">
        <v>7999</v>
      </c>
      <c r="I19" s="5">
        <v>3199.6000000000004</v>
      </c>
      <c r="J19" s="2">
        <v>0.15</v>
      </c>
      <c r="K19" s="5">
        <v>3599.5499999999993</v>
      </c>
      <c r="W19" t="s">
        <v>562</v>
      </c>
      <c r="X19" s="5">
        <v>106279</v>
      </c>
      <c r="AA19" s="25" t="s">
        <v>18</v>
      </c>
      <c r="AB19" s="28">
        <v>9.5852508188301905E-2</v>
      </c>
    </row>
    <row r="20" spans="1:28" x14ac:dyDescent="0.25">
      <c r="A20">
        <v>10</v>
      </c>
      <c r="B20" s="1">
        <v>42573</v>
      </c>
      <c r="C20" t="s">
        <v>37</v>
      </c>
      <c r="D20" t="s">
        <v>26</v>
      </c>
      <c r="E20" t="s">
        <v>27</v>
      </c>
      <c r="F20" t="s">
        <v>38</v>
      </c>
      <c r="G20" t="s">
        <v>15</v>
      </c>
      <c r="H20" s="5">
        <v>229</v>
      </c>
      <c r="I20" s="5">
        <v>153.43</v>
      </c>
      <c r="J20" s="2">
        <v>0.15</v>
      </c>
      <c r="K20" s="5">
        <v>41.22</v>
      </c>
      <c r="W20" t="s">
        <v>563</v>
      </c>
      <c r="X20" s="5">
        <v>87043</v>
      </c>
      <c r="AA20" s="25" t="s">
        <v>86</v>
      </c>
      <c r="AB20" s="28">
        <v>0.35980584318064857</v>
      </c>
    </row>
    <row r="21" spans="1:28" x14ac:dyDescent="0.25">
      <c r="A21">
        <v>11</v>
      </c>
      <c r="B21" s="1">
        <v>42512</v>
      </c>
      <c r="C21" t="s">
        <v>39</v>
      </c>
      <c r="D21" t="s">
        <v>22</v>
      </c>
      <c r="E21" t="s">
        <v>23</v>
      </c>
      <c r="F21" t="s">
        <v>40</v>
      </c>
      <c r="G21" t="s">
        <v>15</v>
      </c>
      <c r="H21" s="5">
        <v>2499</v>
      </c>
      <c r="I21" s="5">
        <v>1349.46</v>
      </c>
      <c r="J21" s="2">
        <v>0.15</v>
      </c>
      <c r="K21" s="5">
        <v>774.69</v>
      </c>
      <c r="W21" t="s">
        <v>564</v>
      </c>
      <c r="X21" s="5">
        <v>31898</v>
      </c>
      <c r="AA21" s="25" t="s">
        <v>23</v>
      </c>
      <c r="AB21" s="28">
        <v>3.2418280148542873E-2</v>
      </c>
    </row>
    <row r="22" spans="1:28" x14ac:dyDescent="0.25">
      <c r="A22">
        <v>12</v>
      </c>
      <c r="B22" s="1">
        <v>42643</v>
      </c>
      <c r="C22" t="s">
        <v>41</v>
      </c>
      <c r="D22" t="s">
        <v>22</v>
      </c>
      <c r="E22" t="s">
        <v>18</v>
      </c>
      <c r="F22" t="s">
        <v>42</v>
      </c>
      <c r="G22" t="s">
        <v>43</v>
      </c>
      <c r="H22" s="5">
        <v>1149</v>
      </c>
      <c r="I22" s="5">
        <v>896.22</v>
      </c>
      <c r="J22" s="2">
        <v>0.2</v>
      </c>
      <c r="K22" s="5">
        <v>22.980000000000018</v>
      </c>
      <c r="W22" t="s">
        <v>565</v>
      </c>
      <c r="X22" s="5">
        <v>34869</v>
      </c>
      <c r="AA22" s="19" t="s">
        <v>575</v>
      </c>
      <c r="AB22" s="28">
        <v>0.48807663151749336</v>
      </c>
    </row>
    <row r="23" spans="1:28" x14ac:dyDescent="0.25">
      <c r="A23">
        <v>13</v>
      </c>
      <c r="B23" s="1">
        <v>42661</v>
      </c>
      <c r="C23" t="s">
        <v>25</v>
      </c>
      <c r="D23" t="s">
        <v>26</v>
      </c>
      <c r="E23" t="s">
        <v>27</v>
      </c>
      <c r="F23" t="s">
        <v>28</v>
      </c>
      <c r="G23" t="s">
        <v>15</v>
      </c>
      <c r="H23" s="5">
        <v>1499</v>
      </c>
      <c r="I23" s="5">
        <v>794.47</v>
      </c>
      <c r="J23" s="2">
        <v>0</v>
      </c>
      <c r="K23" s="5">
        <v>704.53</v>
      </c>
      <c r="V23" t="s">
        <v>569</v>
      </c>
      <c r="X23" s="5">
        <v>1079577</v>
      </c>
      <c r="AA23" s="19" t="s">
        <v>12</v>
      </c>
      <c r="AB23" s="28"/>
    </row>
    <row r="24" spans="1:28" x14ac:dyDescent="0.25">
      <c r="A24">
        <v>14</v>
      </c>
      <c r="B24" s="1">
        <v>42573</v>
      </c>
      <c r="C24" t="s">
        <v>31</v>
      </c>
      <c r="D24" t="s">
        <v>22</v>
      </c>
      <c r="E24" t="s">
        <v>18</v>
      </c>
      <c r="F24" t="s">
        <v>32</v>
      </c>
      <c r="G24" t="s">
        <v>33</v>
      </c>
      <c r="H24" s="5">
        <v>1199</v>
      </c>
      <c r="I24" s="5">
        <v>887.26</v>
      </c>
      <c r="J24" s="2">
        <v>0.15</v>
      </c>
      <c r="K24" s="5">
        <v>131.88999999999999</v>
      </c>
      <c r="V24" t="s">
        <v>566</v>
      </c>
      <c r="W24" t="s">
        <v>554</v>
      </c>
      <c r="X24" s="5">
        <v>41828</v>
      </c>
      <c r="AA24" s="25" t="s">
        <v>35</v>
      </c>
      <c r="AB24" s="28">
        <v>0.35354250184907676</v>
      </c>
    </row>
    <row r="25" spans="1:28" x14ac:dyDescent="0.25">
      <c r="A25">
        <v>15</v>
      </c>
      <c r="B25" s="1">
        <v>42388</v>
      </c>
      <c r="C25" t="s">
        <v>16</v>
      </c>
      <c r="D25" t="s">
        <v>22</v>
      </c>
      <c r="E25" t="s">
        <v>18</v>
      </c>
      <c r="F25" t="s">
        <v>19</v>
      </c>
      <c r="G25" t="s">
        <v>20</v>
      </c>
      <c r="H25" s="5">
        <v>1149</v>
      </c>
      <c r="I25" s="5">
        <v>792.81</v>
      </c>
      <c r="J25" s="2">
        <v>0.15</v>
      </c>
      <c r="K25" s="5">
        <v>183.84000000000003</v>
      </c>
      <c r="W25" t="s">
        <v>555</v>
      </c>
      <c r="X25" s="5">
        <v>43245</v>
      </c>
      <c r="AA25" s="25" t="s">
        <v>13</v>
      </c>
      <c r="AB25" s="28">
        <v>6.9259775411241134E-2</v>
      </c>
    </row>
    <row r="26" spans="1:28" x14ac:dyDescent="0.25">
      <c r="A26">
        <v>16</v>
      </c>
      <c r="B26" s="1">
        <v>42434</v>
      </c>
      <c r="C26" t="s">
        <v>31</v>
      </c>
      <c r="D26" t="s">
        <v>22</v>
      </c>
      <c r="E26" t="s">
        <v>18</v>
      </c>
      <c r="F26" t="s">
        <v>32</v>
      </c>
      <c r="G26" t="s">
        <v>33</v>
      </c>
      <c r="H26" s="5">
        <v>1199</v>
      </c>
      <c r="I26" s="5">
        <v>887.26</v>
      </c>
      <c r="J26" s="2">
        <v>0</v>
      </c>
      <c r="K26" s="5">
        <v>311.74</v>
      </c>
      <c r="W26" t="s">
        <v>556</v>
      </c>
      <c r="X26" s="5">
        <v>34940</v>
      </c>
      <c r="AA26" s="19" t="s">
        <v>576</v>
      </c>
      <c r="AB26" s="28">
        <v>0.42280227726031788</v>
      </c>
    </row>
    <row r="27" spans="1:28" x14ac:dyDescent="0.25">
      <c r="A27">
        <v>17</v>
      </c>
      <c r="B27" s="1">
        <v>42560</v>
      </c>
      <c r="C27" t="s">
        <v>34</v>
      </c>
      <c r="D27" t="s">
        <v>12</v>
      </c>
      <c r="E27" t="s">
        <v>35</v>
      </c>
      <c r="F27" t="s">
        <v>36</v>
      </c>
      <c r="G27" t="s">
        <v>15</v>
      </c>
      <c r="H27" s="5">
        <v>7999</v>
      </c>
      <c r="I27" s="5">
        <v>3199.6000000000004</v>
      </c>
      <c r="J27" s="2">
        <v>0</v>
      </c>
      <c r="K27" s="5">
        <v>4799.3999999999996</v>
      </c>
      <c r="V27" t="s">
        <v>570</v>
      </c>
      <c r="X27" s="5">
        <v>120013</v>
      </c>
      <c r="AA27" s="19" t="s">
        <v>26</v>
      </c>
      <c r="AB27" s="28"/>
    </row>
    <row r="28" spans="1:28" x14ac:dyDescent="0.25">
      <c r="A28">
        <v>18</v>
      </c>
      <c r="B28" s="1">
        <v>42631</v>
      </c>
      <c r="C28" t="s">
        <v>29</v>
      </c>
      <c r="D28" t="s">
        <v>26</v>
      </c>
      <c r="E28" t="s">
        <v>27</v>
      </c>
      <c r="F28" t="s">
        <v>30</v>
      </c>
      <c r="G28" t="s">
        <v>15</v>
      </c>
      <c r="H28" s="5">
        <v>259</v>
      </c>
      <c r="I28" s="5">
        <v>220.15</v>
      </c>
      <c r="J28" s="2">
        <v>0.1</v>
      </c>
      <c r="K28" s="5">
        <v>12.949999999999989</v>
      </c>
      <c r="V28" t="s">
        <v>552</v>
      </c>
      <c r="X28" s="5">
        <v>1199590</v>
      </c>
      <c r="AA28" s="25" t="s">
        <v>45</v>
      </c>
      <c r="AB28" s="28">
        <v>1.702062035031749E-2</v>
      </c>
    </row>
    <row r="29" spans="1:28" x14ac:dyDescent="0.25">
      <c r="A29">
        <v>19</v>
      </c>
      <c r="B29" s="1">
        <v>42438</v>
      </c>
      <c r="C29" t="s">
        <v>44</v>
      </c>
      <c r="D29" t="s">
        <v>26</v>
      </c>
      <c r="E29" t="s">
        <v>45</v>
      </c>
      <c r="F29" t="s">
        <v>46</v>
      </c>
      <c r="G29" t="s">
        <v>15</v>
      </c>
      <c r="H29" s="5">
        <v>699</v>
      </c>
      <c r="I29" s="5">
        <v>531.24</v>
      </c>
      <c r="J29" s="2">
        <v>0.15</v>
      </c>
      <c r="K29" s="5">
        <v>62.909999999999968</v>
      </c>
      <c r="V29" s="24" t="s">
        <v>4</v>
      </c>
      <c r="W29" t="s">
        <v>18</v>
      </c>
      <c r="AA29" s="25" t="s">
        <v>27</v>
      </c>
      <c r="AB29" s="28">
        <v>7.2100470871871131E-2</v>
      </c>
    </row>
    <row r="30" spans="1:28" x14ac:dyDescent="0.25">
      <c r="A30">
        <v>20</v>
      </c>
      <c r="B30" s="1">
        <v>42520</v>
      </c>
      <c r="C30" t="s">
        <v>47</v>
      </c>
      <c r="D30" t="s">
        <v>26</v>
      </c>
      <c r="E30" t="s">
        <v>27</v>
      </c>
      <c r="F30" t="s">
        <v>48</v>
      </c>
      <c r="G30" t="s">
        <v>15</v>
      </c>
      <c r="H30" s="5">
        <v>699</v>
      </c>
      <c r="I30" s="5">
        <v>482.30999999999995</v>
      </c>
      <c r="J30" s="2">
        <v>0.2</v>
      </c>
      <c r="K30" s="5">
        <v>76.8900000000001</v>
      </c>
      <c r="AA30" s="19" t="s">
        <v>577</v>
      </c>
      <c r="AB30" s="28">
        <v>8.9121091222188614E-2</v>
      </c>
    </row>
    <row r="31" spans="1:28" x14ac:dyDescent="0.25">
      <c r="A31">
        <v>21</v>
      </c>
      <c r="B31" s="1">
        <v>42506</v>
      </c>
      <c r="C31" t="s">
        <v>16</v>
      </c>
      <c r="D31" t="s">
        <v>22</v>
      </c>
      <c r="E31" t="s">
        <v>18</v>
      </c>
      <c r="F31" t="s">
        <v>19</v>
      </c>
      <c r="G31" t="s">
        <v>20</v>
      </c>
      <c r="H31" s="5">
        <v>1149</v>
      </c>
      <c r="I31" s="5">
        <v>792.81</v>
      </c>
      <c r="J31" s="2">
        <v>0.3</v>
      </c>
      <c r="K31" s="5">
        <v>11.490000000000009</v>
      </c>
      <c r="V31" s="24" t="s">
        <v>551</v>
      </c>
      <c r="W31" t="s">
        <v>572</v>
      </c>
      <c r="AA31" s="19" t="s">
        <v>552</v>
      </c>
      <c r="AB31" s="28">
        <v>1</v>
      </c>
    </row>
    <row r="32" spans="1:28" x14ac:dyDescent="0.25">
      <c r="A32">
        <v>22</v>
      </c>
      <c r="B32" s="1">
        <v>42506</v>
      </c>
      <c r="C32" t="s">
        <v>49</v>
      </c>
      <c r="D32" t="s">
        <v>26</v>
      </c>
      <c r="E32" t="s">
        <v>27</v>
      </c>
      <c r="F32" t="s">
        <v>50</v>
      </c>
      <c r="G32" t="s">
        <v>15</v>
      </c>
      <c r="H32" s="5">
        <v>259</v>
      </c>
      <c r="I32" s="5">
        <v>106.19</v>
      </c>
      <c r="J32" s="2">
        <v>0.3</v>
      </c>
      <c r="K32" s="5">
        <v>75.109999999999985</v>
      </c>
      <c r="V32" s="19" t="s">
        <v>149</v>
      </c>
      <c r="W32" s="26">
        <v>2</v>
      </c>
    </row>
    <row r="33" spans="1:28" x14ac:dyDescent="0.25">
      <c r="A33">
        <v>23</v>
      </c>
      <c r="B33" s="1">
        <v>42520</v>
      </c>
      <c r="C33" t="s">
        <v>41</v>
      </c>
      <c r="D33" t="s">
        <v>22</v>
      </c>
      <c r="E33" t="s">
        <v>18</v>
      </c>
      <c r="F33" t="s">
        <v>42</v>
      </c>
      <c r="G33" t="s">
        <v>43</v>
      </c>
      <c r="H33" s="5">
        <v>1149</v>
      </c>
      <c r="I33" s="5">
        <v>896.22</v>
      </c>
      <c r="J33" s="2">
        <v>0.2</v>
      </c>
      <c r="K33" s="5">
        <v>22.980000000000018</v>
      </c>
      <c r="V33" s="19" t="s">
        <v>141</v>
      </c>
      <c r="W33" s="26">
        <v>3</v>
      </c>
    </row>
    <row r="34" spans="1:28" x14ac:dyDescent="0.25">
      <c r="A34">
        <v>24</v>
      </c>
      <c r="B34" s="1">
        <v>42506</v>
      </c>
      <c r="C34" t="s">
        <v>31</v>
      </c>
      <c r="D34" t="s">
        <v>22</v>
      </c>
      <c r="E34" t="s">
        <v>18</v>
      </c>
      <c r="F34" t="s">
        <v>32</v>
      </c>
      <c r="G34" t="s">
        <v>33</v>
      </c>
      <c r="H34" s="5">
        <v>1199</v>
      </c>
      <c r="I34" s="5">
        <v>887.26</v>
      </c>
      <c r="J34" s="2">
        <v>0.3</v>
      </c>
      <c r="K34" s="5">
        <v>-47.960000000000036</v>
      </c>
      <c r="V34" s="19" t="s">
        <v>32</v>
      </c>
      <c r="W34" s="26">
        <v>37</v>
      </c>
    </row>
    <row r="35" spans="1:28" x14ac:dyDescent="0.25">
      <c r="A35">
        <v>25</v>
      </c>
      <c r="B35" s="1">
        <v>42512</v>
      </c>
      <c r="C35" t="s">
        <v>25</v>
      </c>
      <c r="D35" t="s">
        <v>26</v>
      </c>
      <c r="E35" t="s">
        <v>27</v>
      </c>
      <c r="F35" t="s">
        <v>28</v>
      </c>
      <c r="G35" t="s">
        <v>15</v>
      </c>
      <c r="H35" s="5">
        <v>1499</v>
      </c>
      <c r="I35" s="5">
        <v>794.47</v>
      </c>
      <c r="J35" s="2">
        <v>0.15</v>
      </c>
      <c r="K35" s="5">
        <v>479.67999999999984</v>
      </c>
      <c r="V35" s="19" t="s">
        <v>19</v>
      </c>
      <c r="W35" s="26">
        <v>18</v>
      </c>
      <c r="AA35" s="24" t="s">
        <v>551</v>
      </c>
      <c r="AB35" t="s">
        <v>578</v>
      </c>
    </row>
    <row r="36" spans="1:28" x14ac:dyDescent="0.25">
      <c r="A36">
        <v>26</v>
      </c>
      <c r="B36" s="1">
        <v>42798</v>
      </c>
      <c r="C36" t="s">
        <v>51</v>
      </c>
      <c r="D36" t="s">
        <v>22</v>
      </c>
      <c r="E36" t="s">
        <v>23</v>
      </c>
      <c r="F36" t="s">
        <v>52</v>
      </c>
      <c r="G36" t="s">
        <v>15</v>
      </c>
      <c r="H36" s="5">
        <v>599</v>
      </c>
      <c r="I36" s="5">
        <v>455.24</v>
      </c>
      <c r="J36" s="2">
        <v>0</v>
      </c>
      <c r="K36" s="5">
        <v>143.76</v>
      </c>
      <c r="V36" s="19" t="s">
        <v>77</v>
      </c>
      <c r="W36" s="26">
        <v>2</v>
      </c>
      <c r="AA36" s="19" t="s">
        <v>18</v>
      </c>
      <c r="AB36" s="28">
        <v>0.15600633745906162</v>
      </c>
    </row>
    <row r="37" spans="1:28" x14ac:dyDescent="0.25">
      <c r="A37">
        <v>27</v>
      </c>
      <c r="B37" s="1">
        <v>42527</v>
      </c>
      <c r="C37" t="s">
        <v>53</v>
      </c>
      <c r="D37" t="s">
        <v>22</v>
      </c>
      <c r="E37" t="s">
        <v>18</v>
      </c>
      <c r="F37" t="s">
        <v>54</v>
      </c>
      <c r="G37" t="s">
        <v>33</v>
      </c>
      <c r="H37" s="5">
        <v>1299</v>
      </c>
      <c r="I37" s="5">
        <v>766.41</v>
      </c>
      <c r="J37" s="2">
        <v>0</v>
      </c>
      <c r="K37" s="5">
        <v>532.59</v>
      </c>
      <c r="V37" s="19" t="s">
        <v>54</v>
      </c>
      <c r="W37" s="26">
        <v>6</v>
      </c>
      <c r="AA37" s="19" t="s">
        <v>86</v>
      </c>
      <c r="AB37" s="28">
        <v>0.34883431405461218</v>
      </c>
    </row>
    <row r="38" spans="1:28" x14ac:dyDescent="0.25">
      <c r="A38">
        <v>28</v>
      </c>
      <c r="B38" s="1">
        <v>42762</v>
      </c>
      <c r="C38" t="s">
        <v>41</v>
      </c>
      <c r="D38" t="s">
        <v>22</v>
      </c>
      <c r="E38" t="s">
        <v>18</v>
      </c>
      <c r="F38" t="s">
        <v>42</v>
      </c>
      <c r="G38" t="s">
        <v>43</v>
      </c>
      <c r="H38" s="5">
        <v>1149</v>
      </c>
      <c r="I38" s="5">
        <v>896.22</v>
      </c>
      <c r="J38" s="2">
        <v>0.15</v>
      </c>
      <c r="K38" s="5">
        <v>80.42999999999995</v>
      </c>
      <c r="V38" s="19" t="s">
        <v>119</v>
      </c>
      <c r="W38" s="26">
        <v>1</v>
      </c>
      <c r="AA38" s="19" t="s">
        <v>23</v>
      </c>
      <c r="AB38" s="28">
        <v>0.21283499185039029</v>
      </c>
    </row>
    <row r="39" spans="1:28" x14ac:dyDescent="0.25">
      <c r="A39">
        <v>29</v>
      </c>
      <c r="B39" s="1">
        <v>42479</v>
      </c>
      <c r="C39" t="s">
        <v>21</v>
      </c>
      <c r="D39" t="s">
        <v>22</v>
      </c>
      <c r="E39" t="s">
        <v>23</v>
      </c>
      <c r="F39" t="s">
        <v>24</v>
      </c>
      <c r="G39" t="s">
        <v>15</v>
      </c>
      <c r="H39" s="5">
        <v>359</v>
      </c>
      <c r="I39" s="5">
        <v>244.12</v>
      </c>
      <c r="J39" s="2">
        <v>0.15</v>
      </c>
      <c r="K39" s="5">
        <v>61.029999999999973</v>
      </c>
      <c r="V39" s="19" t="s">
        <v>165</v>
      </c>
      <c r="W39" s="26">
        <v>1</v>
      </c>
      <c r="AA39" s="19" t="s">
        <v>35</v>
      </c>
      <c r="AB39" s="28">
        <v>0.22391276732643567</v>
      </c>
    </row>
    <row r="40" spans="1:28" x14ac:dyDescent="0.25">
      <c r="A40">
        <v>30</v>
      </c>
      <c r="B40" s="1">
        <v>42672</v>
      </c>
      <c r="C40" t="s">
        <v>55</v>
      </c>
      <c r="D40" t="s">
        <v>26</v>
      </c>
      <c r="E40" t="s">
        <v>45</v>
      </c>
      <c r="F40" t="s">
        <v>56</v>
      </c>
      <c r="G40" t="s">
        <v>15</v>
      </c>
      <c r="H40" s="5">
        <v>499</v>
      </c>
      <c r="I40" s="5">
        <v>279.44000000000005</v>
      </c>
      <c r="J40" s="2">
        <v>0.15</v>
      </c>
      <c r="K40" s="5">
        <v>144.70999999999992</v>
      </c>
      <c r="V40" s="19" t="s">
        <v>82</v>
      </c>
      <c r="W40" s="26">
        <v>4</v>
      </c>
      <c r="AA40" s="19" t="s">
        <v>13</v>
      </c>
      <c r="AB40" s="28">
        <v>0.29182827963057273</v>
      </c>
    </row>
    <row r="41" spans="1:28" x14ac:dyDescent="0.25">
      <c r="A41">
        <v>31</v>
      </c>
      <c r="B41" s="1">
        <v>42573</v>
      </c>
      <c r="C41" t="s">
        <v>57</v>
      </c>
      <c r="D41" t="s">
        <v>22</v>
      </c>
      <c r="E41" t="s">
        <v>18</v>
      </c>
      <c r="F41" t="s">
        <v>58</v>
      </c>
      <c r="G41" t="s">
        <v>33</v>
      </c>
      <c r="H41" s="5">
        <v>799</v>
      </c>
      <c r="I41" s="5">
        <v>631.21</v>
      </c>
      <c r="J41" s="2">
        <v>0.15</v>
      </c>
      <c r="K41" s="5">
        <v>47.939999999999941</v>
      </c>
      <c r="V41" s="19" t="s">
        <v>42</v>
      </c>
      <c r="W41" s="26">
        <v>73</v>
      </c>
      <c r="AA41" s="19" t="s">
        <v>45</v>
      </c>
      <c r="AB41" s="28">
        <v>0.17103069095683576</v>
      </c>
    </row>
    <row r="42" spans="1:28" x14ac:dyDescent="0.25">
      <c r="A42">
        <v>32</v>
      </c>
      <c r="B42" s="1">
        <v>42506</v>
      </c>
      <c r="C42" t="s">
        <v>59</v>
      </c>
      <c r="D42" t="s">
        <v>12</v>
      </c>
      <c r="E42" t="s">
        <v>35</v>
      </c>
      <c r="F42" t="s">
        <v>60</v>
      </c>
      <c r="G42" t="s">
        <v>15</v>
      </c>
      <c r="H42" s="5">
        <v>8999</v>
      </c>
      <c r="I42" s="5">
        <v>4499.5</v>
      </c>
      <c r="J42" s="2">
        <v>0.3</v>
      </c>
      <c r="K42" s="5">
        <v>1799.7999999999993</v>
      </c>
      <c r="V42" s="19" t="s">
        <v>135</v>
      </c>
      <c r="W42" s="26">
        <v>6</v>
      </c>
      <c r="AA42" s="19" t="s">
        <v>27</v>
      </c>
      <c r="AB42" s="28">
        <v>0.35229780849467685</v>
      </c>
    </row>
    <row r="43" spans="1:28" x14ac:dyDescent="0.25">
      <c r="A43">
        <v>33</v>
      </c>
      <c r="B43" s="1">
        <v>42506</v>
      </c>
      <c r="C43" t="s">
        <v>61</v>
      </c>
      <c r="D43" t="s">
        <v>26</v>
      </c>
      <c r="E43" t="s">
        <v>45</v>
      </c>
      <c r="F43" t="s">
        <v>62</v>
      </c>
      <c r="G43" t="s">
        <v>15</v>
      </c>
      <c r="H43" s="5">
        <v>799</v>
      </c>
      <c r="I43" s="5">
        <v>679.15</v>
      </c>
      <c r="J43" s="2">
        <v>0.3</v>
      </c>
      <c r="K43" s="5">
        <v>-119.85000000000002</v>
      </c>
      <c r="V43" s="19" t="s">
        <v>167</v>
      </c>
      <c r="W43" s="26">
        <v>1</v>
      </c>
      <c r="AA43" s="19" t="s">
        <v>552</v>
      </c>
      <c r="AB43" s="28">
        <v>0.25519197392442455</v>
      </c>
    </row>
    <row r="44" spans="1:28" x14ac:dyDescent="0.25">
      <c r="A44">
        <v>34</v>
      </c>
      <c r="B44" s="1">
        <v>42495</v>
      </c>
      <c r="C44" t="s">
        <v>25</v>
      </c>
      <c r="D44" t="s">
        <v>26</v>
      </c>
      <c r="E44" t="s">
        <v>27</v>
      </c>
      <c r="F44" t="s">
        <v>28</v>
      </c>
      <c r="G44" t="s">
        <v>15</v>
      </c>
      <c r="H44" s="5">
        <v>1499</v>
      </c>
      <c r="I44" s="5">
        <v>794.47</v>
      </c>
      <c r="J44" s="2">
        <v>0</v>
      </c>
      <c r="K44" s="5">
        <v>704.53</v>
      </c>
      <c r="V44" s="19" t="s">
        <v>58</v>
      </c>
      <c r="W44" s="26">
        <v>1</v>
      </c>
    </row>
    <row r="45" spans="1:28" x14ac:dyDescent="0.25">
      <c r="A45">
        <v>35</v>
      </c>
      <c r="B45" s="1">
        <v>42818</v>
      </c>
      <c r="C45" t="s">
        <v>63</v>
      </c>
      <c r="D45" t="s">
        <v>12</v>
      </c>
      <c r="E45" t="s">
        <v>35</v>
      </c>
      <c r="F45" t="s">
        <v>64</v>
      </c>
      <c r="G45" t="s">
        <v>15</v>
      </c>
      <c r="H45" s="5">
        <v>13999</v>
      </c>
      <c r="I45" s="5">
        <v>9659.31</v>
      </c>
      <c r="J45" s="2">
        <v>0</v>
      </c>
      <c r="K45" s="5">
        <v>4339.6900000000005</v>
      </c>
      <c r="V45" s="19" t="s">
        <v>73</v>
      </c>
      <c r="W45" s="26">
        <v>10</v>
      </c>
    </row>
    <row r="46" spans="1:28" x14ac:dyDescent="0.25">
      <c r="A46">
        <v>36</v>
      </c>
      <c r="B46" s="1">
        <v>42520</v>
      </c>
      <c r="C46" t="s">
        <v>41</v>
      </c>
      <c r="D46" t="s">
        <v>22</v>
      </c>
      <c r="E46" t="s">
        <v>18</v>
      </c>
      <c r="F46" t="s">
        <v>42</v>
      </c>
      <c r="G46" t="s">
        <v>43</v>
      </c>
      <c r="H46" s="5">
        <v>1149</v>
      </c>
      <c r="I46" s="5">
        <v>896.22</v>
      </c>
      <c r="J46" s="2">
        <v>0.2</v>
      </c>
      <c r="K46" s="5">
        <v>22.980000000000018</v>
      </c>
      <c r="V46" s="19" t="s">
        <v>103</v>
      </c>
      <c r="W46" s="26">
        <v>4</v>
      </c>
    </row>
    <row r="47" spans="1:28" x14ac:dyDescent="0.25">
      <c r="A47">
        <v>37</v>
      </c>
      <c r="B47" s="1">
        <v>42506</v>
      </c>
      <c r="C47" t="s">
        <v>65</v>
      </c>
      <c r="D47" t="s">
        <v>12</v>
      </c>
      <c r="E47" t="s">
        <v>13</v>
      </c>
      <c r="F47" t="s">
        <v>66</v>
      </c>
      <c r="G47" t="s">
        <v>15</v>
      </c>
      <c r="H47" s="5">
        <v>1499</v>
      </c>
      <c r="I47" s="5">
        <v>584.61</v>
      </c>
      <c r="J47" s="2">
        <v>0.3</v>
      </c>
      <c r="K47" s="5">
        <v>464.68999999999994</v>
      </c>
      <c r="V47" s="19" t="s">
        <v>174</v>
      </c>
      <c r="W47" s="26">
        <v>1</v>
      </c>
    </row>
    <row r="48" spans="1:28" x14ac:dyDescent="0.25">
      <c r="A48">
        <v>38</v>
      </c>
      <c r="B48" s="1">
        <v>42626</v>
      </c>
      <c r="C48" t="s">
        <v>16</v>
      </c>
      <c r="D48" t="s">
        <v>22</v>
      </c>
      <c r="E48" t="s">
        <v>18</v>
      </c>
      <c r="F48" t="s">
        <v>19</v>
      </c>
      <c r="G48" t="s">
        <v>20</v>
      </c>
      <c r="H48" s="5">
        <v>1149</v>
      </c>
      <c r="I48" s="5">
        <v>792.81</v>
      </c>
      <c r="J48" s="2">
        <v>0</v>
      </c>
      <c r="K48" s="5">
        <v>356.19000000000005</v>
      </c>
      <c r="V48" s="19" t="s">
        <v>68</v>
      </c>
      <c r="W48" s="26">
        <v>2</v>
      </c>
    </row>
    <row r="49" spans="1:23" x14ac:dyDescent="0.25">
      <c r="A49">
        <v>39</v>
      </c>
      <c r="B49" s="1">
        <v>42539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s="5">
        <v>1299</v>
      </c>
      <c r="I49" s="5">
        <v>727.44</v>
      </c>
      <c r="J49" s="2">
        <v>0</v>
      </c>
      <c r="K49" s="5">
        <v>571.55999999999995</v>
      </c>
      <c r="V49" s="19" t="s">
        <v>552</v>
      </c>
      <c r="W49" s="26">
        <v>172</v>
      </c>
    </row>
    <row r="50" spans="1:23" x14ac:dyDescent="0.25">
      <c r="A50">
        <v>40</v>
      </c>
      <c r="B50" s="1">
        <v>42506</v>
      </c>
      <c r="C50" t="s">
        <v>67</v>
      </c>
      <c r="D50" t="s">
        <v>22</v>
      </c>
      <c r="E50" t="s">
        <v>18</v>
      </c>
      <c r="F50" t="s">
        <v>68</v>
      </c>
      <c r="G50" t="s">
        <v>69</v>
      </c>
      <c r="H50" s="5">
        <v>199</v>
      </c>
      <c r="I50" s="5">
        <v>81.589999999999989</v>
      </c>
      <c r="J50" s="2">
        <v>0.3</v>
      </c>
      <c r="K50" s="5">
        <v>57.709999999999994</v>
      </c>
    </row>
    <row r="51" spans="1:23" x14ac:dyDescent="0.25">
      <c r="A51">
        <v>41</v>
      </c>
      <c r="B51" s="1">
        <v>42454</v>
      </c>
      <c r="C51" t="s">
        <v>41</v>
      </c>
      <c r="D51" t="s">
        <v>22</v>
      </c>
      <c r="E51" t="s">
        <v>18</v>
      </c>
      <c r="F51" t="s">
        <v>42</v>
      </c>
      <c r="G51" t="s">
        <v>43</v>
      </c>
      <c r="H51" s="5">
        <v>1149</v>
      </c>
      <c r="I51" s="5">
        <v>896.22</v>
      </c>
      <c r="J51" s="2">
        <v>0.15</v>
      </c>
      <c r="K51" s="5">
        <v>80.42999999999995</v>
      </c>
    </row>
    <row r="52" spans="1:23" x14ac:dyDescent="0.25">
      <c r="A52">
        <v>42</v>
      </c>
      <c r="B52" s="1">
        <v>42438</v>
      </c>
      <c r="C52" t="s">
        <v>29</v>
      </c>
      <c r="D52" t="s">
        <v>26</v>
      </c>
      <c r="E52" t="s">
        <v>27</v>
      </c>
      <c r="F52" t="s">
        <v>30</v>
      </c>
      <c r="G52" t="s">
        <v>15</v>
      </c>
      <c r="H52" s="5">
        <v>259</v>
      </c>
      <c r="I52" s="5">
        <v>220.15</v>
      </c>
      <c r="J52" s="2">
        <v>0.15</v>
      </c>
      <c r="K52" s="5">
        <v>0</v>
      </c>
    </row>
    <row r="53" spans="1:23" x14ac:dyDescent="0.25">
      <c r="A53">
        <v>43</v>
      </c>
      <c r="B53" s="1">
        <v>42773</v>
      </c>
      <c r="C53" t="s">
        <v>70</v>
      </c>
      <c r="D53" t="s">
        <v>26</v>
      </c>
      <c r="E53" t="s">
        <v>45</v>
      </c>
      <c r="F53" t="s">
        <v>71</v>
      </c>
      <c r="G53" t="s">
        <v>15</v>
      </c>
      <c r="H53" s="5">
        <v>449</v>
      </c>
      <c r="I53" s="5">
        <v>161.63999999999999</v>
      </c>
      <c r="J53" s="2">
        <v>0</v>
      </c>
      <c r="K53" s="5">
        <v>287.36</v>
      </c>
    </row>
    <row r="54" spans="1:23" x14ac:dyDescent="0.25">
      <c r="A54">
        <v>44</v>
      </c>
      <c r="B54" s="1">
        <v>42541</v>
      </c>
      <c r="C54" t="s">
        <v>25</v>
      </c>
      <c r="D54" t="s">
        <v>26</v>
      </c>
      <c r="E54" t="s">
        <v>27</v>
      </c>
      <c r="F54" t="s">
        <v>28</v>
      </c>
      <c r="G54" t="s">
        <v>15</v>
      </c>
      <c r="H54" s="5">
        <v>1499</v>
      </c>
      <c r="I54" s="5">
        <v>794.47</v>
      </c>
      <c r="J54" s="2">
        <v>0</v>
      </c>
      <c r="K54" s="5">
        <v>704.53</v>
      </c>
    </row>
    <row r="55" spans="1:23" x14ac:dyDescent="0.25">
      <c r="A55">
        <v>45</v>
      </c>
      <c r="B55" s="1">
        <v>42388</v>
      </c>
      <c r="C55" t="s">
        <v>25</v>
      </c>
      <c r="D55" t="s">
        <v>26</v>
      </c>
      <c r="E55" t="s">
        <v>27</v>
      </c>
      <c r="F55" t="s">
        <v>28</v>
      </c>
      <c r="G55" t="s">
        <v>15</v>
      </c>
      <c r="H55" s="5">
        <v>1499</v>
      </c>
      <c r="I55" s="5">
        <v>794.47</v>
      </c>
      <c r="J55" s="2">
        <v>0.15</v>
      </c>
      <c r="K55" s="5">
        <v>479.67999999999984</v>
      </c>
    </row>
    <row r="56" spans="1:23" x14ac:dyDescent="0.25">
      <c r="A56">
        <v>46</v>
      </c>
      <c r="B56" s="1">
        <v>42601</v>
      </c>
      <c r="C56" t="s">
        <v>72</v>
      </c>
      <c r="D56" t="s">
        <v>22</v>
      </c>
      <c r="E56" t="s">
        <v>18</v>
      </c>
      <c r="F56" t="s">
        <v>73</v>
      </c>
      <c r="G56" t="s">
        <v>69</v>
      </c>
      <c r="H56" s="5">
        <v>799</v>
      </c>
      <c r="I56" s="5">
        <v>535.33000000000004</v>
      </c>
      <c r="J56" s="2">
        <v>0.15</v>
      </c>
      <c r="K56" s="5">
        <v>143.81999999999994</v>
      </c>
    </row>
    <row r="57" spans="1:23" x14ac:dyDescent="0.25">
      <c r="A57">
        <v>47</v>
      </c>
      <c r="B57" s="1">
        <v>42506</v>
      </c>
      <c r="C57" t="s">
        <v>21</v>
      </c>
      <c r="D57" t="s">
        <v>22</v>
      </c>
      <c r="E57" t="s">
        <v>23</v>
      </c>
      <c r="F57" t="s">
        <v>24</v>
      </c>
      <c r="G57" t="s">
        <v>15</v>
      </c>
      <c r="H57" s="5">
        <v>359</v>
      </c>
      <c r="I57" s="5">
        <v>244.12</v>
      </c>
      <c r="J57" s="2">
        <v>0.3</v>
      </c>
      <c r="K57" s="5">
        <v>7.1799999999999784</v>
      </c>
    </row>
    <row r="58" spans="1:23" x14ac:dyDescent="0.25">
      <c r="A58">
        <v>48</v>
      </c>
      <c r="B58" s="1">
        <v>42438</v>
      </c>
      <c r="C58" t="s">
        <v>72</v>
      </c>
      <c r="D58" t="s">
        <v>22</v>
      </c>
      <c r="E58" t="s">
        <v>18</v>
      </c>
      <c r="F58" t="s">
        <v>73</v>
      </c>
      <c r="G58" t="s">
        <v>69</v>
      </c>
      <c r="H58" s="5">
        <v>799</v>
      </c>
      <c r="I58" s="5">
        <v>535.33000000000004</v>
      </c>
      <c r="J58" s="2">
        <v>0.15</v>
      </c>
      <c r="K58" s="5">
        <v>143.81999999999994</v>
      </c>
    </row>
    <row r="59" spans="1:23" x14ac:dyDescent="0.25">
      <c r="A59">
        <v>49</v>
      </c>
      <c r="B59" s="1">
        <v>42560</v>
      </c>
      <c r="C59" t="s">
        <v>41</v>
      </c>
      <c r="D59" t="s">
        <v>22</v>
      </c>
      <c r="E59" t="s">
        <v>18</v>
      </c>
      <c r="F59" t="s">
        <v>42</v>
      </c>
      <c r="G59" t="s">
        <v>43</v>
      </c>
      <c r="H59" s="5">
        <v>1149</v>
      </c>
      <c r="I59" s="5">
        <v>896.22</v>
      </c>
      <c r="J59" s="2">
        <v>0</v>
      </c>
      <c r="K59" s="5">
        <v>252.77999999999997</v>
      </c>
    </row>
    <row r="60" spans="1:23" x14ac:dyDescent="0.25">
      <c r="A60">
        <v>50</v>
      </c>
      <c r="B60" s="1">
        <v>42520</v>
      </c>
      <c r="C60" t="s">
        <v>74</v>
      </c>
      <c r="D60" t="s">
        <v>12</v>
      </c>
      <c r="E60" t="s">
        <v>13</v>
      </c>
      <c r="F60" t="s">
        <v>75</v>
      </c>
      <c r="G60" t="s">
        <v>15</v>
      </c>
      <c r="H60" s="5">
        <v>2599</v>
      </c>
      <c r="I60" s="5">
        <v>1819.3</v>
      </c>
      <c r="J60" s="2">
        <v>0.2</v>
      </c>
      <c r="K60" s="5">
        <v>259.90000000000032</v>
      </c>
    </row>
    <row r="61" spans="1:23" x14ac:dyDescent="0.25">
      <c r="A61">
        <v>51</v>
      </c>
      <c r="B61" s="1">
        <v>42428</v>
      </c>
      <c r="C61" t="s">
        <v>41</v>
      </c>
      <c r="D61" t="s">
        <v>22</v>
      </c>
      <c r="E61" t="s">
        <v>18</v>
      </c>
      <c r="F61" t="s">
        <v>42</v>
      </c>
      <c r="G61" t="s">
        <v>43</v>
      </c>
      <c r="H61" s="5">
        <v>1149</v>
      </c>
      <c r="I61" s="5">
        <v>896.22</v>
      </c>
      <c r="J61" s="2">
        <v>0</v>
      </c>
      <c r="K61" s="5">
        <v>252.77999999999997</v>
      </c>
    </row>
    <row r="62" spans="1:23" x14ac:dyDescent="0.25">
      <c r="A62">
        <v>52</v>
      </c>
      <c r="B62" s="1">
        <v>42756</v>
      </c>
      <c r="C62" t="s">
        <v>74</v>
      </c>
      <c r="D62" t="s">
        <v>12</v>
      </c>
      <c r="E62" t="s">
        <v>13</v>
      </c>
      <c r="F62" t="s">
        <v>75</v>
      </c>
      <c r="G62" t="s">
        <v>15</v>
      </c>
      <c r="H62" s="5">
        <v>2599</v>
      </c>
      <c r="I62" s="5">
        <v>1819.3</v>
      </c>
      <c r="J62" s="2">
        <v>0</v>
      </c>
      <c r="K62" s="5">
        <v>779.7</v>
      </c>
    </row>
    <row r="63" spans="1:23" x14ac:dyDescent="0.25">
      <c r="A63">
        <v>53</v>
      </c>
      <c r="B63" s="1">
        <v>42736</v>
      </c>
      <c r="C63" t="s">
        <v>25</v>
      </c>
      <c r="D63" t="s">
        <v>26</v>
      </c>
      <c r="E63" t="s">
        <v>27</v>
      </c>
      <c r="F63" t="s">
        <v>28</v>
      </c>
      <c r="G63" t="s">
        <v>15</v>
      </c>
      <c r="H63" s="5">
        <v>1499</v>
      </c>
      <c r="I63" s="5">
        <v>794.47</v>
      </c>
      <c r="J63" s="2">
        <v>0.15</v>
      </c>
      <c r="K63" s="5">
        <v>479.67999999999984</v>
      </c>
    </row>
    <row r="64" spans="1:23" x14ac:dyDescent="0.25">
      <c r="A64">
        <v>54</v>
      </c>
      <c r="B64" s="1">
        <v>42438</v>
      </c>
      <c r="C64" t="s">
        <v>76</v>
      </c>
      <c r="D64" t="s">
        <v>22</v>
      </c>
      <c r="E64" t="s">
        <v>18</v>
      </c>
      <c r="F64" t="s">
        <v>77</v>
      </c>
      <c r="G64" t="s">
        <v>78</v>
      </c>
      <c r="H64" s="5">
        <v>799</v>
      </c>
      <c r="I64" s="5">
        <v>631.21</v>
      </c>
      <c r="J64" s="2">
        <v>0.15</v>
      </c>
      <c r="K64" s="5">
        <v>47.939999999999941</v>
      </c>
    </row>
    <row r="65" spans="1:11" x14ac:dyDescent="0.25">
      <c r="A65">
        <v>55</v>
      </c>
      <c r="B65" s="1">
        <v>42402</v>
      </c>
      <c r="C65" t="s">
        <v>79</v>
      </c>
      <c r="D65" t="s">
        <v>26</v>
      </c>
      <c r="E65" t="s">
        <v>27</v>
      </c>
      <c r="F65" t="s">
        <v>80</v>
      </c>
      <c r="G65" t="s">
        <v>15</v>
      </c>
      <c r="H65" s="5">
        <v>499</v>
      </c>
      <c r="I65" s="5">
        <v>174.64999999999998</v>
      </c>
      <c r="J65" s="2">
        <v>0.2</v>
      </c>
      <c r="K65" s="5">
        <v>224.55000000000007</v>
      </c>
    </row>
    <row r="66" spans="1:11" x14ac:dyDescent="0.25">
      <c r="A66">
        <v>56</v>
      </c>
      <c r="B66" s="1">
        <v>42479</v>
      </c>
      <c r="C66" t="s">
        <v>41</v>
      </c>
      <c r="D66" t="s">
        <v>22</v>
      </c>
      <c r="E66" t="s">
        <v>18</v>
      </c>
      <c r="F66" t="s">
        <v>42</v>
      </c>
      <c r="G66" t="s">
        <v>43</v>
      </c>
      <c r="H66" s="5">
        <v>1149</v>
      </c>
      <c r="I66" s="5">
        <v>896.22</v>
      </c>
      <c r="J66" s="2">
        <v>0.15</v>
      </c>
      <c r="K66" s="5">
        <v>80.42999999999995</v>
      </c>
    </row>
    <row r="67" spans="1:11" x14ac:dyDescent="0.25">
      <c r="A67">
        <v>57</v>
      </c>
      <c r="B67" s="1">
        <v>42536</v>
      </c>
      <c r="C67" t="s">
        <v>29</v>
      </c>
      <c r="D67" t="s">
        <v>26</v>
      </c>
      <c r="E67" t="s">
        <v>27</v>
      </c>
      <c r="F67" t="s">
        <v>30</v>
      </c>
      <c r="G67" t="s">
        <v>15</v>
      </c>
      <c r="H67" s="5">
        <v>259</v>
      </c>
      <c r="I67" s="5">
        <v>220.15</v>
      </c>
      <c r="J67" s="2">
        <v>0</v>
      </c>
      <c r="K67" s="5">
        <v>38.849999999999994</v>
      </c>
    </row>
    <row r="68" spans="1:11" x14ac:dyDescent="0.25">
      <c r="A68">
        <v>58</v>
      </c>
      <c r="B68" s="1">
        <v>42545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s="5">
        <v>1299</v>
      </c>
      <c r="I68" s="5">
        <v>727.44</v>
      </c>
      <c r="J68" s="2">
        <v>0</v>
      </c>
      <c r="K68" s="5">
        <v>571.55999999999995</v>
      </c>
    </row>
    <row r="69" spans="1:11" x14ac:dyDescent="0.25">
      <c r="A69">
        <v>59</v>
      </c>
      <c r="B69" s="1">
        <v>42424</v>
      </c>
      <c r="C69" t="s">
        <v>81</v>
      </c>
      <c r="D69" t="s">
        <v>22</v>
      </c>
      <c r="E69" t="s">
        <v>18</v>
      </c>
      <c r="F69" t="s">
        <v>82</v>
      </c>
      <c r="G69" t="s">
        <v>78</v>
      </c>
      <c r="H69" s="5">
        <v>1299</v>
      </c>
      <c r="I69" s="5">
        <v>909.3</v>
      </c>
      <c r="J69" s="2">
        <v>0.15</v>
      </c>
      <c r="K69" s="5">
        <v>194.84999999999991</v>
      </c>
    </row>
    <row r="70" spans="1:11" x14ac:dyDescent="0.25">
      <c r="A70">
        <v>60</v>
      </c>
      <c r="B70" s="1">
        <v>42455</v>
      </c>
      <c r="C70" t="s">
        <v>41</v>
      </c>
      <c r="D70" t="s">
        <v>22</v>
      </c>
      <c r="E70" t="s">
        <v>18</v>
      </c>
      <c r="F70" t="s">
        <v>42</v>
      </c>
      <c r="G70" t="s">
        <v>43</v>
      </c>
      <c r="H70" s="5">
        <v>1149</v>
      </c>
      <c r="I70" s="5">
        <v>896.22</v>
      </c>
      <c r="J70" s="2">
        <v>0.2</v>
      </c>
      <c r="K70" s="5">
        <v>22.980000000000018</v>
      </c>
    </row>
    <row r="71" spans="1:11" x14ac:dyDescent="0.25">
      <c r="A71">
        <v>61</v>
      </c>
      <c r="B71" s="1">
        <v>42626</v>
      </c>
      <c r="C71" t="s">
        <v>31</v>
      </c>
      <c r="D71" t="s">
        <v>22</v>
      </c>
      <c r="E71" t="s">
        <v>18</v>
      </c>
      <c r="F71" t="s">
        <v>32</v>
      </c>
      <c r="G71" t="s">
        <v>33</v>
      </c>
      <c r="H71" s="5">
        <v>1199</v>
      </c>
      <c r="I71" s="5">
        <v>887.26</v>
      </c>
      <c r="J71" s="2">
        <v>0</v>
      </c>
      <c r="K71" s="5">
        <v>311.74</v>
      </c>
    </row>
    <row r="72" spans="1:11" x14ac:dyDescent="0.25">
      <c r="A72">
        <v>62</v>
      </c>
      <c r="B72" s="1">
        <v>42479</v>
      </c>
      <c r="C72" t="s">
        <v>31</v>
      </c>
      <c r="D72" t="s">
        <v>22</v>
      </c>
      <c r="E72" t="s">
        <v>18</v>
      </c>
      <c r="F72" t="s">
        <v>32</v>
      </c>
      <c r="G72" t="s">
        <v>33</v>
      </c>
      <c r="H72" s="5">
        <v>1199</v>
      </c>
      <c r="I72" s="5">
        <v>887.26</v>
      </c>
      <c r="J72" s="2">
        <v>0.15</v>
      </c>
      <c r="K72" s="5">
        <v>131.88999999999999</v>
      </c>
    </row>
    <row r="73" spans="1:11" x14ac:dyDescent="0.25">
      <c r="A73">
        <v>63</v>
      </c>
      <c r="B73" s="1">
        <v>42519</v>
      </c>
      <c r="C73" t="s">
        <v>41</v>
      </c>
      <c r="D73" t="s">
        <v>22</v>
      </c>
      <c r="E73" t="s">
        <v>18</v>
      </c>
      <c r="F73" t="s">
        <v>42</v>
      </c>
      <c r="G73" t="s">
        <v>43</v>
      </c>
      <c r="H73" s="5">
        <v>1149</v>
      </c>
      <c r="I73" s="5">
        <v>896.22</v>
      </c>
      <c r="J73" s="2">
        <v>0</v>
      </c>
      <c r="K73" s="5">
        <v>252.77999999999997</v>
      </c>
    </row>
    <row r="74" spans="1:11" x14ac:dyDescent="0.25">
      <c r="A74">
        <v>64</v>
      </c>
      <c r="B74" s="1">
        <v>42672</v>
      </c>
      <c r="C74" t="s">
        <v>41</v>
      </c>
      <c r="D74" t="s">
        <v>22</v>
      </c>
      <c r="E74" t="s">
        <v>18</v>
      </c>
      <c r="F74" t="s">
        <v>42</v>
      </c>
      <c r="G74" t="s">
        <v>43</v>
      </c>
      <c r="H74" s="5">
        <v>1149</v>
      </c>
      <c r="I74" s="5">
        <v>896.22</v>
      </c>
      <c r="J74" s="2">
        <v>0.15</v>
      </c>
      <c r="K74" s="5">
        <v>80.42999999999995</v>
      </c>
    </row>
    <row r="75" spans="1:11" x14ac:dyDescent="0.25">
      <c r="A75">
        <v>65</v>
      </c>
      <c r="B75" s="1">
        <v>42643</v>
      </c>
      <c r="C75" t="s">
        <v>61</v>
      </c>
      <c r="D75" t="s">
        <v>26</v>
      </c>
      <c r="E75" t="s">
        <v>45</v>
      </c>
      <c r="F75" t="s">
        <v>62</v>
      </c>
      <c r="G75" t="s">
        <v>15</v>
      </c>
      <c r="H75" s="5">
        <v>799</v>
      </c>
      <c r="I75" s="5">
        <v>679.15</v>
      </c>
      <c r="J75" s="2">
        <v>0.2</v>
      </c>
      <c r="K75" s="5">
        <v>-39.949999999999932</v>
      </c>
    </row>
    <row r="76" spans="1:11" x14ac:dyDescent="0.25">
      <c r="A76">
        <v>66</v>
      </c>
      <c r="B76" s="1">
        <v>42546</v>
      </c>
      <c r="C76" t="s">
        <v>83</v>
      </c>
      <c r="D76" t="s">
        <v>26</v>
      </c>
      <c r="E76" t="s">
        <v>45</v>
      </c>
      <c r="F76" t="s">
        <v>84</v>
      </c>
      <c r="G76" t="s">
        <v>15</v>
      </c>
      <c r="H76" s="5">
        <v>999</v>
      </c>
      <c r="I76" s="5">
        <v>509.49</v>
      </c>
      <c r="J76" s="2">
        <v>0.2</v>
      </c>
      <c r="K76" s="5">
        <v>289.71000000000004</v>
      </c>
    </row>
    <row r="77" spans="1:11" x14ac:dyDescent="0.25">
      <c r="A77">
        <v>67</v>
      </c>
      <c r="B77" s="1">
        <v>42400</v>
      </c>
      <c r="C77" t="s">
        <v>63</v>
      </c>
      <c r="D77" t="s">
        <v>12</v>
      </c>
      <c r="E77" t="s">
        <v>35</v>
      </c>
      <c r="F77" t="s">
        <v>64</v>
      </c>
      <c r="G77" t="s">
        <v>15</v>
      </c>
      <c r="H77" s="5">
        <v>13999</v>
      </c>
      <c r="I77" s="5">
        <v>9659.31</v>
      </c>
      <c r="J77" s="2">
        <v>0</v>
      </c>
      <c r="K77" s="5">
        <v>4339.6900000000005</v>
      </c>
    </row>
    <row r="78" spans="1:11" x14ac:dyDescent="0.25">
      <c r="A78">
        <v>68</v>
      </c>
      <c r="B78" s="1">
        <v>42631</v>
      </c>
      <c r="C78" t="s">
        <v>85</v>
      </c>
      <c r="D78" t="s">
        <v>22</v>
      </c>
      <c r="E78" t="s">
        <v>86</v>
      </c>
      <c r="F78" t="s">
        <v>87</v>
      </c>
      <c r="G78" t="s">
        <v>15</v>
      </c>
      <c r="H78" s="5">
        <v>3999</v>
      </c>
      <c r="I78" s="5">
        <v>1399.6499999999999</v>
      </c>
      <c r="J78" s="2">
        <v>0.1</v>
      </c>
      <c r="K78" s="5">
        <v>2199.4499999999998</v>
      </c>
    </row>
    <row r="79" spans="1:11" x14ac:dyDescent="0.25">
      <c r="A79">
        <v>69</v>
      </c>
      <c r="B79" s="1">
        <v>42506</v>
      </c>
      <c r="C79" t="s">
        <v>44</v>
      </c>
      <c r="D79" t="s">
        <v>26</v>
      </c>
      <c r="E79" t="s">
        <v>45</v>
      </c>
      <c r="F79" t="s">
        <v>46</v>
      </c>
      <c r="G79" t="s">
        <v>15</v>
      </c>
      <c r="H79" s="5">
        <v>699</v>
      </c>
      <c r="I79" s="5">
        <v>531.24</v>
      </c>
      <c r="J79" s="2">
        <v>0.3</v>
      </c>
      <c r="K79" s="5">
        <v>-41.940000000000055</v>
      </c>
    </row>
    <row r="80" spans="1:11" x14ac:dyDescent="0.25">
      <c r="A80">
        <v>70</v>
      </c>
      <c r="B80" s="1">
        <v>42520</v>
      </c>
      <c r="C80" t="s">
        <v>41</v>
      </c>
      <c r="D80" t="s">
        <v>22</v>
      </c>
      <c r="E80" t="s">
        <v>18</v>
      </c>
      <c r="F80" t="s">
        <v>42</v>
      </c>
      <c r="G80" t="s">
        <v>43</v>
      </c>
      <c r="H80" s="5">
        <v>1149</v>
      </c>
      <c r="I80" s="5">
        <v>896.22</v>
      </c>
      <c r="J80" s="2">
        <v>0.2</v>
      </c>
      <c r="K80" s="5">
        <v>22.980000000000018</v>
      </c>
    </row>
    <row r="81" spans="1:11" x14ac:dyDescent="0.25">
      <c r="A81">
        <v>71</v>
      </c>
      <c r="B81" s="1">
        <v>42402</v>
      </c>
      <c r="C81" t="s">
        <v>88</v>
      </c>
      <c r="D81" t="s">
        <v>22</v>
      </c>
      <c r="E81" t="s">
        <v>86</v>
      </c>
      <c r="F81" t="s">
        <v>89</v>
      </c>
      <c r="G81" t="s">
        <v>15</v>
      </c>
      <c r="H81" s="5">
        <v>7999</v>
      </c>
      <c r="I81" s="5">
        <v>2399.6999999999998</v>
      </c>
      <c r="J81" s="2">
        <v>0.2</v>
      </c>
      <c r="K81" s="5">
        <v>3999.5000000000009</v>
      </c>
    </row>
    <row r="82" spans="1:11" x14ac:dyDescent="0.25">
      <c r="A82">
        <v>72</v>
      </c>
      <c r="B82" s="1">
        <v>42512</v>
      </c>
      <c r="C82" t="s">
        <v>85</v>
      </c>
      <c r="D82" t="s">
        <v>22</v>
      </c>
      <c r="E82" t="s">
        <v>86</v>
      </c>
      <c r="F82" t="s">
        <v>87</v>
      </c>
      <c r="G82" t="s">
        <v>15</v>
      </c>
      <c r="H82" s="5">
        <v>3999</v>
      </c>
      <c r="I82" s="5">
        <v>1399.6499999999999</v>
      </c>
      <c r="J82" s="2">
        <v>0.15</v>
      </c>
      <c r="K82" s="5">
        <v>1999.5000000000002</v>
      </c>
    </row>
    <row r="83" spans="1:11" x14ac:dyDescent="0.25">
      <c r="A83">
        <v>73</v>
      </c>
      <c r="B83" s="1">
        <v>42379</v>
      </c>
      <c r="C83" t="s">
        <v>51</v>
      </c>
      <c r="D83" t="s">
        <v>22</v>
      </c>
      <c r="E83" t="s">
        <v>23</v>
      </c>
      <c r="F83" t="s">
        <v>52</v>
      </c>
      <c r="G83" t="s">
        <v>15</v>
      </c>
      <c r="H83" s="5">
        <v>599</v>
      </c>
      <c r="I83" s="5">
        <v>455.24</v>
      </c>
      <c r="J83" s="2">
        <v>0</v>
      </c>
      <c r="K83" s="5">
        <v>143.76</v>
      </c>
    </row>
    <row r="84" spans="1:11" x14ac:dyDescent="0.25">
      <c r="A84">
        <v>74</v>
      </c>
      <c r="B84" s="1">
        <v>42402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s="5">
        <v>1299</v>
      </c>
      <c r="I84" s="5">
        <v>727.44</v>
      </c>
      <c r="J84" s="2">
        <v>0.2</v>
      </c>
      <c r="K84" s="5">
        <v>311.76</v>
      </c>
    </row>
    <row r="85" spans="1:11" x14ac:dyDescent="0.25">
      <c r="A85">
        <v>75</v>
      </c>
      <c r="B85" s="1">
        <v>42575</v>
      </c>
      <c r="C85" t="s">
        <v>90</v>
      </c>
      <c r="D85" t="s">
        <v>12</v>
      </c>
      <c r="E85" t="s">
        <v>35</v>
      </c>
      <c r="F85" t="s">
        <v>91</v>
      </c>
      <c r="G85" t="s">
        <v>15</v>
      </c>
      <c r="H85" s="5">
        <v>6999</v>
      </c>
      <c r="I85" s="5">
        <v>4829.3099999999995</v>
      </c>
      <c r="J85" s="2">
        <v>0.2</v>
      </c>
      <c r="K85" s="5">
        <v>769.89000000000124</v>
      </c>
    </row>
    <row r="86" spans="1:11" x14ac:dyDescent="0.25">
      <c r="A86">
        <v>76</v>
      </c>
      <c r="B86" s="1">
        <v>42657</v>
      </c>
      <c r="C86" t="s">
        <v>92</v>
      </c>
      <c r="D86" t="s">
        <v>22</v>
      </c>
      <c r="E86" t="s">
        <v>86</v>
      </c>
      <c r="F86" t="s">
        <v>93</v>
      </c>
      <c r="G86" t="s">
        <v>15</v>
      </c>
      <c r="H86" s="5">
        <v>11999</v>
      </c>
      <c r="I86" s="5">
        <v>4199.6499999999996</v>
      </c>
      <c r="J86" s="2">
        <v>0.15</v>
      </c>
      <c r="K86" s="5">
        <v>5999.5</v>
      </c>
    </row>
    <row r="87" spans="1:11" x14ac:dyDescent="0.25">
      <c r="A87">
        <v>77</v>
      </c>
      <c r="B87" s="1">
        <v>42425</v>
      </c>
      <c r="C87" t="s">
        <v>94</v>
      </c>
      <c r="D87" t="s">
        <v>26</v>
      </c>
      <c r="E87" t="s">
        <v>45</v>
      </c>
      <c r="F87" t="s">
        <v>95</v>
      </c>
      <c r="G87" t="s">
        <v>15</v>
      </c>
      <c r="H87" s="5">
        <v>819</v>
      </c>
      <c r="I87" s="5">
        <v>319.41000000000003</v>
      </c>
      <c r="J87" s="2">
        <v>0</v>
      </c>
      <c r="K87" s="5">
        <v>499.59</v>
      </c>
    </row>
    <row r="88" spans="1:11" x14ac:dyDescent="0.25">
      <c r="A88">
        <v>78</v>
      </c>
      <c r="B88" s="1">
        <v>42506</v>
      </c>
      <c r="C88" t="s">
        <v>41</v>
      </c>
      <c r="D88" t="s">
        <v>22</v>
      </c>
      <c r="E88" t="s">
        <v>18</v>
      </c>
      <c r="F88" t="s">
        <v>42</v>
      </c>
      <c r="G88" t="s">
        <v>43</v>
      </c>
      <c r="H88" s="5">
        <v>1149</v>
      </c>
      <c r="I88" s="5">
        <v>896.22</v>
      </c>
      <c r="J88" s="2">
        <v>0.3</v>
      </c>
      <c r="K88" s="5">
        <v>-91.920000000000073</v>
      </c>
    </row>
    <row r="89" spans="1:11" x14ac:dyDescent="0.25">
      <c r="A89">
        <v>79</v>
      </c>
      <c r="B89" s="1">
        <v>42402</v>
      </c>
      <c r="C89" t="s">
        <v>21</v>
      </c>
      <c r="D89" t="s">
        <v>22</v>
      </c>
      <c r="E89" t="s">
        <v>23</v>
      </c>
      <c r="F89" t="s">
        <v>24</v>
      </c>
      <c r="G89" t="s">
        <v>15</v>
      </c>
      <c r="H89" s="5">
        <v>359</v>
      </c>
      <c r="I89" s="5">
        <v>244.12</v>
      </c>
      <c r="J89" s="2">
        <v>0.2</v>
      </c>
      <c r="K89" s="5">
        <v>43.079999999999984</v>
      </c>
    </row>
    <row r="90" spans="1:11" x14ac:dyDescent="0.25">
      <c r="A90">
        <v>80</v>
      </c>
      <c r="B90" s="1">
        <v>42470</v>
      </c>
      <c r="C90" t="s">
        <v>85</v>
      </c>
      <c r="D90" t="s">
        <v>22</v>
      </c>
      <c r="E90" t="s">
        <v>86</v>
      </c>
      <c r="F90" t="s">
        <v>87</v>
      </c>
      <c r="G90" t="s">
        <v>15</v>
      </c>
      <c r="H90" s="5">
        <v>3999</v>
      </c>
      <c r="I90" s="5">
        <v>1399.6499999999999</v>
      </c>
      <c r="J90" s="2">
        <v>0</v>
      </c>
      <c r="K90" s="5">
        <v>2599.3500000000004</v>
      </c>
    </row>
    <row r="91" spans="1:11" x14ac:dyDescent="0.25">
      <c r="A91">
        <v>81</v>
      </c>
      <c r="B91" s="1">
        <v>42657</v>
      </c>
      <c r="C91" t="s">
        <v>96</v>
      </c>
      <c r="D91" t="s">
        <v>12</v>
      </c>
      <c r="E91" t="s">
        <v>35</v>
      </c>
      <c r="F91" t="s">
        <v>97</v>
      </c>
      <c r="G91" t="s">
        <v>15</v>
      </c>
      <c r="H91" s="5">
        <v>11999</v>
      </c>
      <c r="I91" s="5">
        <v>7799.35</v>
      </c>
      <c r="J91" s="2">
        <v>0.15</v>
      </c>
      <c r="K91" s="5">
        <v>2399.7999999999993</v>
      </c>
    </row>
    <row r="92" spans="1:11" x14ac:dyDescent="0.25">
      <c r="A92">
        <v>82</v>
      </c>
      <c r="B92" s="1">
        <v>42605</v>
      </c>
      <c r="C92" t="s">
        <v>41</v>
      </c>
      <c r="D92" t="s">
        <v>22</v>
      </c>
      <c r="E92" t="s">
        <v>18</v>
      </c>
      <c r="F92" t="s">
        <v>42</v>
      </c>
      <c r="G92" t="s">
        <v>43</v>
      </c>
      <c r="H92" s="5">
        <v>1149</v>
      </c>
      <c r="I92" s="5">
        <v>896.22</v>
      </c>
      <c r="J92" s="2">
        <v>0</v>
      </c>
      <c r="K92" s="5">
        <v>252.77999999999997</v>
      </c>
    </row>
    <row r="93" spans="1:11" x14ac:dyDescent="0.25">
      <c r="A93">
        <v>83</v>
      </c>
      <c r="B93" s="1">
        <v>42388</v>
      </c>
      <c r="C93" t="s">
        <v>61</v>
      </c>
      <c r="D93" t="s">
        <v>26</v>
      </c>
      <c r="E93" t="s">
        <v>45</v>
      </c>
      <c r="F93" t="s">
        <v>62</v>
      </c>
      <c r="G93" t="s">
        <v>15</v>
      </c>
      <c r="H93" s="5">
        <v>799</v>
      </c>
      <c r="I93" s="5">
        <v>679.15</v>
      </c>
      <c r="J93" s="2">
        <v>0.15</v>
      </c>
      <c r="K93" s="5">
        <v>0</v>
      </c>
    </row>
    <row r="94" spans="1:11" x14ac:dyDescent="0.25">
      <c r="A94">
        <v>84</v>
      </c>
      <c r="B94" s="1">
        <v>42736</v>
      </c>
      <c r="C94" t="s">
        <v>41</v>
      </c>
      <c r="D94" t="s">
        <v>22</v>
      </c>
      <c r="E94" t="s">
        <v>18</v>
      </c>
      <c r="F94" t="s">
        <v>42</v>
      </c>
      <c r="G94" t="s">
        <v>43</v>
      </c>
      <c r="H94" s="5">
        <v>1149</v>
      </c>
      <c r="I94" s="5">
        <v>896.22</v>
      </c>
      <c r="J94" s="2">
        <v>0.15</v>
      </c>
      <c r="K94" s="5">
        <v>80.42999999999995</v>
      </c>
    </row>
    <row r="95" spans="1:11" x14ac:dyDescent="0.25">
      <c r="A95">
        <v>85</v>
      </c>
      <c r="B95" s="1">
        <v>42531</v>
      </c>
      <c r="C95" t="s">
        <v>41</v>
      </c>
      <c r="D95" t="s">
        <v>22</v>
      </c>
      <c r="E95" t="s">
        <v>18</v>
      </c>
      <c r="F95" t="s">
        <v>42</v>
      </c>
      <c r="G95" t="s">
        <v>43</v>
      </c>
      <c r="H95" s="5">
        <v>1149</v>
      </c>
      <c r="I95" s="5">
        <v>896.22</v>
      </c>
      <c r="J95" s="2">
        <v>0</v>
      </c>
      <c r="K95" s="5">
        <v>252.77999999999997</v>
      </c>
    </row>
    <row r="96" spans="1:11" x14ac:dyDescent="0.25">
      <c r="A96">
        <v>86</v>
      </c>
      <c r="B96" s="1">
        <v>42489</v>
      </c>
      <c r="C96" t="s">
        <v>49</v>
      </c>
      <c r="D96" t="s">
        <v>26</v>
      </c>
      <c r="E96" t="s">
        <v>27</v>
      </c>
      <c r="F96" t="s">
        <v>50</v>
      </c>
      <c r="G96" t="s">
        <v>15</v>
      </c>
      <c r="H96" s="5">
        <v>259</v>
      </c>
      <c r="I96" s="5">
        <v>106.19</v>
      </c>
      <c r="J96" s="2">
        <v>0</v>
      </c>
      <c r="K96" s="5">
        <v>152.81</v>
      </c>
    </row>
    <row r="97" spans="1:11" x14ac:dyDescent="0.25">
      <c r="A97">
        <v>87</v>
      </c>
      <c r="B97" s="1">
        <v>42417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s="5">
        <v>1299</v>
      </c>
      <c r="I97" s="5">
        <v>727.44</v>
      </c>
      <c r="J97" s="2">
        <v>0</v>
      </c>
      <c r="K97" s="5">
        <v>571.55999999999995</v>
      </c>
    </row>
    <row r="98" spans="1:11" x14ac:dyDescent="0.25">
      <c r="A98">
        <v>88</v>
      </c>
      <c r="B98" s="1">
        <v>42459</v>
      </c>
      <c r="C98" t="s">
        <v>70</v>
      </c>
      <c r="D98" t="s">
        <v>26</v>
      </c>
      <c r="E98" t="s">
        <v>45</v>
      </c>
      <c r="F98" t="s">
        <v>71</v>
      </c>
      <c r="G98" t="s">
        <v>15</v>
      </c>
      <c r="H98" s="5">
        <v>449</v>
      </c>
      <c r="I98" s="5">
        <v>161.63999999999999</v>
      </c>
      <c r="J98" s="2">
        <v>0</v>
      </c>
      <c r="K98" s="5">
        <v>287.36</v>
      </c>
    </row>
    <row r="99" spans="1:11" x14ac:dyDescent="0.25">
      <c r="A99">
        <v>89</v>
      </c>
      <c r="B99" s="1">
        <v>42728</v>
      </c>
      <c r="C99" t="s">
        <v>98</v>
      </c>
      <c r="D99" t="s">
        <v>22</v>
      </c>
      <c r="E99" t="s">
        <v>86</v>
      </c>
      <c r="F99" t="s">
        <v>99</v>
      </c>
      <c r="G99" t="s">
        <v>15</v>
      </c>
      <c r="H99" s="5">
        <v>5999</v>
      </c>
      <c r="I99" s="5">
        <v>3419.43</v>
      </c>
      <c r="J99" s="2">
        <v>0</v>
      </c>
      <c r="K99" s="5">
        <v>2579.5700000000002</v>
      </c>
    </row>
    <row r="100" spans="1:11" x14ac:dyDescent="0.25">
      <c r="A100">
        <v>90</v>
      </c>
      <c r="B100" s="1">
        <v>42512</v>
      </c>
      <c r="C100" t="s">
        <v>41</v>
      </c>
      <c r="D100" t="s">
        <v>22</v>
      </c>
      <c r="E100" t="s">
        <v>18</v>
      </c>
      <c r="F100" t="s">
        <v>42</v>
      </c>
      <c r="G100" t="s">
        <v>43</v>
      </c>
      <c r="H100" s="5">
        <v>1149</v>
      </c>
      <c r="I100" s="5">
        <v>896.22</v>
      </c>
      <c r="J100" s="2">
        <v>0.15</v>
      </c>
      <c r="K100" s="5">
        <v>80.42999999999995</v>
      </c>
    </row>
    <row r="101" spans="1:11" x14ac:dyDescent="0.25">
      <c r="A101">
        <v>91</v>
      </c>
      <c r="B101" s="1">
        <v>42657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s="5">
        <v>1299</v>
      </c>
      <c r="I101" s="5">
        <v>727.44</v>
      </c>
      <c r="J101" s="2">
        <v>0.15</v>
      </c>
      <c r="K101" s="5">
        <v>376.70999999999981</v>
      </c>
    </row>
    <row r="102" spans="1:11" x14ac:dyDescent="0.25">
      <c r="A102">
        <v>92</v>
      </c>
      <c r="B102" s="1">
        <v>42575</v>
      </c>
      <c r="C102" t="s">
        <v>41</v>
      </c>
      <c r="D102" t="s">
        <v>22</v>
      </c>
      <c r="E102" t="s">
        <v>18</v>
      </c>
      <c r="F102" t="s">
        <v>42</v>
      </c>
      <c r="G102" t="s">
        <v>43</v>
      </c>
      <c r="H102" s="5">
        <v>1149</v>
      </c>
      <c r="I102" s="5">
        <v>896.22</v>
      </c>
      <c r="J102" s="2">
        <v>0.2</v>
      </c>
      <c r="K102" s="5">
        <v>22.980000000000018</v>
      </c>
    </row>
    <row r="103" spans="1:11" x14ac:dyDescent="0.25">
      <c r="A103">
        <v>93</v>
      </c>
      <c r="B103" s="1">
        <v>42391</v>
      </c>
      <c r="C103" t="s">
        <v>61</v>
      </c>
      <c r="D103" t="s">
        <v>26</v>
      </c>
      <c r="E103" t="s">
        <v>45</v>
      </c>
      <c r="F103" t="s">
        <v>62</v>
      </c>
      <c r="G103" t="s">
        <v>15</v>
      </c>
      <c r="H103" s="5">
        <v>799</v>
      </c>
      <c r="I103" s="5">
        <v>679.15</v>
      </c>
      <c r="J103" s="2">
        <v>0</v>
      </c>
      <c r="K103" s="5">
        <v>119.85000000000002</v>
      </c>
    </row>
    <row r="104" spans="1:11" x14ac:dyDescent="0.25">
      <c r="A104">
        <v>94</v>
      </c>
      <c r="B104" s="1">
        <v>42524</v>
      </c>
      <c r="C104" t="s">
        <v>25</v>
      </c>
      <c r="D104" t="s">
        <v>26</v>
      </c>
      <c r="E104" t="s">
        <v>27</v>
      </c>
      <c r="F104" t="s">
        <v>28</v>
      </c>
      <c r="G104" t="s">
        <v>15</v>
      </c>
      <c r="H104" s="5">
        <v>1499</v>
      </c>
      <c r="I104" s="5">
        <v>794.47</v>
      </c>
      <c r="J104" s="2">
        <v>0</v>
      </c>
      <c r="K104" s="5">
        <v>704.53</v>
      </c>
    </row>
    <row r="105" spans="1:11" x14ac:dyDescent="0.25">
      <c r="A105">
        <v>95</v>
      </c>
      <c r="B105" s="1">
        <v>42404</v>
      </c>
      <c r="C105" t="s">
        <v>100</v>
      </c>
      <c r="D105" t="s">
        <v>12</v>
      </c>
      <c r="E105" t="s">
        <v>35</v>
      </c>
      <c r="F105" t="s">
        <v>101</v>
      </c>
      <c r="G105" t="s">
        <v>15</v>
      </c>
      <c r="H105" s="5">
        <v>7599</v>
      </c>
      <c r="I105" s="5">
        <v>6307.17</v>
      </c>
      <c r="J105" s="2">
        <v>0.15</v>
      </c>
      <c r="K105" s="5">
        <v>151.97999999999956</v>
      </c>
    </row>
    <row r="106" spans="1:11" x14ac:dyDescent="0.25">
      <c r="A106">
        <v>96</v>
      </c>
      <c r="B106" s="1">
        <v>42439</v>
      </c>
      <c r="C106" t="s">
        <v>102</v>
      </c>
      <c r="D106" t="s">
        <v>22</v>
      </c>
      <c r="E106" t="s">
        <v>18</v>
      </c>
      <c r="F106" t="s">
        <v>103</v>
      </c>
      <c r="G106" t="s">
        <v>33</v>
      </c>
      <c r="H106" s="5">
        <v>899</v>
      </c>
      <c r="I106" s="5">
        <v>440.51</v>
      </c>
      <c r="J106" s="2">
        <v>0</v>
      </c>
      <c r="K106" s="5">
        <v>458.49</v>
      </c>
    </row>
    <row r="107" spans="1:11" x14ac:dyDescent="0.25">
      <c r="A107">
        <v>97</v>
      </c>
      <c r="B107" s="1">
        <v>42404</v>
      </c>
      <c r="C107" t="s">
        <v>41</v>
      </c>
      <c r="D107" t="s">
        <v>22</v>
      </c>
      <c r="E107" t="s">
        <v>18</v>
      </c>
      <c r="F107" t="s">
        <v>42</v>
      </c>
      <c r="G107" t="s">
        <v>43</v>
      </c>
      <c r="H107" s="5">
        <v>1149</v>
      </c>
      <c r="I107" s="5">
        <v>896.22</v>
      </c>
      <c r="J107" s="2">
        <v>0.15</v>
      </c>
      <c r="K107" s="5">
        <v>80.42999999999995</v>
      </c>
    </row>
    <row r="108" spans="1:11" x14ac:dyDescent="0.25">
      <c r="A108">
        <v>98</v>
      </c>
      <c r="B108" s="1">
        <v>42820</v>
      </c>
      <c r="C108" t="s">
        <v>16</v>
      </c>
      <c r="D108" t="s">
        <v>22</v>
      </c>
      <c r="E108" t="s">
        <v>18</v>
      </c>
      <c r="F108" t="s">
        <v>19</v>
      </c>
      <c r="G108" t="s">
        <v>20</v>
      </c>
      <c r="H108" s="5">
        <v>1149</v>
      </c>
      <c r="I108" s="5">
        <v>792.81</v>
      </c>
      <c r="J108" s="2">
        <v>0</v>
      </c>
      <c r="K108" s="5">
        <v>356.19000000000005</v>
      </c>
    </row>
    <row r="109" spans="1:11" x14ac:dyDescent="0.25">
      <c r="A109">
        <v>99</v>
      </c>
      <c r="B109" s="1">
        <v>42512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s="5">
        <v>1299</v>
      </c>
      <c r="I109" s="5">
        <v>727.44</v>
      </c>
      <c r="J109" s="2">
        <v>0.15</v>
      </c>
      <c r="K109" s="5">
        <v>376.70999999999981</v>
      </c>
    </row>
    <row r="110" spans="1:11" x14ac:dyDescent="0.25">
      <c r="A110">
        <v>100</v>
      </c>
      <c r="B110" s="1">
        <v>42696</v>
      </c>
      <c r="C110" t="s">
        <v>104</v>
      </c>
      <c r="D110" t="s">
        <v>22</v>
      </c>
      <c r="E110" t="s">
        <v>23</v>
      </c>
      <c r="F110" t="s">
        <v>105</v>
      </c>
      <c r="G110" t="s">
        <v>15</v>
      </c>
      <c r="H110" s="5">
        <v>359</v>
      </c>
      <c r="I110" s="5">
        <v>294.38</v>
      </c>
      <c r="J110" s="2">
        <v>0</v>
      </c>
      <c r="K110" s="5">
        <v>64.62</v>
      </c>
    </row>
    <row r="111" spans="1:11" x14ac:dyDescent="0.25">
      <c r="A111">
        <v>101</v>
      </c>
      <c r="B111" s="1">
        <v>42462</v>
      </c>
      <c r="C111" t="s">
        <v>90</v>
      </c>
      <c r="D111" t="s">
        <v>12</v>
      </c>
      <c r="E111" t="s">
        <v>35</v>
      </c>
      <c r="F111" t="s">
        <v>91</v>
      </c>
      <c r="G111" t="s">
        <v>15</v>
      </c>
      <c r="H111" s="5">
        <v>6999</v>
      </c>
      <c r="I111" s="5">
        <v>4829.3099999999995</v>
      </c>
      <c r="J111" s="2">
        <v>0</v>
      </c>
      <c r="K111" s="5">
        <v>2169.6900000000005</v>
      </c>
    </row>
    <row r="112" spans="1:11" x14ac:dyDescent="0.25">
      <c r="A112">
        <v>102</v>
      </c>
      <c r="B112" s="1">
        <v>42718</v>
      </c>
      <c r="C112" t="s">
        <v>88</v>
      </c>
      <c r="D112" t="s">
        <v>22</v>
      </c>
      <c r="E112" t="s">
        <v>86</v>
      </c>
      <c r="F112" t="s">
        <v>89</v>
      </c>
      <c r="G112" t="s">
        <v>15</v>
      </c>
      <c r="H112" s="5">
        <v>7999</v>
      </c>
      <c r="I112" s="5">
        <v>2399.6999999999998</v>
      </c>
      <c r="J112" s="2">
        <v>0</v>
      </c>
      <c r="K112" s="5">
        <v>5599.3</v>
      </c>
    </row>
    <row r="113" spans="1:11" x14ac:dyDescent="0.25">
      <c r="A113">
        <v>103</v>
      </c>
      <c r="B113" s="1">
        <v>42755</v>
      </c>
      <c r="C113" t="s">
        <v>29</v>
      </c>
      <c r="D113" t="s">
        <v>26</v>
      </c>
      <c r="E113" t="s">
        <v>27</v>
      </c>
      <c r="F113" t="s">
        <v>30</v>
      </c>
      <c r="G113" t="s">
        <v>15</v>
      </c>
      <c r="H113" s="5">
        <v>259</v>
      </c>
      <c r="I113" s="5">
        <v>220.15</v>
      </c>
      <c r="J113" s="2">
        <v>0</v>
      </c>
      <c r="K113" s="5">
        <v>38.849999999999994</v>
      </c>
    </row>
    <row r="114" spans="1:11" x14ac:dyDescent="0.25">
      <c r="A114">
        <v>104</v>
      </c>
      <c r="B114" s="1">
        <v>42506</v>
      </c>
      <c r="C114" t="s">
        <v>51</v>
      </c>
      <c r="D114" t="s">
        <v>22</v>
      </c>
      <c r="E114" t="s">
        <v>23</v>
      </c>
      <c r="F114" t="s">
        <v>52</v>
      </c>
      <c r="G114" t="s">
        <v>15</v>
      </c>
      <c r="H114" s="5">
        <v>599</v>
      </c>
      <c r="I114" s="5">
        <v>455.24</v>
      </c>
      <c r="J114" s="2">
        <v>0.3</v>
      </c>
      <c r="K114" s="5">
        <v>-35.940000000000055</v>
      </c>
    </row>
    <row r="115" spans="1:11" x14ac:dyDescent="0.25">
      <c r="A115">
        <v>105</v>
      </c>
      <c r="B115" s="1">
        <v>42657</v>
      </c>
      <c r="C115" t="s">
        <v>79</v>
      </c>
      <c r="D115" t="s">
        <v>26</v>
      </c>
      <c r="E115" t="s">
        <v>27</v>
      </c>
      <c r="F115" t="s">
        <v>80</v>
      </c>
      <c r="G115" t="s">
        <v>15</v>
      </c>
      <c r="H115" s="5">
        <v>499</v>
      </c>
      <c r="I115" s="5">
        <v>174.64999999999998</v>
      </c>
      <c r="J115" s="2">
        <v>0.15</v>
      </c>
      <c r="K115" s="5">
        <v>249.5</v>
      </c>
    </row>
    <row r="116" spans="1:11" x14ac:dyDescent="0.25">
      <c r="A116">
        <v>106</v>
      </c>
      <c r="B116" s="1">
        <v>42547</v>
      </c>
      <c r="C116" t="s">
        <v>31</v>
      </c>
      <c r="D116" t="s">
        <v>22</v>
      </c>
      <c r="E116" t="s">
        <v>18</v>
      </c>
      <c r="F116" t="s">
        <v>32</v>
      </c>
      <c r="G116" t="s">
        <v>33</v>
      </c>
      <c r="H116" s="5">
        <v>1199</v>
      </c>
      <c r="I116" s="5">
        <v>887.26</v>
      </c>
      <c r="J116" s="2">
        <v>0</v>
      </c>
      <c r="K116" s="5">
        <v>311.74</v>
      </c>
    </row>
    <row r="117" spans="1:11" x14ac:dyDescent="0.25">
      <c r="A117">
        <v>107</v>
      </c>
      <c r="B117" s="1">
        <v>42438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s="5">
        <v>1299</v>
      </c>
      <c r="I117" s="5">
        <v>727.44</v>
      </c>
      <c r="J117" s="2">
        <v>0.15</v>
      </c>
      <c r="K117" s="5">
        <v>376.70999999999981</v>
      </c>
    </row>
    <row r="118" spans="1:11" x14ac:dyDescent="0.25">
      <c r="A118">
        <v>108</v>
      </c>
      <c r="B118" s="1">
        <v>42684</v>
      </c>
      <c r="C118" t="s">
        <v>61</v>
      </c>
      <c r="D118" t="s">
        <v>26</v>
      </c>
      <c r="E118" t="s">
        <v>45</v>
      </c>
      <c r="F118" t="s">
        <v>62</v>
      </c>
      <c r="G118" t="s">
        <v>15</v>
      </c>
      <c r="H118" s="5">
        <v>799</v>
      </c>
      <c r="I118" s="5">
        <v>679.15</v>
      </c>
      <c r="J118" s="2">
        <v>0.2</v>
      </c>
      <c r="K118" s="5">
        <v>-39.949999999999932</v>
      </c>
    </row>
    <row r="119" spans="1:11" x14ac:dyDescent="0.25">
      <c r="A119">
        <v>109</v>
      </c>
      <c r="B119" s="1">
        <v>42479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s="5">
        <v>1299</v>
      </c>
      <c r="I119" s="5">
        <v>727.44</v>
      </c>
      <c r="J119" s="2">
        <v>0.15</v>
      </c>
      <c r="K119" s="5">
        <v>376.70999999999981</v>
      </c>
    </row>
    <row r="120" spans="1:11" x14ac:dyDescent="0.25">
      <c r="A120">
        <v>110</v>
      </c>
      <c r="B120" s="1">
        <v>42583</v>
      </c>
      <c r="C120" t="s">
        <v>41</v>
      </c>
      <c r="D120" t="s">
        <v>22</v>
      </c>
      <c r="E120" t="s">
        <v>18</v>
      </c>
      <c r="F120" t="s">
        <v>42</v>
      </c>
      <c r="G120" t="s">
        <v>43</v>
      </c>
      <c r="H120" s="5">
        <v>1149</v>
      </c>
      <c r="I120" s="5">
        <v>896.22</v>
      </c>
      <c r="J120" s="2">
        <v>0</v>
      </c>
      <c r="K120" s="5">
        <v>252.77999999999997</v>
      </c>
    </row>
    <row r="121" spans="1:11" x14ac:dyDescent="0.25">
      <c r="A121">
        <v>111</v>
      </c>
      <c r="B121" s="1">
        <v>42404</v>
      </c>
      <c r="C121" t="s">
        <v>74</v>
      </c>
      <c r="D121" t="s">
        <v>12</v>
      </c>
      <c r="E121" t="s">
        <v>13</v>
      </c>
      <c r="F121" t="s">
        <v>75</v>
      </c>
      <c r="G121" t="s">
        <v>15</v>
      </c>
      <c r="H121" s="5">
        <v>2599</v>
      </c>
      <c r="I121" s="5">
        <v>1819.3</v>
      </c>
      <c r="J121" s="2">
        <v>0.15</v>
      </c>
      <c r="K121" s="5">
        <v>389.85000000000014</v>
      </c>
    </row>
    <row r="122" spans="1:11" x14ac:dyDescent="0.25">
      <c r="A122">
        <v>112</v>
      </c>
      <c r="B122" s="1">
        <v>42753</v>
      </c>
      <c r="C122" t="s">
        <v>106</v>
      </c>
      <c r="D122" t="s">
        <v>22</v>
      </c>
      <c r="E122" t="s">
        <v>23</v>
      </c>
      <c r="F122" t="s">
        <v>107</v>
      </c>
      <c r="G122" t="s">
        <v>15</v>
      </c>
      <c r="H122" s="5">
        <v>259</v>
      </c>
      <c r="I122" s="5">
        <v>111.37</v>
      </c>
      <c r="J122" s="2">
        <v>0</v>
      </c>
      <c r="K122" s="5">
        <v>147.63</v>
      </c>
    </row>
    <row r="123" spans="1:11" x14ac:dyDescent="0.25">
      <c r="A123">
        <v>113</v>
      </c>
      <c r="B123" s="1">
        <v>42643</v>
      </c>
      <c r="C123" t="s">
        <v>53</v>
      </c>
      <c r="D123" t="s">
        <v>22</v>
      </c>
      <c r="E123" t="s">
        <v>18</v>
      </c>
      <c r="F123" t="s">
        <v>54</v>
      </c>
      <c r="G123" t="s">
        <v>33</v>
      </c>
      <c r="H123" s="5">
        <v>1299</v>
      </c>
      <c r="I123" s="5">
        <v>766.41</v>
      </c>
      <c r="J123" s="2">
        <v>0.2</v>
      </c>
      <c r="K123" s="5">
        <v>272.79000000000008</v>
      </c>
    </row>
    <row r="124" spans="1:11" x14ac:dyDescent="0.25">
      <c r="A124">
        <v>114</v>
      </c>
      <c r="B124" s="1">
        <v>42424</v>
      </c>
      <c r="C124" t="s">
        <v>90</v>
      </c>
      <c r="D124" t="s">
        <v>12</v>
      </c>
      <c r="E124" t="s">
        <v>35</v>
      </c>
      <c r="F124" t="s">
        <v>91</v>
      </c>
      <c r="G124" t="s">
        <v>15</v>
      </c>
      <c r="H124" s="5">
        <v>6999</v>
      </c>
      <c r="I124" s="5">
        <v>4829.3099999999995</v>
      </c>
      <c r="J124" s="2">
        <v>0.15</v>
      </c>
      <c r="K124" s="5">
        <v>1119.8400000000001</v>
      </c>
    </row>
    <row r="125" spans="1:11" x14ac:dyDescent="0.25">
      <c r="A125">
        <v>115</v>
      </c>
      <c r="B125" s="1">
        <v>42546</v>
      </c>
      <c r="C125" t="s">
        <v>16</v>
      </c>
      <c r="D125" t="s">
        <v>22</v>
      </c>
      <c r="E125" t="s">
        <v>18</v>
      </c>
      <c r="F125" t="s">
        <v>19</v>
      </c>
      <c r="G125" t="s">
        <v>20</v>
      </c>
      <c r="H125" s="5">
        <v>1149</v>
      </c>
      <c r="I125" s="5">
        <v>792.81</v>
      </c>
      <c r="J125" s="2">
        <v>0.2</v>
      </c>
      <c r="K125" s="5">
        <v>126.3900000000001</v>
      </c>
    </row>
    <row r="126" spans="1:11" x14ac:dyDescent="0.25">
      <c r="A126">
        <v>116</v>
      </c>
      <c r="B126" s="1">
        <v>42506</v>
      </c>
      <c r="C126" t="s">
        <v>92</v>
      </c>
      <c r="D126" t="s">
        <v>22</v>
      </c>
      <c r="E126" t="s">
        <v>86</v>
      </c>
      <c r="F126" t="s">
        <v>93</v>
      </c>
      <c r="G126" t="s">
        <v>15</v>
      </c>
      <c r="H126" s="5">
        <v>11999</v>
      </c>
      <c r="I126" s="5">
        <v>4199.6499999999996</v>
      </c>
      <c r="J126" s="2">
        <v>0.3</v>
      </c>
      <c r="K126" s="5">
        <v>4199.6499999999996</v>
      </c>
    </row>
    <row r="127" spans="1:11" x14ac:dyDescent="0.25">
      <c r="A127">
        <v>117</v>
      </c>
      <c r="B127" s="1">
        <v>42731</v>
      </c>
      <c r="C127" t="s">
        <v>25</v>
      </c>
      <c r="D127" t="s">
        <v>26</v>
      </c>
      <c r="E127" t="s">
        <v>27</v>
      </c>
      <c r="F127" t="s">
        <v>28</v>
      </c>
      <c r="G127" t="s">
        <v>15</v>
      </c>
      <c r="H127" s="5">
        <v>1499</v>
      </c>
      <c r="I127" s="5">
        <v>794.47</v>
      </c>
      <c r="J127" s="2">
        <v>0</v>
      </c>
      <c r="K127" s="5">
        <v>704.53</v>
      </c>
    </row>
    <row r="128" spans="1:11" x14ac:dyDescent="0.25">
      <c r="A128">
        <v>118</v>
      </c>
      <c r="B128" s="1">
        <v>42684</v>
      </c>
      <c r="C128" t="s">
        <v>63</v>
      </c>
      <c r="D128" t="s">
        <v>12</v>
      </c>
      <c r="E128" t="s">
        <v>35</v>
      </c>
      <c r="F128" t="s">
        <v>64</v>
      </c>
      <c r="G128" t="s">
        <v>15</v>
      </c>
      <c r="H128" s="5">
        <v>13999</v>
      </c>
      <c r="I128" s="5">
        <v>9659.31</v>
      </c>
      <c r="J128" s="2">
        <v>0.2</v>
      </c>
      <c r="K128" s="5">
        <v>1539.8900000000012</v>
      </c>
    </row>
    <row r="129" spans="1:11" x14ac:dyDescent="0.25">
      <c r="A129">
        <v>119</v>
      </c>
      <c r="B129" s="1">
        <v>42643</v>
      </c>
      <c r="C129" t="s">
        <v>65</v>
      </c>
      <c r="D129" t="s">
        <v>12</v>
      </c>
      <c r="E129" t="s">
        <v>13</v>
      </c>
      <c r="F129" t="s">
        <v>66</v>
      </c>
      <c r="G129" t="s">
        <v>15</v>
      </c>
      <c r="H129" s="5">
        <v>1499</v>
      </c>
      <c r="I129" s="5">
        <v>584.61</v>
      </c>
      <c r="J129" s="2">
        <v>0.2</v>
      </c>
      <c r="K129" s="5">
        <v>614.59</v>
      </c>
    </row>
    <row r="130" spans="1:11" x14ac:dyDescent="0.25">
      <c r="A130">
        <v>120</v>
      </c>
      <c r="B130" s="1">
        <v>42657</v>
      </c>
      <c r="C130" t="s">
        <v>25</v>
      </c>
      <c r="D130" t="s">
        <v>26</v>
      </c>
      <c r="E130" t="s">
        <v>27</v>
      </c>
      <c r="F130" t="s">
        <v>28</v>
      </c>
      <c r="G130" t="s">
        <v>15</v>
      </c>
      <c r="H130" s="5">
        <v>1499</v>
      </c>
      <c r="I130" s="5">
        <v>794.47</v>
      </c>
      <c r="J130" s="2">
        <v>0.15</v>
      </c>
      <c r="K130" s="5">
        <v>479.67999999999984</v>
      </c>
    </row>
    <row r="131" spans="1:11" x14ac:dyDescent="0.25">
      <c r="A131">
        <v>121</v>
      </c>
      <c r="B131" s="1">
        <v>42454</v>
      </c>
      <c r="C131" t="s">
        <v>108</v>
      </c>
      <c r="D131" t="s">
        <v>22</v>
      </c>
      <c r="E131" t="s">
        <v>23</v>
      </c>
      <c r="F131" t="s">
        <v>109</v>
      </c>
      <c r="G131" t="s">
        <v>15</v>
      </c>
      <c r="H131" s="5">
        <v>1899</v>
      </c>
      <c r="I131" s="5">
        <v>1177.3799999999999</v>
      </c>
      <c r="J131" s="2">
        <v>0.15</v>
      </c>
      <c r="K131" s="5">
        <v>436.77</v>
      </c>
    </row>
    <row r="132" spans="1:11" x14ac:dyDescent="0.25">
      <c r="A132">
        <v>122</v>
      </c>
      <c r="B132" s="1">
        <v>42604</v>
      </c>
      <c r="C132" t="s">
        <v>108</v>
      </c>
      <c r="D132" t="s">
        <v>22</v>
      </c>
      <c r="E132" t="s">
        <v>23</v>
      </c>
      <c r="F132" t="s">
        <v>109</v>
      </c>
      <c r="G132" t="s">
        <v>15</v>
      </c>
      <c r="H132" s="5">
        <v>1899</v>
      </c>
      <c r="I132" s="5">
        <v>1177.3799999999999</v>
      </c>
      <c r="J132" s="2">
        <v>0</v>
      </c>
      <c r="K132" s="5">
        <v>721.62000000000012</v>
      </c>
    </row>
    <row r="133" spans="1:11" x14ac:dyDescent="0.25">
      <c r="A133">
        <v>123</v>
      </c>
      <c r="B133" s="1">
        <v>42455</v>
      </c>
      <c r="C133" t="s">
        <v>110</v>
      </c>
      <c r="D133" t="s">
        <v>12</v>
      </c>
      <c r="E133" t="s">
        <v>35</v>
      </c>
      <c r="F133" t="s">
        <v>111</v>
      </c>
      <c r="G133" t="s">
        <v>15</v>
      </c>
      <c r="H133" s="5">
        <v>4599</v>
      </c>
      <c r="I133" s="5">
        <v>1747.6200000000001</v>
      </c>
      <c r="J133" s="2">
        <v>0.2</v>
      </c>
      <c r="K133" s="5">
        <v>1931.5800000000002</v>
      </c>
    </row>
    <row r="134" spans="1:11" x14ac:dyDescent="0.25">
      <c r="A134">
        <v>124</v>
      </c>
      <c r="B134" s="1">
        <v>42477</v>
      </c>
      <c r="C134" t="s">
        <v>41</v>
      </c>
      <c r="D134" t="s">
        <v>22</v>
      </c>
      <c r="E134" t="s">
        <v>18</v>
      </c>
      <c r="F134" t="s">
        <v>42</v>
      </c>
      <c r="G134" t="s">
        <v>43</v>
      </c>
      <c r="H134" s="5">
        <v>1149</v>
      </c>
      <c r="I134" s="5">
        <v>896.22</v>
      </c>
      <c r="J134" s="2">
        <v>0</v>
      </c>
      <c r="K134" s="5">
        <v>252.77999999999997</v>
      </c>
    </row>
    <row r="135" spans="1:11" x14ac:dyDescent="0.25">
      <c r="A135">
        <v>125</v>
      </c>
      <c r="B135" s="1">
        <v>42479</v>
      </c>
      <c r="C135" t="s">
        <v>112</v>
      </c>
      <c r="D135" t="s">
        <v>22</v>
      </c>
      <c r="E135" t="s">
        <v>23</v>
      </c>
      <c r="F135" t="s">
        <v>113</v>
      </c>
      <c r="G135" t="s">
        <v>15</v>
      </c>
      <c r="H135" s="5">
        <v>459</v>
      </c>
      <c r="I135" s="5">
        <v>325.89</v>
      </c>
      <c r="J135" s="2">
        <v>0.15</v>
      </c>
      <c r="K135" s="5">
        <v>64.259999999999991</v>
      </c>
    </row>
    <row r="136" spans="1:11" x14ac:dyDescent="0.25">
      <c r="A136">
        <v>126</v>
      </c>
      <c r="B136" s="1">
        <v>42520</v>
      </c>
      <c r="C136" t="s">
        <v>41</v>
      </c>
      <c r="D136" t="s">
        <v>22</v>
      </c>
      <c r="E136" t="s">
        <v>18</v>
      </c>
      <c r="F136" t="s">
        <v>42</v>
      </c>
      <c r="G136" t="s">
        <v>43</v>
      </c>
      <c r="H136" s="5">
        <v>1149</v>
      </c>
      <c r="I136" s="5">
        <v>896.22</v>
      </c>
      <c r="J136" s="2">
        <v>0.2</v>
      </c>
      <c r="K136" s="5">
        <v>22.980000000000018</v>
      </c>
    </row>
    <row r="137" spans="1:11" x14ac:dyDescent="0.25">
      <c r="A137">
        <v>127</v>
      </c>
      <c r="B137" s="1">
        <v>42424</v>
      </c>
      <c r="C137" t="s">
        <v>11</v>
      </c>
      <c r="D137" t="s">
        <v>12</v>
      </c>
      <c r="E137" t="s">
        <v>13</v>
      </c>
      <c r="F137" t="s">
        <v>14</v>
      </c>
      <c r="G137" t="s">
        <v>15</v>
      </c>
      <c r="H137" s="5">
        <v>1299</v>
      </c>
      <c r="I137" s="5">
        <v>727.44</v>
      </c>
      <c r="J137" s="2">
        <v>0.15</v>
      </c>
      <c r="K137" s="5">
        <v>376.70999999999981</v>
      </c>
    </row>
    <row r="138" spans="1:11" x14ac:dyDescent="0.25">
      <c r="A138">
        <v>128</v>
      </c>
      <c r="B138" s="1">
        <v>42455</v>
      </c>
      <c r="C138" t="s">
        <v>41</v>
      </c>
      <c r="D138" t="s">
        <v>22</v>
      </c>
      <c r="E138" t="s">
        <v>18</v>
      </c>
      <c r="F138" t="s">
        <v>42</v>
      </c>
      <c r="G138" t="s">
        <v>43</v>
      </c>
      <c r="H138" s="5">
        <v>1149</v>
      </c>
      <c r="I138" s="5">
        <v>896.22</v>
      </c>
      <c r="J138" s="2">
        <v>0.2</v>
      </c>
      <c r="K138" s="5">
        <v>22.980000000000018</v>
      </c>
    </row>
    <row r="139" spans="1:11" x14ac:dyDescent="0.25">
      <c r="A139">
        <v>129</v>
      </c>
      <c r="B139" s="1">
        <v>42545</v>
      </c>
      <c r="C139" t="s">
        <v>25</v>
      </c>
      <c r="D139" t="s">
        <v>26</v>
      </c>
      <c r="E139" t="s">
        <v>27</v>
      </c>
      <c r="F139" t="s">
        <v>28</v>
      </c>
      <c r="G139" t="s">
        <v>15</v>
      </c>
      <c r="H139" s="5">
        <v>1499</v>
      </c>
      <c r="I139" s="5">
        <v>794.47</v>
      </c>
      <c r="J139" s="2">
        <v>0</v>
      </c>
      <c r="K139" s="5">
        <v>704.53</v>
      </c>
    </row>
    <row r="140" spans="1:11" x14ac:dyDescent="0.25">
      <c r="A140">
        <v>130</v>
      </c>
      <c r="B140" s="1">
        <v>42591</v>
      </c>
      <c r="C140" t="s">
        <v>44</v>
      </c>
      <c r="D140" t="s">
        <v>26</v>
      </c>
      <c r="E140" t="s">
        <v>45</v>
      </c>
      <c r="F140" t="s">
        <v>46</v>
      </c>
      <c r="G140" t="s">
        <v>15</v>
      </c>
      <c r="H140" s="5">
        <v>699</v>
      </c>
      <c r="I140" s="5">
        <v>531.24</v>
      </c>
      <c r="J140" s="2">
        <v>0</v>
      </c>
      <c r="K140" s="5">
        <v>167.76</v>
      </c>
    </row>
    <row r="141" spans="1:11" x14ac:dyDescent="0.25">
      <c r="A141">
        <v>131</v>
      </c>
      <c r="B141" s="1">
        <v>42402</v>
      </c>
      <c r="C141" t="s">
        <v>85</v>
      </c>
      <c r="D141" t="s">
        <v>22</v>
      </c>
      <c r="E141" t="s">
        <v>86</v>
      </c>
      <c r="F141" t="s">
        <v>87</v>
      </c>
      <c r="G141" t="s">
        <v>15</v>
      </c>
      <c r="H141" s="5">
        <v>3999</v>
      </c>
      <c r="I141" s="5">
        <v>1399.6499999999999</v>
      </c>
      <c r="J141" s="2">
        <v>0.2</v>
      </c>
      <c r="K141" s="5">
        <v>1799.5500000000004</v>
      </c>
    </row>
    <row r="142" spans="1:11" x14ac:dyDescent="0.25">
      <c r="A142">
        <v>132</v>
      </c>
      <c r="B142" s="1">
        <v>42402</v>
      </c>
      <c r="C142" t="s">
        <v>92</v>
      </c>
      <c r="D142" t="s">
        <v>22</v>
      </c>
      <c r="E142" t="s">
        <v>86</v>
      </c>
      <c r="F142" t="s">
        <v>93</v>
      </c>
      <c r="G142" t="s">
        <v>15</v>
      </c>
      <c r="H142" s="5">
        <v>11999</v>
      </c>
      <c r="I142" s="5">
        <v>4199.6499999999996</v>
      </c>
      <c r="J142" s="2">
        <v>0.2</v>
      </c>
      <c r="K142" s="5">
        <v>5399.5500000000011</v>
      </c>
    </row>
    <row r="143" spans="1:11" x14ac:dyDescent="0.25">
      <c r="A143">
        <v>133</v>
      </c>
      <c r="B143" s="1">
        <v>42792</v>
      </c>
      <c r="C143" t="s">
        <v>53</v>
      </c>
      <c r="D143" t="s">
        <v>22</v>
      </c>
      <c r="E143" t="s">
        <v>18</v>
      </c>
      <c r="F143" t="s">
        <v>54</v>
      </c>
      <c r="G143" t="s">
        <v>33</v>
      </c>
      <c r="H143" s="5">
        <v>1299</v>
      </c>
      <c r="I143" s="5">
        <v>766.41</v>
      </c>
      <c r="J143" s="2">
        <v>0.1</v>
      </c>
      <c r="K143" s="5">
        <v>402.69000000000017</v>
      </c>
    </row>
    <row r="144" spans="1:11" x14ac:dyDescent="0.25">
      <c r="A144">
        <v>134</v>
      </c>
      <c r="B144" s="1">
        <v>42449</v>
      </c>
      <c r="C144" t="s">
        <v>44</v>
      </c>
      <c r="D144" t="s">
        <v>26</v>
      </c>
      <c r="E144" t="s">
        <v>45</v>
      </c>
      <c r="F144" t="s">
        <v>46</v>
      </c>
      <c r="G144" t="s">
        <v>15</v>
      </c>
      <c r="H144" s="5">
        <v>699</v>
      </c>
      <c r="I144" s="5">
        <v>531.24</v>
      </c>
      <c r="J144" s="2">
        <v>0</v>
      </c>
      <c r="K144" s="5">
        <v>167.76</v>
      </c>
    </row>
    <row r="145" spans="1:11" x14ac:dyDescent="0.25">
      <c r="A145">
        <v>135</v>
      </c>
      <c r="B145" s="1">
        <v>42520</v>
      </c>
      <c r="C145" t="s">
        <v>21</v>
      </c>
      <c r="D145" t="s">
        <v>22</v>
      </c>
      <c r="E145" t="s">
        <v>23</v>
      </c>
      <c r="F145" t="s">
        <v>24</v>
      </c>
      <c r="G145" t="s">
        <v>15</v>
      </c>
      <c r="H145" s="5">
        <v>359</v>
      </c>
      <c r="I145" s="5">
        <v>244.12</v>
      </c>
      <c r="J145" s="2">
        <v>0.2</v>
      </c>
      <c r="K145" s="5">
        <v>43.079999999999984</v>
      </c>
    </row>
    <row r="146" spans="1:11" x14ac:dyDescent="0.25">
      <c r="A146">
        <v>136</v>
      </c>
      <c r="B146" s="1">
        <v>42721</v>
      </c>
      <c r="C146" t="s">
        <v>41</v>
      </c>
      <c r="D146" t="s">
        <v>22</v>
      </c>
      <c r="E146" t="s">
        <v>18</v>
      </c>
      <c r="F146" t="s">
        <v>42</v>
      </c>
      <c r="G146" t="s">
        <v>43</v>
      </c>
      <c r="H146" s="5">
        <v>1149</v>
      </c>
      <c r="I146" s="5">
        <v>896.22</v>
      </c>
      <c r="J146" s="2">
        <v>0</v>
      </c>
      <c r="K146" s="5">
        <v>252.77999999999997</v>
      </c>
    </row>
    <row r="147" spans="1:11" x14ac:dyDescent="0.25">
      <c r="A147">
        <v>137</v>
      </c>
      <c r="B147" s="1">
        <v>42742</v>
      </c>
      <c r="C147" t="s">
        <v>21</v>
      </c>
      <c r="D147" t="s">
        <v>22</v>
      </c>
      <c r="E147" t="s">
        <v>23</v>
      </c>
      <c r="F147" t="s">
        <v>24</v>
      </c>
      <c r="G147" t="s">
        <v>15</v>
      </c>
      <c r="H147" s="5">
        <v>359</v>
      </c>
      <c r="I147" s="5">
        <v>244.12</v>
      </c>
      <c r="J147" s="2">
        <v>0</v>
      </c>
      <c r="K147" s="5">
        <v>114.88</v>
      </c>
    </row>
    <row r="148" spans="1:11" x14ac:dyDescent="0.25">
      <c r="A148">
        <v>138</v>
      </c>
      <c r="B148" s="1">
        <v>42520</v>
      </c>
      <c r="C148" t="s">
        <v>41</v>
      </c>
      <c r="D148" t="s">
        <v>22</v>
      </c>
      <c r="E148" t="s">
        <v>18</v>
      </c>
      <c r="F148" t="s">
        <v>42</v>
      </c>
      <c r="G148" t="s">
        <v>43</v>
      </c>
      <c r="H148" s="5">
        <v>1149</v>
      </c>
      <c r="I148" s="5">
        <v>896.22</v>
      </c>
      <c r="J148" s="2">
        <v>0.2</v>
      </c>
      <c r="K148" s="5">
        <v>22.980000000000018</v>
      </c>
    </row>
    <row r="149" spans="1:11" x14ac:dyDescent="0.25">
      <c r="A149">
        <v>139</v>
      </c>
      <c r="B149" s="1">
        <v>42404</v>
      </c>
      <c r="C149" t="s">
        <v>114</v>
      </c>
      <c r="D149" t="s">
        <v>22</v>
      </c>
      <c r="E149" t="s">
        <v>86</v>
      </c>
      <c r="F149" t="s">
        <v>115</v>
      </c>
      <c r="G149" t="s">
        <v>15</v>
      </c>
      <c r="H149" s="5">
        <v>7999</v>
      </c>
      <c r="I149" s="5">
        <v>5039.37</v>
      </c>
      <c r="J149" s="2">
        <v>0.15</v>
      </c>
      <c r="K149" s="5">
        <v>1759.7799999999997</v>
      </c>
    </row>
    <row r="150" spans="1:11" x14ac:dyDescent="0.25">
      <c r="A150">
        <v>140</v>
      </c>
      <c r="B150" s="1">
        <v>42710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 s="5">
        <v>1299</v>
      </c>
      <c r="I150" s="5">
        <v>727.44</v>
      </c>
      <c r="J150" s="2">
        <v>0</v>
      </c>
      <c r="K150" s="5">
        <v>571.55999999999995</v>
      </c>
    </row>
    <row r="151" spans="1:11" x14ac:dyDescent="0.25">
      <c r="A151">
        <v>141</v>
      </c>
      <c r="B151" s="1">
        <v>42699</v>
      </c>
      <c r="C151" t="s">
        <v>21</v>
      </c>
      <c r="D151" t="s">
        <v>22</v>
      </c>
      <c r="E151" t="s">
        <v>23</v>
      </c>
      <c r="F151" t="s">
        <v>24</v>
      </c>
      <c r="G151" t="s">
        <v>15</v>
      </c>
      <c r="H151" s="5">
        <v>359</v>
      </c>
      <c r="I151" s="5">
        <v>244.12</v>
      </c>
      <c r="J151" s="2">
        <v>0.15</v>
      </c>
      <c r="K151" s="5">
        <v>61.029999999999973</v>
      </c>
    </row>
    <row r="152" spans="1:11" x14ac:dyDescent="0.25">
      <c r="A152">
        <v>142</v>
      </c>
      <c r="B152" s="1">
        <v>42787</v>
      </c>
      <c r="C152" t="s">
        <v>116</v>
      </c>
      <c r="D152" t="s">
        <v>22</v>
      </c>
      <c r="E152" t="s">
        <v>86</v>
      </c>
      <c r="F152" t="s">
        <v>117</v>
      </c>
      <c r="G152" t="s">
        <v>15</v>
      </c>
      <c r="H152" s="5">
        <v>5999</v>
      </c>
      <c r="I152" s="5">
        <v>3659.39</v>
      </c>
      <c r="J152" s="2">
        <v>0.1</v>
      </c>
      <c r="K152" s="5">
        <v>1739.7100000000005</v>
      </c>
    </row>
    <row r="153" spans="1:11" x14ac:dyDescent="0.25">
      <c r="A153">
        <v>143</v>
      </c>
      <c r="B153" s="1">
        <v>42608</v>
      </c>
      <c r="C153" t="s">
        <v>63</v>
      </c>
      <c r="D153" t="s">
        <v>12</v>
      </c>
      <c r="E153" t="s">
        <v>35</v>
      </c>
      <c r="F153" t="s">
        <v>64</v>
      </c>
      <c r="G153" t="s">
        <v>15</v>
      </c>
      <c r="H153" s="5">
        <v>13999</v>
      </c>
      <c r="I153" s="5">
        <v>9659.31</v>
      </c>
      <c r="J153" s="2">
        <v>0</v>
      </c>
      <c r="K153" s="5">
        <v>4339.6900000000005</v>
      </c>
    </row>
    <row r="154" spans="1:11" x14ac:dyDescent="0.25">
      <c r="A154">
        <v>144</v>
      </c>
      <c r="B154" s="1">
        <v>42737</v>
      </c>
      <c r="C154" t="s">
        <v>31</v>
      </c>
      <c r="D154" t="s">
        <v>22</v>
      </c>
      <c r="E154" t="s">
        <v>18</v>
      </c>
      <c r="F154" t="s">
        <v>32</v>
      </c>
      <c r="G154" t="s">
        <v>33</v>
      </c>
      <c r="H154" s="5">
        <v>1199</v>
      </c>
      <c r="I154" s="5">
        <v>887.26</v>
      </c>
      <c r="J154" s="2">
        <v>0</v>
      </c>
      <c r="K154" s="5">
        <v>311.74</v>
      </c>
    </row>
    <row r="155" spans="1:11" x14ac:dyDescent="0.25">
      <c r="A155">
        <v>145</v>
      </c>
      <c r="B155" s="1">
        <v>42657</v>
      </c>
      <c r="C155" t="s">
        <v>118</v>
      </c>
      <c r="D155" t="s">
        <v>22</v>
      </c>
      <c r="E155" t="s">
        <v>18</v>
      </c>
      <c r="F155" t="s">
        <v>119</v>
      </c>
      <c r="G155" t="s">
        <v>43</v>
      </c>
      <c r="H155" s="5">
        <v>1299</v>
      </c>
      <c r="I155" s="5">
        <v>597.54000000000008</v>
      </c>
      <c r="J155" s="2">
        <v>0.15</v>
      </c>
      <c r="K155" s="5">
        <v>506.60999999999979</v>
      </c>
    </row>
    <row r="156" spans="1:11" x14ac:dyDescent="0.25">
      <c r="A156">
        <v>146</v>
      </c>
      <c r="B156" s="1">
        <v>42800</v>
      </c>
      <c r="C156" t="s">
        <v>53</v>
      </c>
      <c r="D156" t="s">
        <v>22</v>
      </c>
      <c r="E156" t="s">
        <v>18</v>
      </c>
      <c r="F156" t="s">
        <v>54</v>
      </c>
      <c r="G156" t="s">
        <v>33</v>
      </c>
      <c r="H156" s="5">
        <v>1299</v>
      </c>
      <c r="I156" s="5">
        <v>766.41</v>
      </c>
      <c r="J156" s="2">
        <v>0</v>
      </c>
      <c r="K156" s="5">
        <v>532.59</v>
      </c>
    </row>
    <row r="157" spans="1:11" x14ac:dyDescent="0.25">
      <c r="A157">
        <v>147</v>
      </c>
      <c r="B157" s="1">
        <v>42402</v>
      </c>
      <c r="C157" t="s">
        <v>102</v>
      </c>
      <c r="D157" t="s">
        <v>22</v>
      </c>
      <c r="E157" t="s">
        <v>18</v>
      </c>
      <c r="F157" t="s">
        <v>103</v>
      </c>
      <c r="G157" t="s">
        <v>33</v>
      </c>
      <c r="H157" s="5">
        <v>899</v>
      </c>
      <c r="I157" s="5">
        <v>440.51</v>
      </c>
      <c r="J157" s="2">
        <v>0.2</v>
      </c>
      <c r="K157" s="5">
        <v>278.69000000000005</v>
      </c>
    </row>
    <row r="158" spans="1:11" x14ac:dyDescent="0.25">
      <c r="A158">
        <v>148</v>
      </c>
      <c r="B158" s="1">
        <v>42719</v>
      </c>
      <c r="C158" t="s">
        <v>120</v>
      </c>
      <c r="D158" t="s">
        <v>22</v>
      </c>
      <c r="E158" t="s">
        <v>23</v>
      </c>
      <c r="F158" t="s">
        <v>121</v>
      </c>
      <c r="G158" t="s">
        <v>15</v>
      </c>
      <c r="H158" s="5">
        <v>169</v>
      </c>
      <c r="I158" s="5">
        <v>130.13</v>
      </c>
      <c r="J158" s="2">
        <v>0</v>
      </c>
      <c r="K158" s="5">
        <v>38.870000000000005</v>
      </c>
    </row>
    <row r="159" spans="1:11" x14ac:dyDescent="0.25">
      <c r="A159">
        <v>149</v>
      </c>
      <c r="B159" s="1">
        <v>42438</v>
      </c>
      <c r="C159" t="s">
        <v>16</v>
      </c>
      <c r="D159" t="s">
        <v>22</v>
      </c>
      <c r="E159" t="s">
        <v>18</v>
      </c>
      <c r="F159" t="s">
        <v>19</v>
      </c>
      <c r="G159" t="s">
        <v>20</v>
      </c>
      <c r="H159" s="5">
        <v>1149</v>
      </c>
      <c r="I159" s="5">
        <v>792.81</v>
      </c>
      <c r="J159" s="2">
        <v>0.15</v>
      </c>
      <c r="K159" s="5">
        <v>183.84000000000003</v>
      </c>
    </row>
    <row r="160" spans="1:11" x14ac:dyDescent="0.25">
      <c r="A160">
        <v>150</v>
      </c>
      <c r="B160" s="1">
        <v>42479</v>
      </c>
      <c r="C160" t="s">
        <v>44</v>
      </c>
      <c r="D160" t="s">
        <v>26</v>
      </c>
      <c r="E160" t="s">
        <v>45</v>
      </c>
      <c r="F160" t="s">
        <v>46</v>
      </c>
      <c r="G160" t="s">
        <v>15</v>
      </c>
      <c r="H160" s="5">
        <v>699</v>
      </c>
      <c r="I160" s="5">
        <v>531.24</v>
      </c>
      <c r="J160" s="2">
        <v>0.15</v>
      </c>
      <c r="K160" s="5">
        <v>62.909999999999968</v>
      </c>
    </row>
    <row r="161" spans="1:11" x14ac:dyDescent="0.25">
      <c r="A161">
        <v>151</v>
      </c>
      <c r="B161" s="1">
        <v>42762</v>
      </c>
      <c r="C161" t="s">
        <v>31</v>
      </c>
      <c r="D161" t="s">
        <v>22</v>
      </c>
      <c r="E161" t="s">
        <v>18</v>
      </c>
      <c r="F161" t="s">
        <v>32</v>
      </c>
      <c r="G161" t="s">
        <v>33</v>
      </c>
      <c r="H161" s="5">
        <v>1199</v>
      </c>
      <c r="I161" s="5">
        <v>887.26</v>
      </c>
      <c r="J161" s="2">
        <v>0.15</v>
      </c>
      <c r="K161" s="5">
        <v>131.88999999999999</v>
      </c>
    </row>
    <row r="162" spans="1:11" x14ac:dyDescent="0.25">
      <c r="A162">
        <v>152</v>
      </c>
      <c r="B162" s="1">
        <v>42643</v>
      </c>
      <c r="C162" t="s">
        <v>61</v>
      </c>
      <c r="D162" t="s">
        <v>26</v>
      </c>
      <c r="E162" t="s">
        <v>45</v>
      </c>
      <c r="F162" t="s">
        <v>62</v>
      </c>
      <c r="G162" t="s">
        <v>15</v>
      </c>
      <c r="H162" s="5">
        <v>799</v>
      </c>
      <c r="I162" s="5">
        <v>679.15</v>
      </c>
      <c r="J162" s="2">
        <v>0.2</v>
      </c>
      <c r="K162" s="5">
        <v>-39.949999999999932</v>
      </c>
    </row>
    <row r="163" spans="1:11" x14ac:dyDescent="0.25">
      <c r="A163">
        <v>153</v>
      </c>
      <c r="B163" s="1">
        <v>42438</v>
      </c>
      <c r="C163" t="s">
        <v>94</v>
      </c>
      <c r="D163" t="s">
        <v>26</v>
      </c>
      <c r="E163" t="s">
        <v>45</v>
      </c>
      <c r="F163" t="s">
        <v>95</v>
      </c>
      <c r="G163" t="s">
        <v>15</v>
      </c>
      <c r="H163" s="5">
        <v>819</v>
      </c>
      <c r="I163" s="5">
        <v>319.41000000000003</v>
      </c>
      <c r="J163" s="2">
        <v>0.15</v>
      </c>
      <c r="K163" s="5">
        <v>376.73999999999995</v>
      </c>
    </row>
    <row r="164" spans="1:11" x14ac:dyDescent="0.25">
      <c r="A164">
        <v>154</v>
      </c>
      <c r="B164" s="1">
        <v>42520</v>
      </c>
      <c r="C164" t="s">
        <v>98</v>
      </c>
      <c r="D164" t="s">
        <v>22</v>
      </c>
      <c r="E164" t="s">
        <v>86</v>
      </c>
      <c r="F164" t="s">
        <v>99</v>
      </c>
      <c r="G164" t="s">
        <v>15</v>
      </c>
      <c r="H164" s="5">
        <v>5999</v>
      </c>
      <c r="I164" s="5">
        <v>3419.43</v>
      </c>
      <c r="J164" s="2">
        <v>0.2</v>
      </c>
      <c r="K164" s="5">
        <v>1379.77</v>
      </c>
    </row>
    <row r="165" spans="1:11" x14ac:dyDescent="0.25">
      <c r="A165">
        <v>155</v>
      </c>
      <c r="B165" s="1">
        <v>42506</v>
      </c>
      <c r="C165" t="s">
        <v>76</v>
      </c>
      <c r="D165" t="s">
        <v>22</v>
      </c>
      <c r="E165" t="s">
        <v>18</v>
      </c>
      <c r="F165" t="s">
        <v>77</v>
      </c>
      <c r="G165" t="s">
        <v>78</v>
      </c>
      <c r="H165" s="5">
        <v>799</v>
      </c>
      <c r="I165" s="5">
        <v>631.21</v>
      </c>
      <c r="J165" s="2">
        <v>0.3</v>
      </c>
      <c r="K165" s="5">
        <v>-71.910000000000082</v>
      </c>
    </row>
    <row r="166" spans="1:11" x14ac:dyDescent="0.25">
      <c r="A166">
        <v>156</v>
      </c>
      <c r="B166" s="1">
        <v>42506</v>
      </c>
      <c r="C166" t="s">
        <v>96</v>
      </c>
      <c r="D166" t="s">
        <v>12</v>
      </c>
      <c r="E166" t="s">
        <v>35</v>
      </c>
      <c r="F166" t="s">
        <v>97</v>
      </c>
      <c r="G166" t="s">
        <v>15</v>
      </c>
      <c r="H166" s="5">
        <v>11999</v>
      </c>
      <c r="I166" s="5">
        <v>7799.35</v>
      </c>
      <c r="J166" s="2">
        <v>0.3</v>
      </c>
      <c r="K166" s="5">
        <v>599.94999999999891</v>
      </c>
    </row>
    <row r="167" spans="1:11" x14ac:dyDescent="0.25">
      <c r="A167">
        <v>157</v>
      </c>
      <c r="B167" s="1">
        <v>42471</v>
      </c>
      <c r="C167" t="s">
        <v>25</v>
      </c>
      <c r="D167" t="s">
        <v>26</v>
      </c>
      <c r="E167" t="s">
        <v>27</v>
      </c>
      <c r="F167" t="s">
        <v>28</v>
      </c>
      <c r="G167" t="s">
        <v>15</v>
      </c>
      <c r="H167" s="5">
        <v>1499</v>
      </c>
      <c r="I167" s="5">
        <v>794.47</v>
      </c>
      <c r="J167" s="2">
        <v>0</v>
      </c>
      <c r="K167" s="5">
        <v>704.53</v>
      </c>
    </row>
    <row r="168" spans="1:11" x14ac:dyDescent="0.25">
      <c r="A168">
        <v>158</v>
      </c>
      <c r="B168" s="1">
        <v>42664</v>
      </c>
      <c r="C168" t="s">
        <v>122</v>
      </c>
      <c r="D168" t="s">
        <v>22</v>
      </c>
      <c r="E168" t="s">
        <v>23</v>
      </c>
      <c r="F168" t="s">
        <v>123</v>
      </c>
      <c r="G168" t="s">
        <v>15</v>
      </c>
      <c r="H168" s="5">
        <v>999</v>
      </c>
      <c r="I168" s="5">
        <v>569.42999999999995</v>
      </c>
      <c r="J168" s="2">
        <v>0</v>
      </c>
      <c r="K168" s="5">
        <v>429.57000000000005</v>
      </c>
    </row>
    <row r="169" spans="1:11" x14ac:dyDescent="0.25">
      <c r="A169">
        <v>159</v>
      </c>
      <c r="B169" s="1">
        <v>42764</v>
      </c>
      <c r="C169" t="s">
        <v>114</v>
      </c>
      <c r="D169" t="s">
        <v>22</v>
      </c>
      <c r="E169" t="s">
        <v>86</v>
      </c>
      <c r="F169" t="s">
        <v>115</v>
      </c>
      <c r="G169" t="s">
        <v>15</v>
      </c>
      <c r="H169" s="5">
        <v>7999</v>
      </c>
      <c r="I169" s="5">
        <v>5039.37</v>
      </c>
      <c r="J169" s="2">
        <v>0</v>
      </c>
      <c r="K169" s="5">
        <v>2959.63</v>
      </c>
    </row>
    <row r="170" spans="1:11" x14ac:dyDescent="0.25">
      <c r="A170">
        <v>160</v>
      </c>
      <c r="B170" s="1">
        <v>42402</v>
      </c>
      <c r="C170" t="s">
        <v>90</v>
      </c>
      <c r="D170" t="s">
        <v>12</v>
      </c>
      <c r="E170" t="s">
        <v>35</v>
      </c>
      <c r="F170" t="s">
        <v>91</v>
      </c>
      <c r="G170" t="s">
        <v>15</v>
      </c>
      <c r="H170" s="5">
        <v>6999</v>
      </c>
      <c r="I170" s="5">
        <v>4829.3099999999995</v>
      </c>
      <c r="J170" s="2">
        <v>0.2</v>
      </c>
      <c r="K170" s="5">
        <v>769.89000000000124</v>
      </c>
    </row>
    <row r="171" spans="1:11" x14ac:dyDescent="0.25">
      <c r="A171">
        <v>161</v>
      </c>
      <c r="B171" s="1">
        <v>42645</v>
      </c>
      <c r="C171" t="s">
        <v>122</v>
      </c>
      <c r="D171" t="s">
        <v>22</v>
      </c>
      <c r="E171" t="s">
        <v>23</v>
      </c>
      <c r="F171" t="s">
        <v>123</v>
      </c>
      <c r="G171" t="s">
        <v>15</v>
      </c>
      <c r="H171" s="5">
        <v>999</v>
      </c>
      <c r="I171" s="5">
        <v>569.42999999999995</v>
      </c>
      <c r="J171" s="2">
        <v>0</v>
      </c>
      <c r="K171" s="5">
        <v>429.57000000000005</v>
      </c>
    </row>
    <row r="172" spans="1:11" x14ac:dyDescent="0.25">
      <c r="A172">
        <v>162</v>
      </c>
      <c r="B172" s="1">
        <v>42376</v>
      </c>
      <c r="C172" t="s">
        <v>21</v>
      </c>
      <c r="D172" t="s">
        <v>22</v>
      </c>
      <c r="E172" t="s">
        <v>23</v>
      </c>
      <c r="F172" t="s">
        <v>24</v>
      </c>
      <c r="G172" t="s">
        <v>15</v>
      </c>
      <c r="H172" s="5">
        <v>359</v>
      </c>
      <c r="I172" s="5">
        <v>244.12</v>
      </c>
      <c r="J172" s="2">
        <v>0</v>
      </c>
      <c r="K172" s="5">
        <v>114.88</v>
      </c>
    </row>
    <row r="173" spans="1:11" x14ac:dyDescent="0.25">
      <c r="A173">
        <v>163</v>
      </c>
      <c r="B173" s="1">
        <v>42454</v>
      </c>
      <c r="C173" t="s">
        <v>72</v>
      </c>
      <c r="D173" t="s">
        <v>22</v>
      </c>
      <c r="E173" t="s">
        <v>18</v>
      </c>
      <c r="F173" t="s">
        <v>73</v>
      </c>
      <c r="G173" t="s">
        <v>69</v>
      </c>
      <c r="H173" s="5">
        <v>799</v>
      </c>
      <c r="I173" s="5">
        <v>535.33000000000004</v>
      </c>
      <c r="J173" s="2">
        <v>0.15</v>
      </c>
      <c r="K173" s="5">
        <v>143.81999999999994</v>
      </c>
    </row>
    <row r="174" spans="1:11" x14ac:dyDescent="0.25">
      <c r="A174">
        <v>164</v>
      </c>
      <c r="B174" s="1">
        <v>42424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s="5">
        <v>1299</v>
      </c>
      <c r="I174" s="5">
        <v>727.44</v>
      </c>
      <c r="J174" s="2">
        <v>0.15</v>
      </c>
      <c r="K174" s="5">
        <v>376.70999999999981</v>
      </c>
    </row>
    <row r="175" spans="1:11" x14ac:dyDescent="0.25">
      <c r="A175">
        <v>165</v>
      </c>
      <c r="B175" s="1">
        <v>42672</v>
      </c>
      <c r="C175" t="s">
        <v>74</v>
      </c>
      <c r="D175" t="s">
        <v>12</v>
      </c>
      <c r="E175" t="s">
        <v>13</v>
      </c>
      <c r="F175" t="s">
        <v>75</v>
      </c>
      <c r="G175" t="s">
        <v>15</v>
      </c>
      <c r="H175" s="5">
        <v>2599</v>
      </c>
      <c r="I175" s="5">
        <v>1819.3</v>
      </c>
      <c r="J175" s="2">
        <v>0.15</v>
      </c>
      <c r="K175" s="5">
        <v>389.85000000000014</v>
      </c>
    </row>
    <row r="176" spans="1:11" x14ac:dyDescent="0.25">
      <c r="A176">
        <v>166</v>
      </c>
      <c r="B176" s="1">
        <v>42575</v>
      </c>
      <c r="C176" t="s">
        <v>59</v>
      </c>
      <c r="D176" t="s">
        <v>12</v>
      </c>
      <c r="E176" t="s">
        <v>35</v>
      </c>
      <c r="F176" t="s">
        <v>60</v>
      </c>
      <c r="G176" t="s">
        <v>15</v>
      </c>
      <c r="H176" s="5">
        <v>8999</v>
      </c>
      <c r="I176" s="5">
        <v>4499.5</v>
      </c>
      <c r="J176" s="2">
        <v>0.2</v>
      </c>
      <c r="K176" s="5">
        <v>2699.7000000000007</v>
      </c>
    </row>
    <row r="177" spans="1:11" x14ac:dyDescent="0.25">
      <c r="A177">
        <v>167</v>
      </c>
      <c r="B177" s="1">
        <v>42575</v>
      </c>
      <c r="C177" t="s">
        <v>16</v>
      </c>
      <c r="D177" t="s">
        <v>22</v>
      </c>
      <c r="E177" t="s">
        <v>18</v>
      </c>
      <c r="F177" t="s">
        <v>19</v>
      </c>
      <c r="G177" t="s">
        <v>20</v>
      </c>
      <c r="H177" s="5">
        <v>1149</v>
      </c>
      <c r="I177" s="5">
        <v>792.81</v>
      </c>
      <c r="J177" s="2">
        <v>0.2</v>
      </c>
      <c r="K177" s="5">
        <v>126.3900000000001</v>
      </c>
    </row>
    <row r="178" spans="1:11" x14ac:dyDescent="0.25">
      <c r="A178">
        <v>168</v>
      </c>
      <c r="B178" s="1">
        <v>42506</v>
      </c>
      <c r="C178" t="s">
        <v>79</v>
      </c>
      <c r="D178" t="s">
        <v>26</v>
      </c>
      <c r="E178" t="s">
        <v>27</v>
      </c>
      <c r="F178" t="s">
        <v>80</v>
      </c>
      <c r="G178" t="s">
        <v>15</v>
      </c>
      <c r="H178" s="5">
        <v>499</v>
      </c>
      <c r="I178" s="5">
        <v>174.64999999999998</v>
      </c>
      <c r="J178" s="2">
        <v>0.3</v>
      </c>
      <c r="K178" s="5">
        <v>174.64999999999998</v>
      </c>
    </row>
    <row r="179" spans="1:11" x14ac:dyDescent="0.25">
      <c r="A179">
        <v>169</v>
      </c>
      <c r="B179" s="1">
        <v>42643</v>
      </c>
      <c r="C179" t="s">
        <v>114</v>
      </c>
      <c r="D179" t="s">
        <v>22</v>
      </c>
      <c r="E179" t="s">
        <v>86</v>
      </c>
      <c r="F179" t="s">
        <v>115</v>
      </c>
      <c r="G179" t="s">
        <v>15</v>
      </c>
      <c r="H179" s="5">
        <v>7999</v>
      </c>
      <c r="I179" s="5">
        <v>5039.37</v>
      </c>
      <c r="J179" s="2">
        <v>0.2</v>
      </c>
      <c r="K179" s="5">
        <v>1359.8300000000008</v>
      </c>
    </row>
    <row r="180" spans="1:11" x14ac:dyDescent="0.25">
      <c r="A180">
        <v>170</v>
      </c>
      <c r="B180" s="1">
        <v>42438</v>
      </c>
      <c r="C180" t="s">
        <v>47</v>
      </c>
      <c r="D180" t="s">
        <v>26</v>
      </c>
      <c r="E180" t="s">
        <v>27</v>
      </c>
      <c r="F180" t="s">
        <v>48</v>
      </c>
      <c r="G180" t="s">
        <v>15</v>
      </c>
      <c r="H180" s="5">
        <v>699</v>
      </c>
      <c r="I180" s="5">
        <v>482.30999999999995</v>
      </c>
      <c r="J180" s="2">
        <v>0.15</v>
      </c>
      <c r="K180" s="5">
        <v>111.84000000000003</v>
      </c>
    </row>
    <row r="181" spans="1:11" x14ac:dyDescent="0.25">
      <c r="A181">
        <v>171</v>
      </c>
      <c r="B181" s="1">
        <v>42530</v>
      </c>
      <c r="C181" t="s">
        <v>25</v>
      </c>
      <c r="D181" t="s">
        <v>26</v>
      </c>
      <c r="E181" t="s">
        <v>27</v>
      </c>
      <c r="F181" t="s">
        <v>28</v>
      </c>
      <c r="G181" t="s">
        <v>15</v>
      </c>
      <c r="H181" s="5">
        <v>1499</v>
      </c>
      <c r="I181" s="5">
        <v>794.47</v>
      </c>
      <c r="J181" s="2">
        <v>0</v>
      </c>
      <c r="K181" s="5">
        <v>704.53</v>
      </c>
    </row>
    <row r="182" spans="1:11" x14ac:dyDescent="0.25">
      <c r="A182">
        <v>172</v>
      </c>
      <c r="B182" s="1">
        <v>42762</v>
      </c>
      <c r="C182" t="s">
        <v>61</v>
      </c>
      <c r="D182" t="s">
        <v>26</v>
      </c>
      <c r="E182" t="s">
        <v>45</v>
      </c>
      <c r="F182" t="s">
        <v>62</v>
      </c>
      <c r="G182" t="s">
        <v>15</v>
      </c>
      <c r="H182" s="5">
        <v>799</v>
      </c>
      <c r="I182" s="5">
        <v>679.15</v>
      </c>
      <c r="J182" s="2">
        <v>0.15</v>
      </c>
      <c r="K182" s="5">
        <v>0</v>
      </c>
    </row>
    <row r="183" spans="1:11" x14ac:dyDescent="0.25">
      <c r="A183">
        <v>173</v>
      </c>
      <c r="B183" s="1">
        <v>42656</v>
      </c>
      <c r="C183" t="s">
        <v>124</v>
      </c>
      <c r="D183" t="s">
        <v>22</v>
      </c>
      <c r="E183" t="s">
        <v>86</v>
      </c>
      <c r="F183" t="s">
        <v>125</v>
      </c>
      <c r="G183" t="s">
        <v>15</v>
      </c>
      <c r="H183" s="5">
        <v>11999</v>
      </c>
      <c r="I183" s="5">
        <v>6119.49</v>
      </c>
      <c r="J183" s="2">
        <v>0</v>
      </c>
      <c r="K183" s="5">
        <v>5879.51</v>
      </c>
    </row>
    <row r="184" spans="1:11" x14ac:dyDescent="0.25">
      <c r="A184">
        <v>174</v>
      </c>
      <c r="B184" s="1">
        <v>42505</v>
      </c>
      <c r="C184" t="s">
        <v>21</v>
      </c>
      <c r="D184" t="s">
        <v>22</v>
      </c>
      <c r="E184" t="s">
        <v>23</v>
      </c>
      <c r="F184" t="s">
        <v>24</v>
      </c>
      <c r="G184" t="s">
        <v>15</v>
      </c>
      <c r="H184" s="5">
        <v>359</v>
      </c>
      <c r="I184" s="5">
        <v>244.12</v>
      </c>
      <c r="J184" s="2">
        <v>0</v>
      </c>
      <c r="K184" s="5">
        <v>114.88</v>
      </c>
    </row>
    <row r="185" spans="1:11" x14ac:dyDescent="0.25">
      <c r="A185">
        <v>175</v>
      </c>
      <c r="B185" s="1">
        <v>42524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s="5">
        <v>1299</v>
      </c>
      <c r="I185" s="5">
        <v>727.44</v>
      </c>
      <c r="J185" s="2">
        <v>0</v>
      </c>
      <c r="K185" s="5">
        <v>571.55999999999995</v>
      </c>
    </row>
    <row r="186" spans="1:11" x14ac:dyDescent="0.25">
      <c r="A186">
        <v>176</v>
      </c>
      <c r="B186" s="1">
        <v>42407</v>
      </c>
      <c r="C186" t="s">
        <v>114</v>
      </c>
      <c r="D186" t="s">
        <v>22</v>
      </c>
      <c r="E186" t="s">
        <v>86</v>
      </c>
      <c r="F186" t="s">
        <v>115</v>
      </c>
      <c r="G186" t="s">
        <v>15</v>
      </c>
      <c r="H186" s="5">
        <v>7999</v>
      </c>
      <c r="I186" s="5">
        <v>5039.37</v>
      </c>
      <c r="J186" s="2">
        <v>0</v>
      </c>
      <c r="K186" s="5">
        <v>2959.63</v>
      </c>
    </row>
    <row r="187" spans="1:11" x14ac:dyDescent="0.25">
      <c r="A187">
        <v>177</v>
      </c>
      <c r="B187" s="1">
        <v>42645</v>
      </c>
      <c r="C187" t="s">
        <v>16</v>
      </c>
      <c r="D187" t="s">
        <v>22</v>
      </c>
      <c r="E187" t="s">
        <v>18</v>
      </c>
      <c r="F187" t="s">
        <v>19</v>
      </c>
      <c r="G187" t="s">
        <v>20</v>
      </c>
      <c r="H187" s="5">
        <v>1149</v>
      </c>
      <c r="I187" s="5">
        <v>792.81</v>
      </c>
      <c r="J187" s="2">
        <v>0</v>
      </c>
      <c r="K187" s="5">
        <v>356.19000000000005</v>
      </c>
    </row>
    <row r="188" spans="1:11" x14ac:dyDescent="0.25">
      <c r="A188">
        <v>178</v>
      </c>
      <c r="B188" s="1">
        <v>42438</v>
      </c>
      <c r="C188" t="s">
        <v>108</v>
      </c>
      <c r="D188" t="s">
        <v>22</v>
      </c>
      <c r="E188" t="s">
        <v>23</v>
      </c>
      <c r="F188" t="s">
        <v>109</v>
      </c>
      <c r="G188" t="s">
        <v>15</v>
      </c>
      <c r="H188" s="5">
        <v>1899</v>
      </c>
      <c r="I188" s="5">
        <v>1177.3799999999999</v>
      </c>
      <c r="J188" s="2">
        <v>0.15</v>
      </c>
      <c r="K188" s="5">
        <v>436.77</v>
      </c>
    </row>
    <row r="189" spans="1:11" x14ac:dyDescent="0.25">
      <c r="A189">
        <v>179</v>
      </c>
      <c r="B189" s="1">
        <v>42657</v>
      </c>
      <c r="C189" t="s">
        <v>126</v>
      </c>
      <c r="D189" t="s">
        <v>26</v>
      </c>
      <c r="E189" t="s">
        <v>27</v>
      </c>
      <c r="F189" t="s">
        <v>127</v>
      </c>
      <c r="G189" t="s">
        <v>15</v>
      </c>
      <c r="H189" s="5">
        <v>299</v>
      </c>
      <c r="I189" s="5">
        <v>179.4</v>
      </c>
      <c r="J189" s="2">
        <v>0.15</v>
      </c>
      <c r="K189" s="5">
        <v>74.75</v>
      </c>
    </row>
    <row r="190" spans="1:11" x14ac:dyDescent="0.25">
      <c r="A190">
        <v>180</v>
      </c>
      <c r="B190" s="1">
        <v>42782</v>
      </c>
      <c r="C190" t="s">
        <v>51</v>
      </c>
      <c r="D190" t="s">
        <v>22</v>
      </c>
      <c r="E190" t="s">
        <v>23</v>
      </c>
      <c r="F190" t="s">
        <v>52</v>
      </c>
      <c r="G190" t="s">
        <v>15</v>
      </c>
      <c r="H190" s="5">
        <v>599</v>
      </c>
      <c r="I190" s="5">
        <v>455.24</v>
      </c>
      <c r="J190" s="2">
        <v>0</v>
      </c>
      <c r="K190" s="5">
        <v>143.76</v>
      </c>
    </row>
    <row r="191" spans="1:11" x14ac:dyDescent="0.25">
      <c r="A191">
        <v>181</v>
      </c>
      <c r="B191" s="1">
        <v>42497</v>
      </c>
      <c r="C191" t="s">
        <v>11</v>
      </c>
      <c r="D191" t="s">
        <v>12</v>
      </c>
      <c r="E191" t="s">
        <v>13</v>
      </c>
      <c r="F191" t="s">
        <v>14</v>
      </c>
      <c r="G191" t="s">
        <v>15</v>
      </c>
      <c r="H191" s="5">
        <v>1299</v>
      </c>
      <c r="I191" s="5">
        <v>727.44</v>
      </c>
      <c r="J191" s="2">
        <v>0</v>
      </c>
      <c r="K191" s="5">
        <v>571.55999999999995</v>
      </c>
    </row>
    <row r="192" spans="1:11" x14ac:dyDescent="0.25">
      <c r="A192">
        <v>182</v>
      </c>
      <c r="B192" s="1">
        <v>42520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s="5">
        <v>1299</v>
      </c>
      <c r="I192" s="5">
        <v>727.44</v>
      </c>
      <c r="J192" s="2">
        <v>0.2</v>
      </c>
      <c r="K192" s="5">
        <v>311.76</v>
      </c>
    </row>
    <row r="193" spans="1:11" x14ac:dyDescent="0.25">
      <c r="A193">
        <v>183</v>
      </c>
      <c r="B193" s="1">
        <v>42404</v>
      </c>
      <c r="C193" t="s">
        <v>21</v>
      </c>
      <c r="D193" t="s">
        <v>22</v>
      </c>
      <c r="E193" t="s">
        <v>23</v>
      </c>
      <c r="F193" t="s">
        <v>24</v>
      </c>
      <c r="G193" t="s">
        <v>15</v>
      </c>
      <c r="H193" s="5">
        <v>359</v>
      </c>
      <c r="I193" s="5">
        <v>244.12</v>
      </c>
      <c r="J193" s="2">
        <v>0.15</v>
      </c>
      <c r="K193" s="5">
        <v>61.029999999999973</v>
      </c>
    </row>
    <row r="194" spans="1:11" x14ac:dyDescent="0.25">
      <c r="A194">
        <v>184</v>
      </c>
      <c r="B194" s="1">
        <v>42518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s="5">
        <v>1299</v>
      </c>
      <c r="I194" s="5">
        <v>727.44</v>
      </c>
      <c r="J194" s="2">
        <v>0</v>
      </c>
      <c r="K194" s="5">
        <v>571.55999999999995</v>
      </c>
    </row>
    <row r="195" spans="1:11" x14ac:dyDescent="0.25">
      <c r="A195">
        <v>185</v>
      </c>
      <c r="B195" s="1">
        <v>42391</v>
      </c>
      <c r="C195" t="s">
        <v>31</v>
      </c>
      <c r="D195" t="s">
        <v>22</v>
      </c>
      <c r="E195" t="s">
        <v>18</v>
      </c>
      <c r="F195" t="s">
        <v>32</v>
      </c>
      <c r="G195" t="s">
        <v>33</v>
      </c>
      <c r="H195" s="5">
        <v>1199</v>
      </c>
      <c r="I195" s="5">
        <v>887.26</v>
      </c>
      <c r="J195" s="2">
        <v>0</v>
      </c>
      <c r="K195" s="5">
        <v>311.74</v>
      </c>
    </row>
    <row r="196" spans="1:11" x14ac:dyDescent="0.25">
      <c r="A196">
        <v>186</v>
      </c>
      <c r="B196" s="1">
        <v>42424</v>
      </c>
      <c r="C196" t="s">
        <v>63</v>
      </c>
      <c r="D196" t="s">
        <v>12</v>
      </c>
      <c r="E196" t="s">
        <v>35</v>
      </c>
      <c r="F196" t="s">
        <v>64</v>
      </c>
      <c r="G196" t="s">
        <v>15</v>
      </c>
      <c r="H196" s="5">
        <v>13999</v>
      </c>
      <c r="I196" s="5">
        <v>9659.31</v>
      </c>
      <c r="J196" s="2">
        <v>0.15</v>
      </c>
      <c r="K196" s="5">
        <v>2239.84</v>
      </c>
    </row>
    <row r="197" spans="1:11" x14ac:dyDescent="0.25">
      <c r="A197">
        <v>187</v>
      </c>
      <c r="B197" s="1">
        <v>42506</v>
      </c>
      <c r="C197" t="s">
        <v>72</v>
      </c>
      <c r="D197" t="s">
        <v>22</v>
      </c>
      <c r="E197" t="s">
        <v>18</v>
      </c>
      <c r="F197" t="s">
        <v>73</v>
      </c>
      <c r="G197" t="s">
        <v>69</v>
      </c>
      <c r="H197" s="5">
        <v>799</v>
      </c>
      <c r="I197" s="5">
        <v>535.33000000000004</v>
      </c>
      <c r="J197" s="2">
        <v>0.3</v>
      </c>
      <c r="K197" s="5">
        <v>23.969999999999914</v>
      </c>
    </row>
    <row r="198" spans="1:11" x14ac:dyDescent="0.25">
      <c r="A198">
        <v>188</v>
      </c>
      <c r="B198" s="1">
        <v>42741</v>
      </c>
      <c r="C198" t="s">
        <v>128</v>
      </c>
      <c r="D198" t="s">
        <v>26</v>
      </c>
      <c r="E198" t="s">
        <v>45</v>
      </c>
      <c r="F198" t="s">
        <v>129</v>
      </c>
      <c r="G198" t="s">
        <v>15</v>
      </c>
      <c r="H198" s="5">
        <v>399</v>
      </c>
      <c r="I198" s="5">
        <v>323.19</v>
      </c>
      <c r="J198" s="2">
        <v>0</v>
      </c>
      <c r="K198" s="5">
        <v>75.81</v>
      </c>
    </row>
    <row r="199" spans="1:11" x14ac:dyDescent="0.25">
      <c r="A199">
        <v>189</v>
      </c>
      <c r="B199" s="1">
        <v>42455</v>
      </c>
      <c r="C199" t="s">
        <v>63</v>
      </c>
      <c r="D199" t="s">
        <v>12</v>
      </c>
      <c r="E199" t="s">
        <v>35</v>
      </c>
      <c r="F199" t="s">
        <v>64</v>
      </c>
      <c r="G199" t="s">
        <v>15</v>
      </c>
      <c r="H199" s="5">
        <v>13999</v>
      </c>
      <c r="I199" s="5">
        <v>9659.31</v>
      </c>
      <c r="J199" s="2">
        <v>0.2</v>
      </c>
      <c r="K199" s="5">
        <v>1539.8900000000012</v>
      </c>
    </row>
    <row r="200" spans="1:11" x14ac:dyDescent="0.25">
      <c r="A200">
        <v>190</v>
      </c>
      <c r="B200" s="1">
        <v>42643</v>
      </c>
      <c r="C200" t="s">
        <v>130</v>
      </c>
      <c r="D200" t="s">
        <v>12</v>
      </c>
      <c r="E200" t="s">
        <v>13</v>
      </c>
      <c r="F200" t="s">
        <v>131</v>
      </c>
      <c r="G200" t="s">
        <v>15</v>
      </c>
      <c r="H200" s="5">
        <v>999</v>
      </c>
      <c r="I200" s="5">
        <v>569.42999999999995</v>
      </c>
      <c r="J200" s="2">
        <v>0.2</v>
      </c>
      <c r="K200" s="5">
        <v>229.7700000000001</v>
      </c>
    </row>
    <row r="201" spans="1:11" x14ac:dyDescent="0.25">
      <c r="A201">
        <v>191</v>
      </c>
      <c r="B201" s="1">
        <v>42388</v>
      </c>
      <c r="C201" t="s">
        <v>102</v>
      </c>
      <c r="D201" t="s">
        <v>22</v>
      </c>
      <c r="E201" t="s">
        <v>18</v>
      </c>
      <c r="F201" t="s">
        <v>103</v>
      </c>
      <c r="G201" t="s">
        <v>33</v>
      </c>
      <c r="H201" s="5">
        <v>899</v>
      </c>
      <c r="I201" s="5">
        <v>440.51</v>
      </c>
      <c r="J201" s="2">
        <v>0.15</v>
      </c>
      <c r="K201" s="5">
        <v>323.64</v>
      </c>
    </row>
    <row r="202" spans="1:11" x14ac:dyDescent="0.25">
      <c r="A202">
        <v>192</v>
      </c>
      <c r="B202" s="1">
        <v>42643</v>
      </c>
      <c r="C202" t="s">
        <v>132</v>
      </c>
      <c r="D202" t="s">
        <v>26</v>
      </c>
      <c r="E202" t="s">
        <v>45</v>
      </c>
      <c r="F202" t="s">
        <v>133</v>
      </c>
      <c r="G202" t="s">
        <v>15</v>
      </c>
      <c r="H202" s="5">
        <v>299</v>
      </c>
      <c r="I202" s="5">
        <v>248.17</v>
      </c>
      <c r="J202" s="2">
        <v>0.2</v>
      </c>
      <c r="K202" s="5">
        <v>-8.9699999999999704</v>
      </c>
    </row>
    <row r="203" spans="1:11" x14ac:dyDescent="0.25">
      <c r="A203">
        <v>193</v>
      </c>
      <c r="B203" s="1">
        <v>42575</v>
      </c>
      <c r="C203" t="s">
        <v>63</v>
      </c>
      <c r="D203" t="s">
        <v>12</v>
      </c>
      <c r="E203" t="s">
        <v>35</v>
      </c>
      <c r="F203" t="s">
        <v>64</v>
      </c>
      <c r="G203" t="s">
        <v>15</v>
      </c>
      <c r="H203" s="5">
        <v>13999</v>
      </c>
      <c r="I203" s="5">
        <v>9659.31</v>
      </c>
      <c r="J203" s="2">
        <v>0.2</v>
      </c>
      <c r="K203" s="5">
        <v>1539.8900000000012</v>
      </c>
    </row>
    <row r="204" spans="1:11" x14ac:dyDescent="0.25">
      <c r="A204">
        <v>194</v>
      </c>
      <c r="B204" s="1">
        <v>42631</v>
      </c>
      <c r="C204" t="s">
        <v>63</v>
      </c>
      <c r="D204" t="s">
        <v>12</v>
      </c>
      <c r="E204" t="s">
        <v>35</v>
      </c>
      <c r="F204" t="s">
        <v>64</v>
      </c>
      <c r="G204" t="s">
        <v>15</v>
      </c>
      <c r="H204" s="5">
        <v>13999</v>
      </c>
      <c r="I204" s="5">
        <v>9659.31</v>
      </c>
      <c r="J204" s="2">
        <v>0.1</v>
      </c>
      <c r="K204" s="5">
        <v>2939.7900000000009</v>
      </c>
    </row>
    <row r="205" spans="1:11" x14ac:dyDescent="0.25">
      <c r="A205">
        <v>195</v>
      </c>
      <c r="B205" s="1">
        <v>42525</v>
      </c>
      <c r="C205" t="s">
        <v>25</v>
      </c>
      <c r="D205" t="s">
        <v>26</v>
      </c>
      <c r="E205" t="s">
        <v>27</v>
      </c>
      <c r="F205" t="s">
        <v>28</v>
      </c>
      <c r="G205" t="s">
        <v>15</v>
      </c>
      <c r="H205" s="5">
        <v>1499</v>
      </c>
      <c r="I205" s="5">
        <v>794.47</v>
      </c>
      <c r="J205" s="2">
        <v>0</v>
      </c>
      <c r="K205" s="5">
        <v>704.53</v>
      </c>
    </row>
    <row r="206" spans="1:11" x14ac:dyDescent="0.25">
      <c r="A206">
        <v>196</v>
      </c>
      <c r="B206" s="1">
        <v>42457</v>
      </c>
      <c r="C206" t="s">
        <v>114</v>
      </c>
      <c r="D206" t="s">
        <v>22</v>
      </c>
      <c r="E206" t="s">
        <v>86</v>
      </c>
      <c r="F206" t="s">
        <v>115</v>
      </c>
      <c r="G206" t="s">
        <v>15</v>
      </c>
      <c r="H206" s="5">
        <v>7999</v>
      </c>
      <c r="I206" s="5">
        <v>5039.37</v>
      </c>
      <c r="J206" s="2">
        <v>0</v>
      </c>
      <c r="K206" s="5">
        <v>2959.63</v>
      </c>
    </row>
    <row r="207" spans="1:11" x14ac:dyDescent="0.25">
      <c r="A207">
        <v>197</v>
      </c>
      <c r="B207" s="1">
        <v>42402</v>
      </c>
      <c r="C207" t="s">
        <v>134</v>
      </c>
      <c r="D207" t="s">
        <v>22</v>
      </c>
      <c r="E207" t="s">
        <v>18</v>
      </c>
      <c r="F207" t="s">
        <v>135</v>
      </c>
      <c r="G207" t="s">
        <v>33</v>
      </c>
      <c r="H207" s="5">
        <v>409</v>
      </c>
      <c r="I207" s="5">
        <v>237.21999999999997</v>
      </c>
      <c r="J207" s="2">
        <v>0.2</v>
      </c>
      <c r="K207" s="5">
        <v>89.980000000000075</v>
      </c>
    </row>
    <row r="208" spans="1:11" x14ac:dyDescent="0.25">
      <c r="A208">
        <v>198</v>
      </c>
      <c r="B208" s="1">
        <v>42455</v>
      </c>
      <c r="C208" t="s">
        <v>136</v>
      </c>
      <c r="D208" t="s">
        <v>12</v>
      </c>
      <c r="E208" t="s">
        <v>35</v>
      </c>
      <c r="F208" t="s">
        <v>137</v>
      </c>
      <c r="G208" t="s">
        <v>15</v>
      </c>
      <c r="H208" s="5">
        <v>7599</v>
      </c>
      <c r="I208" s="5">
        <v>2735.64</v>
      </c>
      <c r="J208" s="2">
        <v>0.2</v>
      </c>
      <c r="K208" s="5">
        <v>3343.5600000000009</v>
      </c>
    </row>
    <row r="209" spans="1:11" x14ac:dyDescent="0.25">
      <c r="A209">
        <v>199</v>
      </c>
      <c r="B209" s="1">
        <v>42506</v>
      </c>
      <c r="C209" t="s">
        <v>51</v>
      </c>
      <c r="D209" t="s">
        <v>22</v>
      </c>
      <c r="E209" t="s">
        <v>23</v>
      </c>
      <c r="F209" t="s">
        <v>52</v>
      </c>
      <c r="G209" t="s">
        <v>15</v>
      </c>
      <c r="H209" s="5">
        <v>599</v>
      </c>
      <c r="I209" s="5">
        <v>455.24</v>
      </c>
      <c r="J209" s="2">
        <v>0.3</v>
      </c>
      <c r="K209" s="5">
        <v>-35.940000000000055</v>
      </c>
    </row>
    <row r="210" spans="1:11" x14ac:dyDescent="0.25">
      <c r="A210">
        <v>200</v>
      </c>
      <c r="B210" s="1">
        <v>42479</v>
      </c>
      <c r="C210" t="s">
        <v>90</v>
      </c>
      <c r="D210" t="s">
        <v>12</v>
      </c>
      <c r="E210" t="s">
        <v>35</v>
      </c>
      <c r="F210" t="s">
        <v>91</v>
      </c>
      <c r="G210" t="s">
        <v>15</v>
      </c>
      <c r="H210" s="5">
        <v>6999</v>
      </c>
      <c r="I210" s="5">
        <v>4829.3099999999995</v>
      </c>
      <c r="J210" s="2">
        <v>0.15</v>
      </c>
      <c r="K210" s="5">
        <v>1119.8400000000001</v>
      </c>
    </row>
    <row r="211" spans="1:11" x14ac:dyDescent="0.25">
      <c r="A211">
        <v>201</v>
      </c>
      <c r="B211" s="1">
        <v>42632</v>
      </c>
      <c r="C211" t="s">
        <v>79</v>
      </c>
      <c r="D211" t="s">
        <v>26</v>
      </c>
      <c r="E211" t="s">
        <v>27</v>
      </c>
      <c r="F211" t="s">
        <v>80</v>
      </c>
      <c r="G211" t="s">
        <v>15</v>
      </c>
      <c r="H211" s="5">
        <v>499</v>
      </c>
      <c r="I211" s="5">
        <v>174.64999999999998</v>
      </c>
      <c r="J211" s="2">
        <v>0</v>
      </c>
      <c r="K211" s="5">
        <v>324.35000000000002</v>
      </c>
    </row>
    <row r="212" spans="1:11" x14ac:dyDescent="0.25">
      <c r="A212">
        <v>202</v>
      </c>
      <c r="B212" s="1">
        <v>42404</v>
      </c>
      <c r="C212" t="s">
        <v>138</v>
      </c>
      <c r="D212" t="s">
        <v>22</v>
      </c>
      <c r="E212" t="s">
        <v>86</v>
      </c>
      <c r="F212" t="s">
        <v>139</v>
      </c>
      <c r="G212" t="s">
        <v>15</v>
      </c>
      <c r="H212" s="5">
        <v>14399</v>
      </c>
      <c r="I212" s="5">
        <v>11375.210000000001</v>
      </c>
      <c r="J212" s="2">
        <v>0.15</v>
      </c>
      <c r="K212" s="5">
        <v>863.93999999999869</v>
      </c>
    </row>
    <row r="213" spans="1:11" x14ac:dyDescent="0.25">
      <c r="A213">
        <v>203</v>
      </c>
      <c r="B213" s="1">
        <v>42601</v>
      </c>
      <c r="C213" t="s">
        <v>21</v>
      </c>
      <c r="D213" t="s">
        <v>22</v>
      </c>
      <c r="E213" t="s">
        <v>23</v>
      </c>
      <c r="F213" t="s">
        <v>24</v>
      </c>
      <c r="G213" t="s">
        <v>15</v>
      </c>
      <c r="H213" s="5">
        <v>359</v>
      </c>
      <c r="I213" s="5">
        <v>244.12</v>
      </c>
      <c r="J213" s="2">
        <v>0.15</v>
      </c>
      <c r="K213" s="5">
        <v>61.029999999999973</v>
      </c>
    </row>
    <row r="214" spans="1:11" x14ac:dyDescent="0.25">
      <c r="A214">
        <v>204</v>
      </c>
      <c r="B214" s="1">
        <v>42506</v>
      </c>
      <c r="C214" t="s">
        <v>21</v>
      </c>
      <c r="D214" t="s">
        <v>22</v>
      </c>
      <c r="E214" t="s">
        <v>23</v>
      </c>
      <c r="F214" t="s">
        <v>24</v>
      </c>
      <c r="G214" t="s">
        <v>15</v>
      </c>
      <c r="H214" s="5">
        <v>359</v>
      </c>
      <c r="I214" s="5">
        <v>244.12</v>
      </c>
      <c r="J214" s="2">
        <v>0.3</v>
      </c>
      <c r="K214" s="5">
        <v>7.1799999999999784</v>
      </c>
    </row>
    <row r="215" spans="1:11" x14ac:dyDescent="0.25">
      <c r="A215">
        <v>205</v>
      </c>
      <c r="B215" s="1">
        <v>42520</v>
      </c>
      <c r="C215" t="s">
        <v>140</v>
      </c>
      <c r="D215" t="s">
        <v>22</v>
      </c>
      <c r="E215" t="s">
        <v>18</v>
      </c>
      <c r="F215" t="s">
        <v>141</v>
      </c>
      <c r="G215" t="s">
        <v>43</v>
      </c>
      <c r="H215" s="5">
        <v>999</v>
      </c>
      <c r="I215" s="5">
        <v>809.19</v>
      </c>
      <c r="J215" s="2">
        <v>0.2</v>
      </c>
      <c r="K215" s="5">
        <v>-9.9900000000000091</v>
      </c>
    </row>
    <row r="216" spans="1:11" x14ac:dyDescent="0.25">
      <c r="A216">
        <v>206</v>
      </c>
      <c r="B216" s="1">
        <v>42418</v>
      </c>
      <c r="C216" t="s">
        <v>41</v>
      </c>
      <c r="D216" t="s">
        <v>22</v>
      </c>
      <c r="E216" t="s">
        <v>18</v>
      </c>
      <c r="F216" t="s">
        <v>42</v>
      </c>
      <c r="G216" t="s">
        <v>43</v>
      </c>
      <c r="H216" s="5">
        <v>1149</v>
      </c>
      <c r="I216" s="5">
        <v>896.22</v>
      </c>
      <c r="J216" s="2">
        <v>0</v>
      </c>
      <c r="K216" s="5">
        <v>252.77999999999997</v>
      </c>
    </row>
    <row r="217" spans="1:11" x14ac:dyDescent="0.25">
      <c r="A217">
        <v>207</v>
      </c>
      <c r="B217" s="1">
        <v>42787</v>
      </c>
      <c r="C217" t="s">
        <v>142</v>
      </c>
      <c r="D217" t="s">
        <v>12</v>
      </c>
      <c r="E217" t="s">
        <v>35</v>
      </c>
      <c r="F217" t="s">
        <v>143</v>
      </c>
      <c r="G217" t="s">
        <v>15</v>
      </c>
      <c r="H217" s="5">
        <v>2299</v>
      </c>
      <c r="I217" s="5">
        <v>1218.47</v>
      </c>
      <c r="J217" s="2">
        <v>0.1</v>
      </c>
      <c r="K217" s="5">
        <v>850.62999999999988</v>
      </c>
    </row>
    <row r="218" spans="1:11" x14ac:dyDescent="0.25">
      <c r="A218">
        <v>208</v>
      </c>
      <c r="B218" s="1">
        <v>42508</v>
      </c>
      <c r="C218" t="s">
        <v>41</v>
      </c>
      <c r="D218" t="s">
        <v>22</v>
      </c>
      <c r="E218" t="s">
        <v>18</v>
      </c>
      <c r="F218" t="s">
        <v>42</v>
      </c>
      <c r="G218" t="s">
        <v>43</v>
      </c>
      <c r="H218" s="5">
        <v>1149</v>
      </c>
      <c r="I218" s="5">
        <v>896.22</v>
      </c>
      <c r="J218" s="2">
        <v>0</v>
      </c>
      <c r="K218" s="5">
        <v>252.77999999999997</v>
      </c>
    </row>
    <row r="219" spans="1:11" x14ac:dyDescent="0.25">
      <c r="A219">
        <v>209</v>
      </c>
      <c r="B219" s="1">
        <v>42438</v>
      </c>
      <c r="C219" t="s">
        <v>59</v>
      </c>
      <c r="D219" t="s">
        <v>12</v>
      </c>
      <c r="E219" t="s">
        <v>35</v>
      </c>
      <c r="F219" t="s">
        <v>60</v>
      </c>
      <c r="G219" t="s">
        <v>15</v>
      </c>
      <c r="H219" s="5">
        <v>8999</v>
      </c>
      <c r="I219" s="5">
        <v>4499.5</v>
      </c>
      <c r="J219" s="2">
        <v>0.15</v>
      </c>
      <c r="K219" s="5">
        <v>3149.6499999999996</v>
      </c>
    </row>
    <row r="220" spans="1:11" x14ac:dyDescent="0.25">
      <c r="A220">
        <v>210</v>
      </c>
      <c r="B220" s="1">
        <v>42546</v>
      </c>
      <c r="C220" t="s">
        <v>98</v>
      </c>
      <c r="D220" t="s">
        <v>22</v>
      </c>
      <c r="E220" t="s">
        <v>86</v>
      </c>
      <c r="F220" t="s">
        <v>99</v>
      </c>
      <c r="G220" t="s">
        <v>15</v>
      </c>
      <c r="H220" s="5">
        <v>5999</v>
      </c>
      <c r="I220" s="5">
        <v>3419.43</v>
      </c>
      <c r="J220" s="2">
        <v>0.2</v>
      </c>
      <c r="K220" s="5">
        <v>1379.77</v>
      </c>
    </row>
    <row r="221" spans="1:11" x14ac:dyDescent="0.25">
      <c r="A221">
        <v>211</v>
      </c>
      <c r="B221" s="1">
        <v>42672</v>
      </c>
      <c r="C221" t="s">
        <v>21</v>
      </c>
      <c r="D221" t="s">
        <v>22</v>
      </c>
      <c r="E221" t="s">
        <v>23</v>
      </c>
      <c r="F221" t="s">
        <v>24</v>
      </c>
      <c r="G221" t="s">
        <v>15</v>
      </c>
      <c r="H221" s="5">
        <v>359</v>
      </c>
      <c r="I221" s="5">
        <v>244.12</v>
      </c>
      <c r="J221" s="2">
        <v>0.15</v>
      </c>
      <c r="K221" s="5">
        <v>61.029999999999973</v>
      </c>
    </row>
    <row r="222" spans="1:11" x14ac:dyDescent="0.25">
      <c r="A222">
        <v>212</v>
      </c>
      <c r="B222" s="1">
        <v>42388</v>
      </c>
      <c r="C222" t="s">
        <v>37</v>
      </c>
      <c r="D222" t="s">
        <v>26</v>
      </c>
      <c r="E222" t="s">
        <v>27</v>
      </c>
      <c r="F222" t="s">
        <v>38</v>
      </c>
      <c r="G222" t="s">
        <v>15</v>
      </c>
      <c r="H222" s="5">
        <v>229</v>
      </c>
      <c r="I222" s="5">
        <v>153.43</v>
      </c>
      <c r="J222" s="2">
        <v>0.15</v>
      </c>
      <c r="K222" s="5">
        <v>41.22</v>
      </c>
    </row>
    <row r="223" spans="1:11" x14ac:dyDescent="0.25">
      <c r="A223">
        <v>213</v>
      </c>
      <c r="B223" s="1">
        <v>42405</v>
      </c>
      <c r="C223" t="s">
        <v>41</v>
      </c>
      <c r="D223" t="s">
        <v>22</v>
      </c>
      <c r="E223" t="s">
        <v>18</v>
      </c>
      <c r="F223" t="s">
        <v>42</v>
      </c>
      <c r="G223" t="s">
        <v>43</v>
      </c>
      <c r="H223" s="5">
        <v>1149</v>
      </c>
      <c r="I223" s="5">
        <v>896.22</v>
      </c>
      <c r="J223" s="2">
        <v>0</v>
      </c>
      <c r="K223" s="5">
        <v>252.77999999999997</v>
      </c>
    </row>
    <row r="224" spans="1:11" x14ac:dyDescent="0.25">
      <c r="A224">
        <v>214</v>
      </c>
      <c r="B224" s="1">
        <v>42506</v>
      </c>
      <c r="C224" t="s">
        <v>31</v>
      </c>
      <c r="D224" t="s">
        <v>22</v>
      </c>
      <c r="E224" t="s">
        <v>18</v>
      </c>
      <c r="F224" t="s">
        <v>32</v>
      </c>
      <c r="G224" t="s">
        <v>33</v>
      </c>
      <c r="H224" s="5">
        <v>1199</v>
      </c>
      <c r="I224" s="5">
        <v>887.26</v>
      </c>
      <c r="J224" s="2">
        <v>0.3</v>
      </c>
      <c r="K224" s="5">
        <v>-47.960000000000036</v>
      </c>
    </row>
    <row r="225" spans="1:11" x14ac:dyDescent="0.25">
      <c r="A225">
        <v>215</v>
      </c>
      <c r="B225" s="1">
        <v>42575</v>
      </c>
      <c r="C225" t="s">
        <v>44</v>
      </c>
      <c r="D225" t="s">
        <v>26</v>
      </c>
      <c r="E225" t="s">
        <v>45</v>
      </c>
      <c r="F225" t="s">
        <v>46</v>
      </c>
      <c r="G225" t="s">
        <v>15</v>
      </c>
      <c r="H225" s="5">
        <v>699</v>
      </c>
      <c r="I225" s="5">
        <v>531.24</v>
      </c>
      <c r="J225" s="2">
        <v>0.2</v>
      </c>
      <c r="K225" s="5">
        <v>27.960000000000036</v>
      </c>
    </row>
    <row r="226" spans="1:11" x14ac:dyDescent="0.25">
      <c r="A226">
        <v>216</v>
      </c>
      <c r="B226" s="1">
        <v>42720</v>
      </c>
      <c r="C226" t="s">
        <v>25</v>
      </c>
      <c r="D226" t="s">
        <v>26</v>
      </c>
      <c r="E226" t="s">
        <v>27</v>
      </c>
      <c r="F226" t="s">
        <v>28</v>
      </c>
      <c r="G226" t="s">
        <v>15</v>
      </c>
      <c r="H226" s="5">
        <v>1499</v>
      </c>
      <c r="I226" s="5">
        <v>794.47</v>
      </c>
      <c r="J226" s="2">
        <v>0.2</v>
      </c>
      <c r="K226" s="5">
        <v>404.73</v>
      </c>
    </row>
    <row r="227" spans="1:11" x14ac:dyDescent="0.25">
      <c r="A227">
        <v>217</v>
      </c>
      <c r="B227" s="1">
        <v>42703</v>
      </c>
      <c r="C227" t="s">
        <v>120</v>
      </c>
      <c r="D227" t="s">
        <v>22</v>
      </c>
      <c r="E227" t="s">
        <v>23</v>
      </c>
      <c r="F227" t="s">
        <v>121</v>
      </c>
      <c r="G227" t="s">
        <v>15</v>
      </c>
      <c r="H227" s="5">
        <v>169</v>
      </c>
      <c r="I227" s="5">
        <v>130.13</v>
      </c>
      <c r="J227" s="2">
        <v>0</v>
      </c>
      <c r="K227" s="5">
        <v>38.870000000000005</v>
      </c>
    </row>
    <row r="228" spans="1:11" x14ac:dyDescent="0.25">
      <c r="A228">
        <v>218</v>
      </c>
      <c r="B228" s="1">
        <v>42718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s="5">
        <v>1299</v>
      </c>
      <c r="I228" s="5">
        <v>727.44</v>
      </c>
      <c r="J228" s="2">
        <v>0</v>
      </c>
      <c r="K228" s="5">
        <v>571.55999999999995</v>
      </c>
    </row>
    <row r="229" spans="1:11" x14ac:dyDescent="0.25">
      <c r="A229">
        <v>219</v>
      </c>
      <c r="B229" s="1">
        <v>42765</v>
      </c>
      <c r="C229" t="s">
        <v>41</v>
      </c>
      <c r="D229" t="s">
        <v>22</v>
      </c>
      <c r="E229" t="s">
        <v>18</v>
      </c>
      <c r="F229" t="s">
        <v>42</v>
      </c>
      <c r="G229" t="s">
        <v>43</v>
      </c>
      <c r="H229" s="5">
        <v>1149</v>
      </c>
      <c r="I229" s="5">
        <v>896.22</v>
      </c>
      <c r="J229" s="2">
        <v>0</v>
      </c>
      <c r="K229" s="5">
        <v>252.77999999999997</v>
      </c>
    </row>
    <row r="230" spans="1:11" x14ac:dyDescent="0.25">
      <c r="A230">
        <v>220</v>
      </c>
      <c r="B230" s="1">
        <v>42787</v>
      </c>
      <c r="C230" t="s">
        <v>72</v>
      </c>
      <c r="D230" t="s">
        <v>22</v>
      </c>
      <c r="E230" t="s">
        <v>18</v>
      </c>
      <c r="F230" t="s">
        <v>73</v>
      </c>
      <c r="G230" t="s">
        <v>69</v>
      </c>
      <c r="H230" s="5">
        <v>799</v>
      </c>
      <c r="I230" s="5">
        <v>535.33000000000004</v>
      </c>
      <c r="J230" s="2">
        <v>0.1</v>
      </c>
      <c r="K230" s="5">
        <v>183.76999999999998</v>
      </c>
    </row>
    <row r="231" spans="1:11" x14ac:dyDescent="0.25">
      <c r="A231">
        <v>221</v>
      </c>
      <c r="B231" s="1">
        <v>42522</v>
      </c>
      <c r="C231" t="s">
        <v>31</v>
      </c>
      <c r="D231" t="s">
        <v>22</v>
      </c>
      <c r="E231" t="s">
        <v>18</v>
      </c>
      <c r="F231" t="s">
        <v>32</v>
      </c>
      <c r="G231" t="s">
        <v>33</v>
      </c>
      <c r="H231" s="5">
        <v>1199</v>
      </c>
      <c r="I231" s="5">
        <v>887.26</v>
      </c>
      <c r="J231" s="2">
        <v>0</v>
      </c>
      <c r="K231" s="5">
        <v>311.74</v>
      </c>
    </row>
    <row r="232" spans="1:11" x14ac:dyDescent="0.25">
      <c r="A232">
        <v>222</v>
      </c>
      <c r="B232" s="1">
        <v>42506</v>
      </c>
      <c r="C232" t="s">
        <v>63</v>
      </c>
      <c r="D232" t="s">
        <v>12</v>
      </c>
      <c r="E232" t="s">
        <v>35</v>
      </c>
      <c r="F232" t="s">
        <v>64</v>
      </c>
      <c r="G232" t="s">
        <v>15</v>
      </c>
      <c r="H232" s="5">
        <v>13999</v>
      </c>
      <c r="I232" s="5">
        <v>9659.31</v>
      </c>
      <c r="J232" s="2">
        <v>0.3</v>
      </c>
      <c r="K232" s="5">
        <v>139.98999999999978</v>
      </c>
    </row>
    <row r="233" spans="1:11" x14ac:dyDescent="0.25">
      <c r="A233">
        <v>223</v>
      </c>
      <c r="B233" s="1">
        <v>42737</v>
      </c>
      <c r="C233" t="s">
        <v>11</v>
      </c>
      <c r="D233" t="s">
        <v>12</v>
      </c>
      <c r="E233" t="s">
        <v>13</v>
      </c>
      <c r="F233" t="s">
        <v>14</v>
      </c>
      <c r="G233" t="s">
        <v>15</v>
      </c>
      <c r="H233" s="5">
        <v>1299</v>
      </c>
      <c r="I233" s="5">
        <v>727.44</v>
      </c>
      <c r="J233" s="2">
        <v>0</v>
      </c>
      <c r="K233" s="5">
        <v>376.70999999999981</v>
      </c>
    </row>
    <row r="234" spans="1:11" x14ac:dyDescent="0.25">
      <c r="A234">
        <v>224</v>
      </c>
      <c r="B234" s="1">
        <v>42643</v>
      </c>
      <c r="C234" t="s">
        <v>144</v>
      </c>
      <c r="D234" t="s">
        <v>12</v>
      </c>
      <c r="E234" t="s">
        <v>35</v>
      </c>
      <c r="F234" t="s">
        <v>145</v>
      </c>
      <c r="G234" t="s">
        <v>15</v>
      </c>
      <c r="H234" s="5">
        <v>8999</v>
      </c>
      <c r="I234" s="5">
        <v>6839.24</v>
      </c>
      <c r="J234" s="2">
        <v>0.2</v>
      </c>
      <c r="K234" s="5">
        <v>359.96000000000095</v>
      </c>
    </row>
    <row r="235" spans="1:11" x14ac:dyDescent="0.25">
      <c r="A235">
        <v>225</v>
      </c>
      <c r="B235" s="1">
        <v>42575</v>
      </c>
      <c r="C235" t="s">
        <v>144</v>
      </c>
      <c r="D235" t="s">
        <v>12</v>
      </c>
      <c r="E235" t="s">
        <v>35</v>
      </c>
      <c r="F235" t="s">
        <v>145</v>
      </c>
      <c r="G235" t="s">
        <v>15</v>
      </c>
      <c r="H235" s="5">
        <v>8999</v>
      </c>
      <c r="I235" s="5">
        <v>6839.24</v>
      </c>
      <c r="J235" s="2">
        <v>0.2</v>
      </c>
      <c r="K235" s="5">
        <v>359.96000000000095</v>
      </c>
    </row>
    <row r="236" spans="1:11" x14ac:dyDescent="0.25">
      <c r="A236">
        <v>226</v>
      </c>
      <c r="B236" s="1">
        <v>42575</v>
      </c>
      <c r="C236" t="s">
        <v>146</v>
      </c>
      <c r="D236" t="s">
        <v>12</v>
      </c>
      <c r="E236" t="s">
        <v>35</v>
      </c>
      <c r="F236" t="s">
        <v>147</v>
      </c>
      <c r="G236" t="s">
        <v>15</v>
      </c>
      <c r="H236" s="5">
        <v>3599</v>
      </c>
      <c r="I236" s="5">
        <v>2663.2599999999998</v>
      </c>
      <c r="J236" s="2">
        <v>0.2</v>
      </c>
      <c r="K236" s="5">
        <v>215.94000000000051</v>
      </c>
    </row>
    <row r="237" spans="1:11" x14ac:dyDescent="0.25">
      <c r="A237">
        <v>227</v>
      </c>
      <c r="B237" s="1">
        <v>42705</v>
      </c>
      <c r="C237" t="s">
        <v>79</v>
      </c>
      <c r="D237" t="s">
        <v>26</v>
      </c>
      <c r="E237" t="s">
        <v>27</v>
      </c>
      <c r="F237" t="s">
        <v>80</v>
      </c>
      <c r="G237" t="s">
        <v>15</v>
      </c>
      <c r="H237" s="5">
        <v>499</v>
      </c>
      <c r="I237" s="5">
        <v>174.64999999999998</v>
      </c>
      <c r="J237" s="2">
        <v>0</v>
      </c>
      <c r="K237" s="5">
        <v>324.35000000000002</v>
      </c>
    </row>
    <row r="238" spans="1:11" x14ac:dyDescent="0.25">
      <c r="A238">
        <v>228</v>
      </c>
      <c r="B238" s="1">
        <v>42422</v>
      </c>
      <c r="C238" t="s">
        <v>63</v>
      </c>
      <c r="D238" t="s">
        <v>12</v>
      </c>
      <c r="E238" t="s">
        <v>35</v>
      </c>
      <c r="F238" t="s">
        <v>64</v>
      </c>
      <c r="G238" t="s">
        <v>15</v>
      </c>
      <c r="H238" s="5">
        <v>13999</v>
      </c>
      <c r="I238" s="5">
        <v>9659.31</v>
      </c>
      <c r="J238" s="2">
        <v>0</v>
      </c>
      <c r="K238" s="5">
        <v>4339.6900000000005</v>
      </c>
    </row>
    <row r="239" spans="1:11" x14ac:dyDescent="0.25">
      <c r="A239">
        <v>229</v>
      </c>
      <c r="B239" s="1">
        <v>42762</v>
      </c>
      <c r="C239" t="s">
        <v>21</v>
      </c>
      <c r="D239" t="s">
        <v>22</v>
      </c>
      <c r="E239" t="s">
        <v>23</v>
      </c>
      <c r="F239" t="s">
        <v>24</v>
      </c>
      <c r="G239" t="s">
        <v>15</v>
      </c>
      <c r="H239" s="5">
        <v>359</v>
      </c>
      <c r="I239" s="5">
        <v>244.12</v>
      </c>
      <c r="J239" s="2">
        <v>0.15</v>
      </c>
      <c r="K239" s="5">
        <v>61.029999999999973</v>
      </c>
    </row>
    <row r="240" spans="1:11" x14ac:dyDescent="0.25">
      <c r="A240">
        <v>230</v>
      </c>
      <c r="B240" s="1">
        <v>42643</v>
      </c>
      <c r="C240" t="s">
        <v>41</v>
      </c>
      <c r="D240" t="s">
        <v>22</v>
      </c>
      <c r="E240" t="s">
        <v>18</v>
      </c>
      <c r="F240" t="s">
        <v>42</v>
      </c>
      <c r="G240" t="s">
        <v>43</v>
      </c>
      <c r="H240" s="5">
        <v>1149</v>
      </c>
      <c r="I240" s="5">
        <v>896.22</v>
      </c>
      <c r="J240" s="2">
        <v>0.2</v>
      </c>
      <c r="K240" s="5">
        <v>22.980000000000018</v>
      </c>
    </row>
    <row r="241" spans="1:11" x14ac:dyDescent="0.25">
      <c r="A241">
        <v>231</v>
      </c>
      <c r="B241" s="1">
        <v>42506</v>
      </c>
      <c r="C241" t="s">
        <v>148</v>
      </c>
      <c r="D241" t="s">
        <v>22</v>
      </c>
      <c r="E241" t="s">
        <v>18</v>
      </c>
      <c r="F241" t="s">
        <v>149</v>
      </c>
      <c r="G241" t="s">
        <v>33</v>
      </c>
      <c r="H241" s="5">
        <v>899</v>
      </c>
      <c r="I241" s="5">
        <v>719.2</v>
      </c>
      <c r="J241" s="2">
        <v>0.3</v>
      </c>
      <c r="K241" s="5">
        <v>-89.900000000000091</v>
      </c>
    </row>
    <row r="242" spans="1:11" x14ac:dyDescent="0.25">
      <c r="A242">
        <v>232</v>
      </c>
      <c r="B242" s="1">
        <v>42402</v>
      </c>
      <c r="C242" t="s">
        <v>44</v>
      </c>
      <c r="D242" t="s">
        <v>26</v>
      </c>
      <c r="E242" t="s">
        <v>45</v>
      </c>
      <c r="F242" t="s">
        <v>46</v>
      </c>
      <c r="G242" t="s">
        <v>15</v>
      </c>
      <c r="H242" s="5">
        <v>699</v>
      </c>
      <c r="I242" s="5">
        <v>531.24</v>
      </c>
      <c r="J242" s="2">
        <v>0.2</v>
      </c>
      <c r="K242" s="5">
        <v>27.960000000000036</v>
      </c>
    </row>
    <row r="243" spans="1:11" x14ac:dyDescent="0.25">
      <c r="A243">
        <v>233</v>
      </c>
      <c r="B243" s="1">
        <v>42575</v>
      </c>
      <c r="C243" t="s">
        <v>11</v>
      </c>
      <c r="D243" t="s">
        <v>12</v>
      </c>
      <c r="E243" t="s">
        <v>13</v>
      </c>
      <c r="F243" t="s">
        <v>14</v>
      </c>
      <c r="G243" t="s">
        <v>15</v>
      </c>
      <c r="H243" s="5">
        <v>1299</v>
      </c>
      <c r="I243" s="5">
        <v>727.44</v>
      </c>
      <c r="J243" s="2">
        <v>0.2</v>
      </c>
      <c r="K243" s="5">
        <v>311.76</v>
      </c>
    </row>
    <row r="244" spans="1:11" x14ac:dyDescent="0.25">
      <c r="A244">
        <v>234</v>
      </c>
      <c r="B244" s="1">
        <v>42438</v>
      </c>
      <c r="C244" t="s">
        <v>55</v>
      </c>
      <c r="D244" t="s">
        <v>26</v>
      </c>
      <c r="E244" t="s">
        <v>45</v>
      </c>
      <c r="F244" t="s">
        <v>56</v>
      </c>
      <c r="G244" t="s">
        <v>15</v>
      </c>
      <c r="H244" s="5">
        <v>499</v>
      </c>
      <c r="I244" s="5">
        <v>279.44000000000005</v>
      </c>
      <c r="J244" s="2">
        <v>0.15</v>
      </c>
      <c r="K244" s="5">
        <v>144.70999999999992</v>
      </c>
    </row>
    <row r="245" spans="1:11" x14ac:dyDescent="0.25">
      <c r="A245">
        <v>235</v>
      </c>
      <c r="B245" s="1">
        <v>42749</v>
      </c>
      <c r="C245" t="s">
        <v>136</v>
      </c>
      <c r="D245" t="s">
        <v>12</v>
      </c>
      <c r="E245" t="s">
        <v>35</v>
      </c>
      <c r="F245" t="s">
        <v>137</v>
      </c>
      <c r="G245" t="s">
        <v>15</v>
      </c>
      <c r="H245" s="5">
        <v>7599</v>
      </c>
      <c r="I245" s="5">
        <v>2735.64</v>
      </c>
      <c r="J245" s="2">
        <v>0</v>
      </c>
      <c r="K245" s="5">
        <v>4863.3600000000006</v>
      </c>
    </row>
    <row r="246" spans="1:11" x14ac:dyDescent="0.25">
      <c r="A246">
        <v>236</v>
      </c>
      <c r="B246" s="1">
        <v>42459</v>
      </c>
      <c r="C246" t="s">
        <v>122</v>
      </c>
      <c r="D246" t="s">
        <v>22</v>
      </c>
      <c r="E246" t="s">
        <v>23</v>
      </c>
      <c r="F246" t="s">
        <v>123</v>
      </c>
      <c r="G246" t="s">
        <v>15</v>
      </c>
      <c r="H246" s="5">
        <v>999</v>
      </c>
      <c r="I246" s="5">
        <v>569.42999999999995</v>
      </c>
      <c r="J246" s="2">
        <v>0</v>
      </c>
      <c r="K246" s="5">
        <v>429.57000000000005</v>
      </c>
    </row>
    <row r="247" spans="1:11" x14ac:dyDescent="0.25">
      <c r="A247">
        <v>237</v>
      </c>
      <c r="B247" s="1">
        <v>42728</v>
      </c>
      <c r="C247" t="s">
        <v>150</v>
      </c>
      <c r="D247" t="s">
        <v>26</v>
      </c>
      <c r="E247" t="s">
        <v>27</v>
      </c>
      <c r="F247" t="s">
        <v>151</v>
      </c>
      <c r="G247" t="s">
        <v>15</v>
      </c>
      <c r="H247" s="5">
        <v>299</v>
      </c>
      <c r="I247" s="5">
        <v>152.49</v>
      </c>
      <c r="J247" s="2">
        <v>0</v>
      </c>
      <c r="K247" s="5">
        <v>146.51</v>
      </c>
    </row>
    <row r="248" spans="1:11" x14ac:dyDescent="0.25">
      <c r="A248">
        <v>238</v>
      </c>
      <c r="B248" s="1">
        <v>42631</v>
      </c>
      <c r="C248" t="s">
        <v>83</v>
      </c>
      <c r="D248" t="s">
        <v>26</v>
      </c>
      <c r="E248" t="s">
        <v>45</v>
      </c>
      <c r="F248" t="s">
        <v>84</v>
      </c>
      <c r="G248" t="s">
        <v>15</v>
      </c>
      <c r="H248" s="5">
        <v>999</v>
      </c>
      <c r="I248" s="5">
        <v>509.49</v>
      </c>
      <c r="J248" s="2">
        <v>0.1</v>
      </c>
      <c r="K248" s="5">
        <v>389.61</v>
      </c>
    </row>
    <row r="249" spans="1:11" x14ac:dyDescent="0.25">
      <c r="A249">
        <v>239</v>
      </c>
      <c r="B249" s="1">
        <v>42511</v>
      </c>
      <c r="C249" t="s">
        <v>16</v>
      </c>
      <c r="D249" t="s">
        <v>22</v>
      </c>
      <c r="E249" t="s">
        <v>18</v>
      </c>
      <c r="F249" t="s">
        <v>19</v>
      </c>
      <c r="G249" t="s">
        <v>20</v>
      </c>
      <c r="H249" s="5">
        <v>1149</v>
      </c>
      <c r="I249" s="5">
        <v>792.81</v>
      </c>
      <c r="J249" s="2">
        <v>0</v>
      </c>
      <c r="K249" s="5">
        <v>356.19000000000005</v>
      </c>
    </row>
    <row r="250" spans="1:11" x14ac:dyDescent="0.25">
      <c r="A250">
        <v>240</v>
      </c>
      <c r="B250" s="1">
        <v>42506</v>
      </c>
      <c r="C250" t="s">
        <v>72</v>
      </c>
      <c r="D250" t="s">
        <v>22</v>
      </c>
      <c r="E250" t="s">
        <v>18</v>
      </c>
      <c r="F250" t="s">
        <v>73</v>
      </c>
      <c r="G250" t="s">
        <v>69</v>
      </c>
      <c r="H250" s="5">
        <v>799</v>
      </c>
      <c r="I250" s="5">
        <v>535.33000000000004</v>
      </c>
      <c r="J250" s="2">
        <v>0.3</v>
      </c>
      <c r="K250" s="5">
        <v>23.969999999999914</v>
      </c>
    </row>
    <row r="251" spans="1:11" x14ac:dyDescent="0.25">
      <c r="A251">
        <v>241</v>
      </c>
      <c r="B251" s="1">
        <v>42388</v>
      </c>
      <c r="C251" t="s">
        <v>16</v>
      </c>
      <c r="D251" t="s">
        <v>22</v>
      </c>
      <c r="E251" t="s">
        <v>18</v>
      </c>
      <c r="F251" t="s">
        <v>19</v>
      </c>
      <c r="G251" t="s">
        <v>20</v>
      </c>
      <c r="H251" s="5">
        <v>1149</v>
      </c>
      <c r="I251" s="5">
        <v>792.81</v>
      </c>
      <c r="J251" s="2">
        <v>0.15</v>
      </c>
      <c r="K251" s="5">
        <v>183.84000000000003</v>
      </c>
    </row>
    <row r="252" spans="1:11" x14ac:dyDescent="0.25">
      <c r="A252">
        <v>242</v>
      </c>
      <c r="B252" s="1">
        <v>42404</v>
      </c>
      <c r="C252" t="s">
        <v>85</v>
      </c>
      <c r="D252" t="s">
        <v>22</v>
      </c>
      <c r="E252" t="s">
        <v>86</v>
      </c>
      <c r="F252" t="s">
        <v>87</v>
      </c>
      <c r="G252" t="s">
        <v>15</v>
      </c>
      <c r="H252" s="5">
        <v>3999</v>
      </c>
      <c r="I252" s="5">
        <v>1399.6499999999999</v>
      </c>
      <c r="J252" s="2">
        <v>0.15</v>
      </c>
      <c r="K252" s="5">
        <v>1999.5000000000002</v>
      </c>
    </row>
    <row r="253" spans="1:11" x14ac:dyDescent="0.25">
      <c r="A253">
        <v>243</v>
      </c>
      <c r="B253" s="1">
        <v>42404</v>
      </c>
      <c r="C253" t="s">
        <v>51</v>
      </c>
      <c r="D253" t="s">
        <v>22</v>
      </c>
      <c r="E253" t="s">
        <v>23</v>
      </c>
      <c r="F253" t="s">
        <v>52</v>
      </c>
      <c r="G253" t="s">
        <v>15</v>
      </c>
      <c r="H253" s="5">
        <v>599</v>
      </c>
      <c r="I253" s="5">
        <v>455.24</v>
      </c>
      <c r="J253" s="2">
        <v>0.15</v>
      </c>
      <c r="K253" s="5">
        <v>53.909999999999968</v>
      </c>
    </row>
    <row r="254" spans="1:11" x14ac:dyDescent="0.25">
      <c r="A254">
        <v>244</v>
      </c>
      <c r="B254" s="1">
        <v>42392</v>
      </c>
      <c r="C254" t="s">
        <v>85</v>
      </c>
      <c r="D254" t="s">
        <v>22</v>
      </c>
      <c r="E254" t="s">
        <v>86</v>
      </c>
      <c r="F254" t="s">
        <v>87</v>
      </c>
      <c r="G254" t="s">
        <v>15</v>
      </c>
      <c r="H254" s="5">
        <v>3999</v>
      </c>
      <c r="I254" s="5">
        <v>1399.6499999999999</v>
      </c>
      <c r="J254" s="2">
        <v>0</v>
      </c>
      <c r="K254" s="5">
        <v>2599.3500000000004</v>
      </c>
    </row>
    <row r="255" spans="1:11" x14ac:dyDescent="0.25">
      <c r="A255">
        <v>245</v>
      </c>
      <c r="B255" s="1">
        <v>42546</v>
      </c>
      <c r="C255" t="s">
        <v>130</v>
      </c>
      <c r="D255" t="s">
        <v>12</v>
      </c>
      <c r="E255" t="s">
        <v>13</v>
      </c>
      <c r="F255" t="s">
        <v>131</v>
      </c>
      <c r="G255" t="s">
        <v>15</v>
      </c>
      <c r="H255" s="5">
        <v>999</v>
      </c>
      <c r="I255" s="5">
        <v>569.42999999999995</v>
      </c>
      <c r="J255" s="2">
        <v>0.2</v>
      </c>
      <c r="K255" s="5">
        <v>229.7700000000001</v>
      </c>
    </row>
    <row r="256" spans="1:11" x14ac:dyDescent="0.25">
      <c r="A256">
        <v>246</v>
      </c>
      <c r="B256" s="1">
        <v>42391</v>
      </c>
      <c r="C256" t="s">
        <v>25</v>
      </c>
      <c r="D256" t="s">
        <v>26</v>
      </c>
      <c r="E256" t="s">
        <v>27</v>
      </c>
      <c r="F256" t="s">
        <v>28</v>
      </c>
      <c r="G256" t="s">
        <v>15</v>
      </c>
      <c r="H256" s="5">
        <v>1499</v>
      </c>
      <c r="I256" s="5">
        <v>794.47</v>
      </c>
      <c r="J256" s="2">
        <v>0</v>
      </c>
      <c r="K256" s="5">
        <v>704.53</v>
      </c>
    </row>
    <row r="257" spans="1:11" x14ac:dyDescent="0.25">
      <c r="A257">
        <v>247</v>
      </c>
      <c r="B257" s="1">
        <v>42722</v>
      </c>
      <c r="C257" t="s">
        <v>11</v>
      </c>
      <c r="D257" t="s">
        <v>12</v>
      </c>
      <c r="E257" t="s">
        <v>13</v>
      </c>
      <c r="F257" t="s">
        <v>14</v>
      </c>
      <c r="G257" t="s">
        <v>15</v>
      </c>
      <c r="H257" s="5">
        <v>1299</v>
      </c>
      <c r="I257" s="5">
        <v>727.44</v>
      </c>
      <c r="J257" s="2">
        <v>0</v>
      </c>
      <c r="K257" s="5">
        <v>571.55999999999995</v>
      </c>
    </row>
    <row r="258" spans="1:11" x14ac:dyDescent="0.25">
      <c r="A258">
        <v>248</v>
      </c>
      <c r="B258" s="1">
        <v>42703</v>
      </c>
      <c r="C258" t="s">
        <v>152</v>
      </c>
      <c r="D258" t="s">
        <v>22</v>
      </c>
      <c r="E258" t="s">
        <v>23</v>
      </c>
      <c r="F258" t="s">
        <v>153</v>
      </c>
      <c r="G258" t="s">
        <v>15</v>
      </c>
      <c r="H258" s="5">
        <v>2199</v>
      </c>
      <c r="I258" s="5">
        <v>1825.1699999999998</v>
      </c>
      <c r="J258" s="2">
        <v>0</v>
      </c>
      <c r="K258" s="5">
        <v>373.83000000000015</v>
      </c>
    </row>
    <row r="259" spans="1:11" x14ac:dyDescent="0.25">
      <c r="A259">
        <v>249</v>
      </c>
      <c r="B259" s="1">
        <v>42404</v>
      </c>
      <c r="C259" t="s">
        <v>41</v>
      </c>
      <c r="D259" t="s">
        <v>22</v>
      </c>
      <c r="E259" t="s">
        <v>18</v>
      </c>
      <c r="F259" t="s">
        <v>42</v>
      </c>
      <c r="G259" t="s">
        <v>43</v>
      </c>
      <c r="H259" s="5">
        <v>1149</v>
      </c>
      <c r="I259" s="5">
        <v>896.22</v>
      </c>
      <c r="J259" s="2">
        <v>0.15</v>
      </c>
      <c r="K259" s="5">
        <v>80.42999999999995</v>
      </c>
    </row>
    <row r="260" spans="1:11" x14ac:dyDescent="0.25">
      <c r="A260">
        <v>250</v>
      </c>
      <c r="B260" s="1">
        <v>42601</v>
      </c>
      <c r="C260" t="s">
        <v>90</v>
      </c>
      <c r="D260" t="s">
        <v>12</v>
      </c>
      <c r="E260" t="s">
        <v>35</v>
      </c>
      <c r="F260" t="s">
        <v>91</v>
      </c>
      <c r="G260" t="s">
        <v>15</v>
      </c>
      <c r="H260" s="5">
        <v>6999</v>
      </c>
      <c r="I260" s="5">
        <v>4829.3099999999995</v>
      </c>
      <c r="J260" s="2">
        <v>0.15</v>
      </c>
      <c r="K260" s="5">
        <v>1119.8400000000001</v>
      </c>
    </row>
    <row r="261" spans="1:11" x14ac:dyDescent="0.25">
      <c r="A261">
        <v>251</v>
      </c>
      <c r="B261" s="1">
        <v>42575</v>
      </c>
      <c r="C261" t="s">
        <v>31</v>
      </c>
      <c r="D261" t="s">
        <v>22</v>
      </c>
      <c r="E261" t="s">
        <v>18</v>
      </c>
      <c r="F261" t="s">
        <v>32</v>
      </c>
      <c r="G261" t="s">
        <v>33</v>
      </c>
      <c r="H261" s="5">
        <v>1199</v>
      </c>
      <c r="I261" s="5">
        <v>887.26</v>
      </c>
      <c r="J261" s="2">
        <v>0.2</v>
      </c>
      <c r="K261" s="5">
        <v>71.940000000000055</v>
      </c>
    </row>
    <row r="262" spans="1:11" x14ac:dyDescent="0.25">
      <c r="A262">
        <v>252</v>
      </c>
      <c r="B262" s="1">
        <v>42455</v>
      </c>
      <c r="C262" t="s">
        <v>51</v>
      </c>
      <c r="D262" t="s">
        <v>22</v>
      </c>
      <c r="E262" t="s">
        <v>23</v>
      </c>
      <c r="F262" t="s">
        <v>52</v>
      </c>
      <c r="G262" t="s">
        <v>15</v>
      </c>
      <c r="H262" s="5">
        <v>599</v>
      </c>
      <c r="I262" s="5">
        <v>455.24</v>
      </c>
      <c r="J262" s="2">
        <v>0.2</v>
      </c>
      <c r="K262" s="5">
        <v>23.960000000000036</v>
      </c>
    </row>
    <row r="263" spans="1:11" x14ac:dyDescent="0.25">
      <c r="A263">
        <v>253</v>
      </c>
      <c r="B263" s="1">
        <v>42598</v>
      </c>
      <c r="C263" t="s">
        <v>51</v>
      </c>
      <c r="D263" t="s">
        <v>22</v>
      </c>
      <c r="E263" t="s">
        <v>23</v>
      </c>
      <c r="F263" t="s">
        <v>52</v>
      </c>
      <c r="G263" t="s">
        <v>15</v>
      </c>
      <c r="H263" s="5">
        <v>599</v>
      </c>
      <c r="I263" s="5">
        <v>455.24</v>
      </c>
      <c r="J263" s="2">
        <v>0</v>
      </c>
      <c r="K263" s="5">
        <v>143.76</v>
      </c>
    </row>
    <row r="264" spans="1:11" x14ac:dyDescent="0.25">
      <c r="A264">
        <v>254</v>
      </c>
      <c r="B264" s="1">
        <v>42631</v>
      </c>
      <c r="C264" t="s">
        <v>51</v>
      </c>
      <c r="D264" t="s">
        <v>22</v>
      </c>
      <c r="E264" t="s">
        <v>23</v>
      </c>
      <c r="F264" t="s">
        <v>52</v>
      </c>
      <c r="G264" t="s">
        <v>15</v>
      </c>
      <c r="H264" s="5">
        <v>599</v>
      </c>
      <c r="I264" s="5">
        <v>455.24</v>
      </c>
      <c r="J264" s="2">
        <v>0.1</v>
      </c>
      <c r="K264" s="5">
        <v>83.860000000000014</v>
      </c>
    </row>
    <row r="265" spans="1:11" x14ac:dyDescent="0.25">
      <c r="A265">
        <v>255</v>
      </c>
      <c r="B265" s="1">
        <v>42455</v>
      </c>
      <c r="C265" t="s">
        <v>74</v>
      </c>
      <c r="D265" t="s">
        <v>12</v>
      </c>
      <c r="E265" t="s">
        <v>13</v>
      </c>
      <c r="F265" t="s">
        <v>75</v>
      </c>
      <c r="G265" t="s">
        <v>15</v>
      </c>
      <c r="H265" s="5">
        <v>2599</v>
      </c>
      <c r="I265" s="5">
        <v>1819.3</v>
      </c>
      <c r="J265" s="2">
        <v>0.2</v>
      </c>
      <c r="K265" s="5">
        <v>259.90000000000032</v>
      </c>
    </row>
    <row r="266" spans="1:11" x14ac:dyDescent="0.25">
      <c r="A266">
        <v>256</v>
      </c>
      <c r="B266" s="1">
        <v>42575</v>
      </c>
      <c r="C266" t="s">
        <v>70</v>
      </c>
      <c r="D266" t="s">
        <v>26</v>
      </c>
      <c r="E266" t="s">
        <v>45</v>
      </c>
      <c r="F266" t="s">
        <v>71</v>
      </c>
      <c r="G266" t="s">
        <v>15</v>
      </c>
      <c r="H266" s="5">
        <v>449</v>
      </c>
      <c r="I266" s="5">
        <v>161.63999999999999</v>
      </c>
      <c r="J266" s="2">
        <v>0.2</v>
      </c>
      <c r="K266" s="5">
        <v>197.56000000000006</v>
      </c>
    </row>
    <row r="267" spans="1:11" x14ac:dyDescent="0.25">
      <c r="A267">
        <v>257</v>
      </c>
      <c r="B267" s="1">
        <v>42597</v>
      </c>
      <c r="C267" t="s">
        <v>25</v>
      </c>
      <c r="D267" t="s">
        <v>26</v>
      </c>
      <c r="E267" t="s">
        <v>27</v>
      </c>
      <c r="F267" t="s">
        <v>28</v>
      </c>
      <c r="G267" t="s">
        <v>15</v>
      </c>
      <c r="H267" s="5">
        <v>1499</v>
      </c>
      <c r="I267" s="5">
        <v>794.47</v>
      </c>
      <c r="J267" s="2">
        <v>0</v>
      </c>
      <c r="K267" s="5">
        <v>704.53</v>
      </c>
    </row>
    <row r="268" spans="1:11" x14ac:dyDescent="0.25">
      <c r="A268">
        <v>258</v>
      </c>
      <c r="B268" s="1">
        <v>42454</v>
      </c>
      <c r="C268" t="s">
        <v>41</v>
      </c>
      <c r="D268" t="s">
        <v>22</v>
      </c>
      <c r="E268" t="s">
        <v>18</v>
      </c>
      <c r="F268" t="s">
        <v>42</v>
      </c>
      <c r="G268" t="s">
        <v>43</v>
      </c>
      <c r="H268" s="5">
        <v>1149</v>
      </c>
      <c r="I268" s="5">
        <v>896.22</v>
      </c>
      <c r="J268" s="2">
        <v>0.15</v>
      </c>
      <c r="K268" s="5">
        <v>80.42999999999995</v>
      </c>
    </row>
    <row r="269" spans="1:11" x14ac:dyDescent="0.25">
      <c r="A269">
        <v>259</v>
      </c>
      <c r="B269" s="1">
        <v>42506</v>
      </c>
      <c r="C269" t="s">
        <v>85</v>
      </c>
      <c r="D269" t="s">
        <v>22</v>
      </c>
      <c r="E269" t="s">
        <v>86</v>
      </c>
      <c r="F269" t="s">
        <v>87</v>
      </c>
      <c r="G269" t="s">
        <v>15</v>
      </c>
      <c r="H269" s="5">
        <v>3999</v>
      </c>
      <c r="I269" s="5">
        <v>1399.6499999999999</v>
      </c>
      <c r="J269" s="2">
        <v>0.3</v>
      </c>
      <c r="K269" s="5">
        <v>1399.6499999999999</v>
      </c>
    </row>
    <row r="270" spans="1:11" x14ac:dyDescent="0.25">
      <c r="A270">
        <v>260</v>
      </c>
      <c r="B270" s="1">
        <v>42424</v>
      </c>
      <c r="C270" t="s">
        <v>61</v>
      </c>
      <c r="D270" t="s">
        <v>26</v>
      </c>
      <c r="E270" t="s">
        <v>45</v>
      </c>
      <c r="F270" t="s">
        <v>62</v>
      </c>
      <c r="G270" t="s">
        <v>15</v>
      </c>
      <c r="H270" s="5">
        <v>799</v>
      </c>
      <c r="I270" s="5">
        <v>679.15</v>
      </c>
      <c r="J270" s="2">
        <v>0.15</v>
      </c>
      <c r="K270" s="5">
        <v>0</v>
      </c>
    </row>
    <row r="271" spans="1:11" x14ac:dyDescent="0.25">
      <c r="A271">
        <v>261</v>
      </c>
      <c r="B271" s="1">
        <v>42402</v>
      </c>
      <c r="C271" t="s">
        <v>154</v>
      </c>
      <c r="D271" t="s">
        <v>26</v>
      </c>
      <c r="E271" t="s">
        <v>27</v>
      </c>
      <c r="F271" t="s">
        <v>155</v>
      </c>
      <c r="G271" t="s">
        <v>15</v>
      </c>
      <c r="H271" s="5">
        <v>219</v>
      </c>
      <c r="I271" s="5">
        <v>170.82</v>
      </c>
      <c r="J271" s="2">
        <v>0.2</v>
      </c>
      <c r="K271" s="5">
        <v>4.3800000000000239</v>
      </c>
    </row>
    <row r="272" spans="1:11" x14ac:dyDescent="0.25">
      <c r="A272">
        <v>262</v>
      </c>
      <c r="B272" s="1">
        <v>42782</v>
      </c>
      <c r="C272" t="s">
        <v>61</v>
      </c>
      <c r="D272" t="s">
        <v>26</v>
      </c>
      <c r="E272" t="s">
        <v>45</v>
      </c>
      <c r="F272" t="s">
        <v>62</v>
      </c>
      <c r="G272" t="s">
        <v>15</v>
      </c>
      <c r="H272" s="5">
        <v>799</v>
      </c>
      <c r="I272" s="5">
        <v>679.15</v>
      </c>
      <c r="J272" s="2">
        <v>0</v>
      </c>
      <c r="K272" s="5">
        <v>119.85000000000002</v>
      </c>
    </row>
    <row r="273" spans="1:11" x14ac:dyDescent="0.25">
      <c r="A273">
        <v>263</v>
      </c>
      <c r="B273" s="1">
        <v>42454</v>
      </c>
      <c r="C273" t="s">
        <v>41</v>
      </c>
      <c r="D273" t="s">
        <v>22</v>
      </c>
      <c r="E273" t="s">
        <v>18</v>
      </c>
      <c r="F273" t="s">
        <v>42</v>
      </c>
      <c r="G273" t="s">
        <v>43</v>
      </c>
      <c r="H273" s="5">
        <v>1149</v>
      </c>
      <c r="I273" s="5">
        <v>896.22</v>
      </c>
      <c r="J273" s="2">
        <v>0.15</v>
      </c>
      <c r="K273" s="5">
        <v>80.42999999999995</v>
      </c>
    </row>
    <row r="274" spans="1:11" x14ac:dyDescent="0.25">
      <c r="A274">
        <v>264</v>
      </c>
      <c r="B274" s="1">
        <v>42428</v>
      </c>
      <c r="C274" t="s">
        <v>31</v>
      </c>
      <c r="D274" t="s">
        <v>22</v>
      </c>
      <c r="E274" t="s">
        <v>18</v>
      </c>
      <c r="F274" t="s">
        <v>32</v>
      </c>
      <c r="G274" t="s">
        <v>33</v>
      </c>
      <c r="H274" s="5">
        <v>1199</v>
      </c>
      <c r="I274" s="5">
        <v>887.26</v>
      </c>
      <c r="J274" s="2">
        <v>0</v>
      </c>
      <c r="K274" s="5">
        <v>311.74</v>
      </c>
    </row>
    <row r="275" spans="1:11" x14ac:dyDescent="0.25">
      <c r="A275">
        <v>265</v>
      </c>
      <c r="B275" s="1">
        <v>42479</v>
      </c>
      <c r="C275" t="s">
        <v>25</v>
      </c>
      <c r="D275" t="s">
        <v>26</v>
      </c>
      <c r="E275" t="s">
        <v>27</v>
      </c>
      <c r="F275" t="s">
        <v>28</v>
      </c>
      <c r="G275" t="s">
        <v>15</v>
      </c>
      <c r="H275" s="5">
        <v>1499</v>
      </c>
      <c r="I275" s="5">
        <v>794.47</v>
      </c>
      <c r="J275" s="2">
        <v>0.15</v>
      </c>
      <c r="K275" s="5">
        <v>479.67999999999984</v>
      </c>
    </row>
    <row r="276" spans="1:11" x14ac:dyDescent="0.25">
      <c r="A276">
        <v>266</v>
      </c>
      <c r="B276" s="1">
        <v>42455</v>
      </c>
      <c r="C276" t="s">
        <v>31</v>
      </c>
      <c r="D276" t="s">
        <v>22</v>
      </c>
      <c r="E276" t="s">
        <v>18</v>
      </c>
      <c r="F276" t="s">
        <v>32</v>
      </c>
      <c r="G276" t="s">
        <v>33</v>
      </c>
      <c r="H276" s="5">
        <v>1199</v>
      </c>
      <c r="I276" s="5">
        <v>887.26</v>
      </c>
      <c r="J276" s="2">
        <v>0.2</v>
      </c>
      <c r="K276" s="5">
        <v>71.940000000000055</v>
      </c>
    </row>
    <row r="277" spans="1:11" x14ac:dyDescent="0.25">
      <c r="A277">
        <v>267</v>
      </c>
      <c r="B277" s="1">
        <v>42642</v>
      </c>
      <c r="C277" t="s">
        <v>61</v>
      </c>
      <c r="D277" t="s">
        <v>26</v>
      </c>
      <c r="E277" t="s">
        <v>45</v>
      </c>
      <c r="F277" t="s">
        <v>62</v>
      </c>
      <c r="G277" t="s">
        <v>15</v>
      </c>
      <c r="H277" s="5">
        <v>799</v>
      </c>
      <c r="I277" s="5">
        <v>679.15</v>
      </c>
      <c r="J277" s="2">
        <v>0</v>
      </c>
      <c r="K277" s="5">
        <v>119.85000000000002</v>
      </c>
    </row>
    <row r="278" spans="1:11" x14ac:dyDescent="0.25">
      <c r="A278">
        <v>268</v>
      </c>
      <c r="B278" s="1">
        <v>42479</v>
      </c>
      <c r="C278" t="s">
        <v>25</v>
      </c>
      <c r="D278" t="s">
        <v>26</v>
      </c>
      <c r="E278" t="s">
        <v>27</v>
      </c>
      <c r="F278" t="s">
        <v>28</v>
      </c>
      <c r="G278" t="s">
        <v>15</v>
      </c>
      <c r="H278" s="5">
        <v>1499</v>
      </c>
      <c r="I278" s="5">
        <v>794.47</v>
      </c>
      <c r="J278" s="2">
        <v>0.15</v>
      </c>
      <c r="K278" s="5">
        <v>479.67999999999984</v>
      </c>
    </row>
    <row r="279" spans="1:11" x14ac:dyDescent="0.25">
      <c r="A279">
        <v>269</v>
      </c>
      <c r="B279" s="1">
        <v>42479</v>
      </c>
      <c r="C279" t="s">
        <v>41</v>
      </c>
      <c r="D279" t="s">
        <v>22</v>
      </c>
      <c r="E279" t="s">
        <v>18</v>
      </c>
      <c r="F279" t="s">
        <v>42</v>
      </c>
      <c r="G279" t="s">
        <v>43</v>
      </c>
      <c r="H279" s="5">
        <v>1149</v>
      </c>
      <c r="I279" s="5">
        <v>896.22</v>
      </c>
      <c r="J279" s="2">
        <v>0.15</v>
      </c>
      <c r="K279" s="5">
        <v>80.42999999999995</v>
      </c>
    </row>
    <row r="280" spans="1:11" x14ac:dyDescent="0.25">
      <c r="A280">
        <v>270</v>
      </c>
      <c r="B280" s="1">
        <v>42404</v>
      </c>
      <c r="C280" t="s">
        <v>41</v>
      </c>
      <c r="D280" t="s">
        <v>22</v>
      </c>
      <c r="E280" t="s">
        <v>18</v>
      </c>
      <c r="F280" t="s">
        <v>42</v>
      </c>
      <c r="G280" t="s">
        <v>43</v>
      </c>
      <c r="H280" s="5">
        <v>1149</v>
      </c>
      <c r="I280" s="5">
        <v>896.22</v>
      </c>
      <c r="J280" s="2">
        <v>0.15</v>
      </c>
      <c r="K280" s="5">
        <v>80.42999999999995</v>
      </c>
    </row>
    <row r="281" spans="1:11" x14ac:dyDescent="0.25">
      <c r="A281">
        <v>271</v>
      </c>
      <c r="B281" s="1">
        <v>42643</v>
      </c>
      <c r="C281" t="s">
        <v>41</v>
      </c>
      <c r="D281" t="s">
        <v>22</v>
      </c>
      <c r="E281" t="s">
        <v>18</v>
      </c>
      <c r="F281" t="s">
        <v>42</v>
      </c>
      <c r="G281" t="s">
        <v>43</v>
      </c>
      <c r="H281" s="5">
        <v>1149</v>
      </c>
      <c r="I281" s="5">
        <v>896.22</v>
      </c>
      <c r="J281" s="2">
        <v>0.2</v>
      </c>
      <c r="K281" s="5">
        <v>22.980000000000018</v>
      </c>
    </row>
    <row r="282" spans="1:11" x14ac:dyDescent="0.25">
      <c r="A282">
        <v>272</v>
      </c>
      <c r="B282" s="1">
        <v>42422</v>
      </c>
      <c r="C282" t="s">
        <v>41</v>
      </c>
      <c r="D282" t="s">
        <v>22</v>
      </c>
      <c r="E282" t="s">
        <v>18</v>
      </c>
      <c r="F282" t="s">
        <v>42</v>
      </c>
      <c r="G282" t="s">
        <v>43</v>
      </c>
      <c r="H282" s="5">
        <v>1149</v>
      </c>
      <c r="I282" s="5">
        <v>896.22</v>
      </c>
      <c r="J282" s="2">
        <v>0</v>
      </c>
      <c r="K282" s="5">
        <v>252.77999999999997</v>
      </c>
    </row>
    <row r="283" spans="1:11" x14ac:dyDescent="0.25">
      <c r="A283">
        <v>273</v>
      </c>
      <c r="B283" s="1">
        <v>42402</v>
      </c>
      <c r="C283" t="s">
        <v>49</v>
      </c>
      <c r="D283" t="s">
        <v>26</v>
      </c>
      <c r="E283" t="s">
        <v>27</v>
      </c>
      <c r="F283" t="s">
        <v>50</v>
      </c>
      <c r="G283" t="s">
        <v>15</v>
      </c>
      <c r="H283" s="5">
        <v>259</v>
      </c>
      <c r="I283" s="5">
        <v>106.19</v>
      </c>
      <c r="J283" s="2">
        <v>0.2</v>
      </c>
      <c r="K283" s="5">
        <v>101.01000000000002</v>
      </c>
    </row>
    <row r="284" spans="1:11" x14ac:dyDescent="0.25">
      <c r="A284">
        <v>274</v>
      </c>
      <c r="B284" s="1">
        <v>42657</v>
      </c>
      <c r="C284" t="s">
        <v>31</v>
      </c>
      <c r="D284" t="s">
        <v>22</v>
      </c>
      <c r="E284" t="s">
        <v>18</v>
      </c>
      <c r="F284" t="s">
        <v>32</v>
      </c>
      <c r="G284" t="s">
        <v>33</v>
      </c>
      <c r="H284" s="5">
        <v>1199</v>
      </c>
      <c r="I284" s="5">
        <v>887.26</v>
      </c>
      <c r="J284" s="2">
        <v>0.15</v>
      </c>
      <c r="K284" s="5">
        <v>131.88999999999999</v>
      </c>
    </row>
    <row r="285" spans="1:11" x14ac:dyDescent="0.25">
      <c r="A285">
        <v>275</v>
      </c>
      <c r="B285" s="1">
        <v>42601</v>
      </c>
      <c r="C285" t="s">
        <v>29</v>
      </c>
      <c r="D285" t="s">
        <v>26</v>
      </c>
      <c r="E285" t="s">
        <v>27</v>
      </c>
      <c r="F285" t="s">
        <v>30</v>
      </c>
      <c r="G285" t="s">
        <v>15</v>
      </c>
      <c r="H285" s="5">
        <v>259</v>
      </c>
      <c r="I285" s="5">
        <v>220.15</v>
      </c>
      <c r="J285" s="2">
        <v>0.15</v>
      </c>
      <c r="K285" s="5">
        <v>0</v>
      </c>
    </row>
    <row r="286" spans="1:11" x14ac:dyDescent="0.25">
      <c r="A286">
        <v>276</v>
      </c>
      <c r="B286" s="1">
        <v>42597</v>
      </c>
      <c r="C286" t="s">
        <v>41</v>
      </c>
      <c r="D286" t="s">
        <v>22</v>
      </c>
      <c r="E286" t="s">
        <v>18</v>
      </c>
      <c r="F286" t="s">
        <v>42</v>
      </c>
      <c r="G286" t="s">
        <v>43</v>
      </c>
      <c r="H286" s="5">
        <v>1149</v>
      </c>
      <c r="I286" s="5">
        <v>896.22</v>
      </c>
      <c r="J286" s="2">
        <v>0</v>
      </c>
      <c r="K286" s="5">
        <v>252.77999999999997</v>
      </c>
    </row>
    <row r="287" spans="1:11" x14ac:dyDescent="0.25">
      <c r="A287">
        <v>277</v>
      </c>
      <c r="B287" s="1">
        <v>42546</v>
      </c>
      <c r="C287" t="s">
        <v>61</v>
      </c>
      <c r="D287" t="s">
        <v>26</v>
      </c>
      <c r="E287" t="s">
        <v>45</v>
      </c>
      <c r="F287" t="s">
        <v>62</v>
      </c>
      <c r="G287" t="s">
        <v>15</v>
      </c>
      <c r="H287" s="5">
        <v>799</v>
      </c>
      <c r="I287" s="5">
        <v>679.15</v>
      </c>
      <c r="J287" s="2">
        <v>0.2</v>
      </c>
      <c r="K287" s="5">
        <v>-39.949999999999932</v>
      </c>
    </row>
    <row r="288" spans="1:11" x14ac:dyDescent="0.25">
      <c r="A288">
        <v>278</v>
      </c>
      <c r="B288" s="1">
        <v>42744</v>
      </c>
      <c r="C288" t="s">
        <v>41</v>
      </c>
      <c r="D288" t="s">
        <v>22</v>
      </c>
      <c r="E288" t="s">
        <v>18</v>
      </c>
      <c r="F288" t="s">
        <v>42</v>
      </c>
      <c r="G288" t="s">
        <v>43</v>
      </c>
      <c r="H288" s="5">
        <v>1149</v>
      </c>
      <c r="I288" s="5">
        <v>896.22</v>
      </c>
      <c r="J288" s="2">
        <v>0</v>
      </c>
      <c r="K288" s="5">
        <v>252.77999999999997</v>
      </c>
    </row>
    <row r="289" spans="1:11" x14ac:dyDescent="0.25">
      <c r="A289">
        <v>279</v>
      </c>
      <c r="B289" s="1">
        <v>42402</v>
      </c>
      <c r="C289" t="s">
        <v>85</v>
      </c>
      <c r="D289" t="s">
        <v>22</v>
      </c>
      <c r="E289" t="s">
        <v>86</v>
      </c>
      <c r="F289" t="s">
        <v>87</v>
      </c>
      <c r="G289" t="s">
        <v>15</v>
      </c>
      <c r="H289" s="5">
        <v>3999</v>
      </c>
      <c r="I289" s="5">
        <v>1399.6499999999999</v>
      </c>
      <c r="J289" s="2">
        <v>0.2</v>
      </c>
      <c r="K289" s="5">
        <v>1799.5500000000004</v>
      </c>
    </row>
    <row r="290" spans="1:11" x14ac:dyDescent="0.25">
      <c r="A290">
        <v>280</v>
      </c>
      <c r="B290" s="1">
        <v>42424</v>
      </c>
      <c r="C290" t="s">
        <v>39</v>
      </c>
      <c r="D290" t="s">
        <v>22</v>
      </c>
      <c r="E290" t="s">
        <v>23</v>
      </c>
      <c r="F290" t="s">
        <v>40</v>
      </c>
      <c r="G290" t="s">
        <v>15</v>
      </c>
      <c r="H290" s="5">
        <v>2499</v>
      </c>
      <c r="I290" s="5">
        <v>1349.46</v>
      </c>
      <c r="J290" s="2">
        <v>0.15</v>
      </c>
      <c r="K290" s="5">
        <v>774.69</v>
      </c>
    </row>
    <row r="291" spans="1:11" x14ac:dyDescent="0.25">
      <c r="A291">
        <v>281</v>
      </c>
      <c r="B291" s="1">
        <v>42402</v>
      </c>
      <c r="C291" t="s">
        <v>65</v>
      </c>
      <c r="D291" t="s">
        <v>12</v>
      </c>
      <c r="E291" t="s">
        <v>13</v>
      </c>
      <c r="F291" t="s">
        <v>66</v>
      </c>
      <c r="G291" t="s">
        <v>15</v>
      </c>
      <c r="H291" s="5">
        <v>1499</v>
      </c>
      <c r="I291" s="5">
        <v>584.61</v>
      </c>
      <c r="J291" s="2">
        <v>0.2</v>
      </c>
      <c r="K291" s="5">
        <v>614.59</v>
      </c>
    </row>
    <row r="292" spans="1:11" x14ac:dyDescent="0.25">
      <c r="A292">
        <v>282</v>
      </c>
      <c r="B292" s="1">
        <v>42506</v>
      </c>
      <c r="C292" t="s">
        <v>96</v>
      </c>
      <c r="D292" t="s">
        <v>12</v>
      </c>
      <c r="E292" t="s">
        <v>35</v>
      </c>
      <c r="F292" t="s">
        <v>97</v>
      </c>
      <c r="G292" t="s">
        <v>15</v>
      </c>
      <c r="H292" s="5">
        <v>11999</v>
      </c>
      <c r="I292" s="5">
        <v>7799.35</v>
      </c>
      <c r="J292" s="2">
        <v>0.3</v>
      </c>
      <c r="K292" s="5">
        <v>599.94999999999891</v>
      </c>
    </row>
    <row r="293" spans="1:11" x14ac:dyDescent="0.25">
      <c r="A293">
        <v>283</v>
      </c>
      <c r="B293" s="1">
        <v>42691</v>
      </c>
      <c r="C293" t="s">
        <v>41</v>
      </c>
      <c r="D293" t="s">
        <v>22</v>
      </c>
      <c r="E293" t="s">
        <v>18</v>
      </c>
      <c r="F293" t="s">
        <v>42</v>
      </c>
      <c r="G293" t="s">
        <v>43</v>
      </c>
      <c r="H293" s="5">
        <v>1149</v>
      </c>
      <c r="I293" s="5">
        <v>896.22</v>
      </c>
      <c r="J293" s="2">
        <v>0</v>
      </c>
      <c r="K293" s="5">
        <v>252.77999999999997</v>
      </c>
    </row>
    <row r="294" spans="1:11" x14ac:dyDescent="0.25">
      <c r="A294">
        <v>284</v>
      </c>
      <c r="B294" s="1">
        <v>42794</v>
      </c>
      <c r="C294" t="s">
        <v>51</v>
      </c>
      <c r="D294" t="s">
        <v>22</v>
      </c>
      <c r="E294" t="s">
        <v>23</v>
      </c>
      <c r="F294" t="s">
        <v>52</v>
      </c>
      <c r="G294" t="s">
        <v>15</v>
      </c>
      <c r="H294" s="5">
        <v>599</v>
      </c>
      <c r="I294" s="5">
        <v>455.24</v>
      </c>
      <c r="J294" s="2">
        <v>0</v>
      </c>
      <c r="K294" s="5">
        <v>143.76</v>
      </c>
    </row>
    <row r="295" spans="1:11" x14ac:dyDescent="0.25">
      <c r="A295">
        <v>285</v>
      </c>
      <c r="B295" s="1">
        <v>42672</v>
      </c>
      <c r="C295" t="s">
        <v>74</v>
      </c>
      <c r="D295" t="s">
        <v>12</v>
      </c>
      <c r="E295" t="s">
        <v>13</v>
      </c>
      <c r="F295" t="s">
        <v>75</v>
      </c>
      <c r="G295" t="s">
        <v>15</v>
      </c>
      <c r="H295" s="5">
        <v>2599</v>
      </c>
      <c r="I295" s="5">
        <v>1819.3</v>
      </c>
      <c r="J295" s="2">
        <v>0.15</v>
      </c>
      <c r="K295" s="5">
        <v>389.85000000000014</v>
      </c>
    </row>
    <row r="296" spans="1:11" x14ac:dyDescent="0.25">
      <c r="A296">
        <v>286</v>
      </c>
      <c r="B296" s="1">
        <v>42575</v>
      </c>
      <c r="C296" t="s">
        <v>96</v>
      </c>
      <c r="D296" t="s">
        <v>12</v>
      </c>
      <c r="E296" t="s">
        <v>35</v>
      </c>
      <c r="F296" t="s">
        <v>97</v>
      </c>
      <c r="G296" t="s">
        <v>15</v>
      </c>
      <c r="H296" s="5">
        <v>11999</v>
      </c>
      <c r="I296" s="5">
        <v>7799.35</v>
      </c>
      <c r="J296" s="2">
        <v>0.2</v>
      </c>
      <c r="K296" s="5">
        <v>1799.8500000000004</v>
      </c>
    </row>
    <row r="297" spans="1:11" x14ac:dyDescent="0.25">
      <c r="A297">
        <v>287</v>
      </c>
      <c r="B297" s="1">
        <v>42479</v>
      </c>
      <c r="C297" t="s">
        <v>29</v>
      </c>
      <c r="D297" t="s">
        <v>26</v>
      </c>
      <c r="E297" t="s">
        <v>27</v>
      </c>
      <c r="F297" t="s">
        <v>30</v>
      </c>
      <c r="G297" t="s">
        <v>15</v>
      </c>
      <c r="H297" s="5">
        <v>259</v>
      </c>
      <c r="I297" s="5">
        <v>220.15</v>
      </c>
      <c r="J297" s="2">
        <v>0.15</v>
      </c>
      <c r="K297" s="5">
        <v>0</v>
      </c>
    </row>
    <row r="298" spans="1:11" x14ac:dyDescent="0.25">
      <c r="A298">
        <v>288</v>
      </c>
      <c r="B298" s="1">
        <v>42479</v>
      </c>
      <c r="C298" t="s">
        <v>47</v>
      </c>
      <c r="D298" t="s">
        <v>26</v>
      </c>
      <c r="E298" t="s">
        <v>27</v>
      </c>
      <c r="F298" t="s">
        <v>48</v>
      </c>
      <c r="G298" t="s">
        <v>15</v>
      </c>
      <c r="H298" s="5">
        <v>699</v>
      </c>
      <c r="I298" s="5">
        <v>482.30999999999995</v>
      </c>
      <c r="J298" s="2">
        <v>0.15</v>
      </c>
      <c r="K298" s="5">
        <v>111.84000000000003</v>
      </c>
    </row>
    <row r="299" spans="1:11" x14ac:dyDescent="0.25">
      <c r="A299">
        <v>289</v>
      </c>
      <c r="B299" s="1">
        <v>42455</v>
      </c>
      <c r="C299" t="s">
        <v>34</v>
      </c>
      <c r="D299" t="s">
        <v>12</v>
      </c>
      <c r="E299" t="s">
        <v>35</v>
      </c>
      <c r="F299" t="s">
        <v>36</v>
      </c>
      <c r="G299" t="s">
        <v>15</v>
      </c>
      <c r="H299" s="5">
        <v>7999</v>
      </c>
      <c r="I299" s="5">
        <v>3199.6000000000004</v>
      </c>
      <c r="J299" s="2">
        <v>0.2</v>
      </c>
      <c r="K299" s="5">
        <v>3199.6000000000004</v>
      </c>
    </row>
    <row r="300" spans="1:11" x14ac:dyDescent="0.25">
      <c r="A300">
        <v>290</v>
      </c>
      <c r="B300" s="1">
        <v>42520</v>
      </c>
      <c r="C300" t="s">
        <v>156</v>
      </c>
      <c r="D300" t="s">
        <v>22</v>
      </c>
      <c r="E300" t="s">
        <v>23</v>
      </c>
      <c r="F300" t="s">
        <v>157</v>
      </c>
      <c r="G300" t="s">
        <v>15</v>
      </c>
      <c r="H300" s="5">
        <v>399</v>
      </c>
      <c r="I300" s="5">
        <v>239.39999999999998</v>
      </c>
      <c r="J300" s="2">
        <v>0.2</v>
      </c>
      <c r="K300" s="5">
        <v>79.800000000000068</v>
      </c>
    </row>
    <row r="301" spans="1:11" x14ac:dyDescent="0.25">
      <c r="A301">
        <v>291</v>
      </c>
      <c r="B301" s="1">
        <v>42388</v>
      </c>
      <c r="C301" t="s">
        <v>31</v>
      </c>
      <c r="D301" t="s">
        <v>22</v>
      </c>
      <c r="E301" t="s">
        <v>18</v>
      </c>
      <c r="F301" t="s">
        <v>32</v>
      </c>
      <c r="G301" t="s">
        <v>33</v>
      </c>
      <c r="H301" s="5">
        <v>1199</v>
      </c>
      <c r="I301" s="5">
        <v>887.26</v>
      </c>
      <c r="J301" s="2">
        <v>0.15</v>
      </c>
      <c r="K301" s="5">
        <v>131.88999999999999</v>
      </c>
    </row>
    <row r="302" spans="1:11" x14ac:dyDescent="0.25">
      <c r="A302">
        <v>292</v>
      </c>
      <c r="B302" s="1">
        <v>42518</v>
      </c>
      <c r="C302" t="s">
        <v>16</v>
      </c>
      <c r="D302" t="s">
        <v>22</v>
      </c>
      <c r="E302" t="s">
        <v>18</v>
      </c>
      <c r="F302" t="s">
        <v>19</v>
      </c>
      <c r="G302" t="s">
        <v>20</v>
      </c>
      <c r="H302" s="5">
        <v>1149</v>
      </c>
      <c r="I302" s="5">
        <v>792.81</v>
      </c>
      <c r="J302" s="2">
        <v>0</v>
      </c>
      <c r="K302" s="5">
        <v>356.19000000000005</v>
      </c>
    </row>
    <row r="303" spans="1:11" x14ac:dyDescent="0.25">
      <c r="A303">
        <v>293</v>
      </c>
      <c r="B303" s="1">
        <v>42404</v>
      </c>
      <c r="C303" t="s">
        <v>106</v>
      </c>
      <c r="D303" t="s">
        <v>22</v>
      </c>
      <c r="E303" t="s">
        <v>23</v>
      </c>
      <c r="F303" t="s">
        <v>107</v>
      </c>
      <c r="G303" t="s">
        <v>15</v>
      </c>
      <c r="H303" s="5">
        <v>259</v>
      </c>
      <c r="I303" s="5">
        <v>111.37</v>
      </c>
      <c r="J303" s="2">
        <v>0.15</v>
      </c>
      <c r="K303" s="5">
        <v>108.78</v>
      </c>
    </row>
    <row r="304" spans="1:11" x14ac:dyDescent="0.25">
      <c r="A304">
        <v>294</v>
      </c>
      <c r="B304" s="1">
        <v>42520</v>
      </c>
      <c r="C304" t="s">
        <v>120</v>
      </c>
      <c r="D304" t="s">
        <v>22</v>
      </c>
      <c r="E304" t="s">
        <v>23</v>
      </c>
      <c r="F304" t="s">
        <v>121</v>
      </c>
      <c r="G304" t="s">
        <v>15</v>
      </c>
      <c r="H304" s="5">
        <v>169</v>
      </c>
      <c r="I304" s="5">
        <v>130.13</v>
      </c>
      <c r="J304" s="2">
        <v>0.2</v>
      </c>
      <c r="K304" s="5">
        <v>5.0700000000000216</v>
      </c>
    </row>
    <row r="305" spans="1:11" x14ac:dyDescent="0.25">
      <c r="A305">
        <v>295</v>
      </c>
      <c r="B305" s="1">
        <v>42402</v>
      </c>
      <c r="C305" t="s">
        <v>21</v>
      </c>
      <c r="D305" t="s">
        <v>22</v>
      </c>
      <c r="E305" t="s">
        <v>23</v>
      </c>
      <c r="F305" t="s">
        <v>24</v>
      </c>
      <c r="G305" t="s">
        <v>15</v>
      </c>
      <c r="H305" s="5">
        <v>359</v>
      </c>
      <c r="I305" s="5">
        <v>244.12</v>
      </c>
      <c r="J305" s="2">
        <v>0.2</v>
      </c>
      <c r="K305" s="5">
        <v>43.079999999999984</v>
      </c>
    </row>
    <row r="306" spans="1:11" x14ac:dyDescent="0.25">
      <c r="A306">
        <v>296</v>
      </c>
      <c r="B306" s="1">
        <v>42506</v>
      </c>
      <c r="C306" t="s">
        <v>21</v>
      </c>
      <c r="D306" t="s">
        <v>22</v>
      </c>
      <c r="E306" t="s">
        <v>23</v>
      </c>
      <c r="F306" t="s">
        <v>24</v>
      </c>
      <c r="G306" t="s">
        <v>15</v>
      </c>
      <c r="H306" s="5">
        <v>359</v>
      </c>
      <c r="I306" s="5">
        <v>244.12</v>
      </c>
      <c r="J306" s="2">
        <v>0.3</v>
      </c>
      <c r="K306" s="5">
        <v>7.1799999999999784</v>
      </c>
    </row>
    <row r="307" spans="1:11" x14ac:dyDescent="0.25">
      <c r="A307">
        <v>297</v>
      </c>
      <c r="B307" s="1">
        <v>42438</v>
      </c>
      <c r="C307" t="s">
        <v>128</v>
      </c>
      <c r="D307" t="s">
        <v>26</v>
      </c>
      <c r="E307" t="s">
        <v>45</v>
      </c>
      <c r="F307" t="s">
        <v>129</v>
      </c>
      <c r="G307" t="s">
        <v>15</v>
      </c>
      <c r="H307" s="5">
        <v>399</v>
      </c>
      <c r="I307" s="5">
        <v>323.19</v>
      </c>
      <c r="J307" s="2">
        <v>0.15</v>
      </c>
      <c r="K307" s="5">
        <v>15.95999999999998</v>
      </c>
    </row>
    <row r="308" spans="1:11" x14ac:dyDescent="0.25">
      <c r="A308">
        <v>298</v>
      </c>
      <c r="B308" s="1">
        <v>42479</v>
      </c>
      <c r="C308" t="s">
        <v>41</v>
      </c>
      <c r="D308" t="s">
        <v>22</v>
      </c>
      <c r="E308" t="s">
        <v>18</v>
      </c>
      <c r="F308" t="s">
        <v>42</v>
      </c>
      <c r="G308" t="s">
        <v>43</v>
      </c>
      <c r="H308" s="5">
        <v>1149</v>
      </c>
      <c r="I308" s="5">
        <v>896.22</v>
      </c>
      <c r="J308" s="2">
        <v>0.15</v>
      </c>
      <c r="K308" s="5">
        <v>80.42999999999995</v>
      </c>
    </row>
    <row r="309" spans="1:11" x14ac:dyDescent="0.25">
      <c r="A309">
        <v>299</v>
      </c>
      <c r="B309" s="1">
        <v>42643</v>
      </c>
      <c r="C309" t="s">
        <v>11</v>
      </c>
      <c r="D309" t="s">
        <v>12</v>
      </c>
      <c r="E309" t="s">
        <v>13</v>
      </c>
      <c r="F309" t="s">
        <v>14</v>
      </c>
      <c r="G309" t="s">
        <v>15</v>
      </c>
      <c r="H309" s="5">
        <v>1299</v>
      </c>
      <c r="I309" s="5">
        <v>727.44</v>
      </c>
      <c r="J309" s="2">
        <v>0.2</v>
      </c>
      <c r="K309" s="5">
        <v>311.76</v>
      </c>
    </row>
    <row r="310" spans="1:11" x14ac:dyDescent="0.25">
      <c r="A310">
        <v>300</v>
      </c>
      <c r="B310" s="1">
        <v>42402</v>
      </c>
      <c r="C310" t="s">
        <v>63</v>
      </c>
      <c r="D310" t="s">
        <v>12</v>
      </c>
      <c r="E310" t="s">
        <v>35</v>
      </c>
      <c r="F310" t="s">
        <v>64</v>
      </c>
      <c r="G310" t="s">
        <v>15</v>
      </c>
      <c r="H310" s="5">
        <v>13999</v>
      </c>
      <c r="I310" s="5">
        <v>9659.31</v>
      </c>
      <c r="J310" s="2">
        <v>0.2</v>
      </c>
      <c r="K310" s="5">
        <v>1539.8900000000012</v>
      </c>
    </row>
    <row r="311" spans="1:11" x14ac:dyDescent="0.25">
      <c r="A311">
        <v>301</v>
      </c>
      <c r="B311" s="1">
        <v>42601</v>
      </c>
      <c r="C311" t="s">
        <v>51</v>
      </c>
      <c r="D311" t="s">
        <v>22</v>
      </c>
      <c r="E311" t="s">
        <v>23</v>
      </c>
      <c r="F311" t="s">
        <v>52</v>
      </c>
      <c r="G311" t="s">
        <v>15</v>
      </c>
      <c r="H311" s="5">
        <v>599</v>
      </c>
      <c r="I311" s="5">
        <v>455.24</v>
      </c>
      <c r="J311" s="2">
        <v>0.15</v>
      </c>
      <c r="K311" s="5">
        <v>53.909999999999968</v>
      </c>
    </row>
    <row r="312" spans="1:11" x14ac:dyDescent="0.25">
      <c r="A312">
        <v>302</v>
      </c>
      <c r="B312" s="1">
        <v>42674</v>
      </c>
      <c r="C312" t="s">
        <v>134</v>
      </c>
      <c r="D312" t="s">
        <v>22</v>
      </c>
      <c r="E312" t="s">
        <v>18</v>
      </c>
      <c r="F312" t="s">
        <v>135</v>
      </c>
      <c r="G312" t="s">
        <v>33</v>
      </c>
      <c r="H312" s="5">
        <v>409</v>
      </c>
      <c r="I312" s="5">
        <v>237.21999999999997</v>
      </c>
      <c r="J312" s="2">
        <v>0</v>
      </c>
      <c r="K312" s="5">
        <v>171.78000000000003</v>
      </c>
    </row>
    <row r="313" spans="1:11" x14ac:dyDescent="0.25">
      <c r="A313">
        <v>303</v>
      </c>
      <c r="B313" s="1">
        <v>42375</v>
      </c>
      <c r="C313" t="s">
        <v>29</v>
      </c>
      <c r="D313" t="s">
        <v>26</v>
      </c>
      <c r="E313" t="s">
        <v>27</v>
      </c>
      <c r="F313" t="s">
        <v>30</v>
      </c>
      <c r="G313" t="s">
        <v>15</v>
      </c>
      <c r="H313" s="5">
        <v>259</v>
      </c>
      <c r="I313" s="5">
        <v>220.15</v>
      </c>
      <c r="J313" s="2">
        <v>0</v>
      </c>
      <c r="K313" s="5">
        <v>38.849999999999994</v>
      </c>
    </row>
    <row r="314" spans="1:11" x14ac:dyDescent="0.25">
      <c r="A314">
        <v>304</v>
      </c>
      <c r="B314" s="1">
        <v>42438</v>
      </c>
      <c r="C314" t="s">
        <v>90</v>
      </c>
      <c r="D314" t="s">
        <v>12</v>
      </c>
      <c r="E314" t="s">
        <v>35</v>
      </c>
      <c r="F314" t="s">
        <v>91</v>
      </c>
      <c r="G314" t="s">
        <v>15</v>
      </c>
      <c r="H314" s="5">
        <v>6999</v>
      </c>
      <c r="I314" s="5">
        <v>4829.3099999999995</v>
      </c>
      <c r="J314" s="2">
        <v>0.15</v>
      </c>
      <c r="K314" s="5">
        <v>1119.8400000000001</v>
      </c>
    </row>
    <row r="315" spans="1:11" x14ac:dyDescent="0.25">
      <c r="A315">
        <v>305</v>
      </c>
      <c r="B315" s="1">
        <v>42631</v>
      </c>
      <c r="C315" t="s">
        <v>29</v>
      </c>
      <c r="D315" t="s">
        <v>26</v>
      </c>
      <c r="E315" t="s">
        <v>27</v>
      </c>
      <c r="F315" t="s">
        <v>30</v>
      </c>
      <c r="G315" t="s">
        <v>15</v>
      </c>
      <c r="H315" s="5">
        <v>259</v>
      </c>
      <c r="I315" s="5">
        <v>220.15</v>
      </c>
      <c r="J315" s="2">
        <v>0.1</v>
      </c>
      <c r="K315" s="5">
        <v>12.949999999999989</v>
      </c>
    </row>
    <row r="316" spans="1:11" x14ac:dyDescent="0.25">
      <c r="A316">
        <v>306</v>
      </c>
      <c r="B316" s="1">
        <v>42388</v>
      </c>
      <c r="C316" t="s">
        <v>158</v>
      </c>
      <c r="D316" t="s">
        <v>22</v>
      </c>
      <c r="E316" t="s">
        <v>86</v>
      </c>
      <c r="F316" t="s">
        <v>159</v>
      </c>
      <c r="G316" t="s">
        <v>15</v>
      </c>
      <c r="H316" s="5">
        <v>4599</v>
      </c>
      <c r="I316" s="5">
        <v>3817.1699999999996</v>
      </c>
      <c r="J316" s="2">
        <v>0.15</v>
      </c>
      <c r="K316" s="5">
        <v>91.980000000000473</v>
      </c>
    </row>
    <row r="317" spans="1:11" x14ac:dyDescent="0.25">
      <c r="A317">
        <v>307</v>
      </c>
      <c r="B317" s="1">
        <v>42573</v>
      </c>
      <c r="C317" t="s">
        <v>122</v>
      </c>
      <c r="D317" t="s">
        <v>22</v>
      </c>
      <c r="E317" t="s">
        <v>23</v>
      </c>
      <c r="F317" t="s">
        <v>123</v>
      </c>
      <c r="G317" t="s">
        <v>15</v>
      </c>
      <c r="H317" s="5">
        <v>999</v>
      </c>
      <c r="I317" s="5">
        <v>569.42999999999995</v>
      </c>
      <c r="J317" s="2">
        <v>0.15</v>
      </c>
      <c r="K317" s="5">
        <v>279.72000000000003</v>
      </c>
    </row>
    <row r="318" spans="1:11" x14ac:dyDescent="0.25">
      <c r="A318">
        <v>308</v>
      </c>
      <c r="B318" s="1">
        <v>42590</v>
      </c>
      <c r="C318" t="s">
        <v>11</v>
      </c>
      <c r="D318" t="s">
        <v>12</v>
      </c>
      <c r="E318" t="s">
        <v>13</v>
      </c>
      <c r="F318" t="s">
        <v>14</v>
      </c>
      <c r="G318" t="s">
        <v>15</v>
      </c>
      <c r="H318" s="5">
        <v>1299</v>
      </c>
      <c r="I318" s="5">
        <v>727.44</v>
      </c>
      <c r="J318" s="2">
        <v>0</v>
      </c>
      <c r="K318" s="5">
        <v>571.55999999999995</v>
      </c>
    </row>
    <row r="319" spans="1:11" x14ac:dyDescent="0.25">
      <c r="A319">
        <v>309</v>
      </c>
      <c r="B319" s="1">
        <v>42608</v>
      </c>
      <c r="C319" t="s">
        <v>85</v>
      </c>
      <c r="D319" t="s">
        <v>22</v>
      </c>
      <c r="E319" t="s">
        <v>86</v>
      </c>
      <c r="F319" t="s">
        <v>87</v>
      </c>
      <c r="G319" t="s">
        <v>15</v>
      </c>
      <c r="H319" s="5">
        <v>3999</v>
      </c>
      <c r="I319" s="5">
        <v>1399.6499999999999</v>
      </c>
      <c r="J319" s="2">
        <v>0</v>
      </c>
      <c r="K319" s="5">
        <v>2599.3500000000004</v>
      </c>
    </row>
    <row r="320" spans="1:11" x14ac:dyDescent="0.25">
      <c r="A320">
        <v>310</v>
      </c>
      <c r="B320" s="1">
        <v>42672</v>
      </c>
      <c r="C320" t="s">
        <v>31</v>
      </c>
      <c r="D320" t="s">
        <v>22</v>
      </c>
      <c r="E320" t="s">
        <v>18</v>
      </c>
      <c r="F320" t="s">
        <v>32</v>
      </c>
      <c r="G320" t="s">
        <v>33</v>
      </c>
      <c r="H320" s="5">
        <v>1199</v>
      </c>
      <c r="I320" s="5">
        <v>887.26</v>
      </c>
      <c r="J320" s="2">
        <v>0.15</v>
      </c>
      <c r="K320" s="5">
        <v>131.88999999999999</v>
      </c>
    </row>
    <row r="321" spans="1:11" x14ac:dyDescent="0.25">
      <c r="A321">
        <v>311</v>
      </c>
      <c r="B321" s="1">
        <v>42736</v>
      </c>
      <c r="C321" t="s">
        <v>114</v>
      </c>
      <c r="D321" t="s">
        <v>22</v>
      </c>
      <c r="E321" t="s">
        <v>86</v>
      </c>
      <c r="F321" t="s">
        <v>115</v>
      </c>
      <c r="G321" t="s">
        <v>15</v>
      </c>
      <c r="H321" s="5">
        <v>7999</v>
      </c>
      <c r="I321" s="5">
        <v>5039.37</v>
      </c>
      <c r="J321" s="2">
        <v>0.15</v>
      </c>
      <c r="K321" s="5">
        <v>1759.7799999999997</v>
      </c>
    </row>
    <row r="322" spans="1:11" x14ac:dyDescent="0.25">
      <c r="A322">
        <v>312</v>
      </c>
      <c r="B322" s="1">
        <v>42657</v>
      </c>
      <c r="C322" t="s">
        <v>79</v>
      </c>
      <c r="D322" t="s">
        <v>26</v>
      </c>
      <c r="E322" t="s">
        <v>27</v>
      </c>
      <c r="F322" t="s">
        <v>80</v>
      </c>
      <c r="G322" t="s">
        <v>15</v>
      </c>
      <c r="H322" s="5">
        <v>499</v>
      </c>
      <c r="I322" s="5">
        <v>174.64999999999998</v>
      </c>
      <c r="J322" s="2">
        <v>0.15</v>
      </c>
      <c r="K322" s="5">
        <v>249.5</v>
      </c>
    </row>
    <row r="323" spans="1:11" x14ac:dyDescent="0.25">
      <c r="A323">
        <v>313</v>
      </c>
      <c r="B323" s="1">
        <v>42560</v>
      </c>
      <c r="C323" t="s">
        <v>51</v>
      </c>
      <c r="D323" t="s">
        <v>22</v>
      </c>
      <c r="E323" t="s">
        <v>23</v>
      </c>
      <c r="F323" t="s">
        <v>52</v>
      </c>
      <c r="G323" t="s">
        <v>15</v>
      </c>
      <c r="H323" s="5">
        <v>599</v>
      </c>
      <c r="I323" s="5">
        <v>455.24</v>
      </c>
      <c r="J323" s="2">
        <v>0</v>
      </c>
      <c r="K323" s="5">
        <v>143.76</v>
      </c>
    </row>
    <row r="324" spans="1:11" x14ac:dyDescent="0.25">
      <c r="A324">
        <v>314</v>
      </c>
      <c r="B324" s="1">
        <v>42689</v>
      </c>
      <c r="C324" t="s">
        <v>31</v>
      </c>
      <c r="D324" t="s">
        <v>22</v>
      </c>
      <c r="E324" t="s">
        <v>18</v>
      </c>
      <c r="F324" t="s">
        <v>32</v>
      </c>
      <c r="G324" t="s">
        <v>33</v>
      </c>
      <c r="H324" s="5">
        <v>1199</v>
      </c>
      <c r="I324" s="5">
        <v>887.26</v>
      </c>
      <c r="J324" s="2">
        <v>0</v>
      </c>
      <c r="K324" s="5">
        <v>311.74</v>
      </c>
    </row>
    <row r="325" spans="1:11" x14ac:dyDescent="0.25">
      <c r="A325">
        <v>315</v>
      </c>
      <c r="B325" s="1">
        <v>42781</v>
      </c>
      <c r="C325" t="s">
        <v>63</v>
      </c>
      <c r="D325" t="s">
        <v>12</v>
      </c>
      <c r="E325" t="s">
        <v>35</v>
      </c>
      <c r="F325" t="s">
        <v>64</v>
      </c>
      <c r="G325" t="s">
        <v>15</v>
      </c>
      <c r="H325" s="5">
        <v>13999</v>
      </c>
      <c r="I325" s="5">
        <v>9659.31</v>
      </c>
      <c r="J325" s="2">
        <v>0</v>
      </c>
      <c r="K325" s="5">
        <v>4339.6900000000005</v>
      </c>
    </row>
    <row r="326" spans="1:11" x14ac:dyDescent="0.25">
      <c r="A326">
        <v>316</v>
      </c>
      <c r="B326" s="1">
        <v>42424</v>
      </c>
      <c r="C326" t="s">
        <v>144</v>
      </c>
      <c r="D326" t="s">
        <v>12</v>
      </c>
      <c r="E326" t="s">
        <v>35</v>
      </c>
      <c r="F326" t="s">
        <v>145</v>
      </c>
      <c r="G326" t="s">
        <v>15</v>
      </c>
      <c r="H326" s="5">
        <v>8999</v>
      </c>
      <c r="I326" s="5">
        <v>6839.24</v>
      </c>
      <c r="J326" s="2">
        <v>0.15</v>
      </c>
      <c r="K326" s="5">
        <v>809.90999999999985</v>
      </c>
    </row>
    <row r="327" spans="1:11" x14ac:dyDescent="0.25">
      <c r="A327">
        <v>317</v>
      </c>
      <c r="B327" s="1">
        <v>42506</v>
      </c>
      <c r="C327" t="s">
        <v>116</v>
      </c>
      <c r="D327" t="s">
        <v>22</v>
      </c>
      <c r="E327" t="s">
        <v>86</v>
      </c>
      <c r="F327" t="s">
        <v>117</v>
      </c>
      <c r="G327" t="s">
        <v>15</v>
      </c>
      <c r="H327" s="5">
        <v>5999</v>
      </c>
      <c r="I327" s="5">
        <v>3659.39</v>
      </c>
      <c r="J327" s="2">
        <v>0.3</v>
      </c>
      <c r="K327" s="5">
        <v>539.91000000000031</v>
      </c>
    </row>
    <row r="328" spans="1:11" x14ac:dyDescent="0.25">
      <c r="A328">
        <v>318</v>
      </c>
      <c r="B328" s="1">
        <v>42416</v>
      </c>
      <c r="C328" t="s">
        <v>142</v>
      </c>
      <c r="D328" t="s">
        <v>12</v>
      </c>
      <c r="E328" t="s">
        <v>35</v>
      </c>
      <c r="F328" t="s">
        <v>143</v>
      </c>
      <c r="G328" t="s">
        <v>15</v>
      </c>
      <c r="H328" s="5">
        <v>2299</v>
      </c>
      <c r="I328" s="5">
        <v>1218.47</v>
      </c>
      <c r="J328" s="2">
        <v>0</v>
      </c>
      <c r="K328" s="5">
        <v>1080.53</v>
      </c>
    </row>
    <row r="329" spans="1:11" x14ac:dyDescent="0.25">
      <c r="A329">
        <v>319</v>
      </c>
      <c r="B329" s="1">
        <v>42736</v>
      </c>
      <c r="C329" t="s">
        <v>31</v>
      </c>
      <c r="D329" t="s">
        <v>22</v>
      </c>
      <c r="E329" t="s">
        <v>18</v>
      </c>
      <c r="F329" t="s">
        <v>32</v>
      </c>
      <c r="G329" t="s">
        <v>33</v>
      </c>
      <c r="H329" s="5">
        <v>1199</v>
      </c>
      <c r="I329" s="5">
        <v>887.26</v>
      </c>
      <c r="J329" s="2">
        <v>0.15</v>
      </c>
      <c r="K329" s="5">
        <v>131.88999999999999</v>
      </c>
    </row>
    <row r="330" spans="1:11" x14ac:dyDescent="0.25">
      <c r="A330">
        <v>320</v>
      </c>
      <c r="B330" s="1">
        <v>42506</v>
      </c>
      <c r="C330" t="s">
        <v>136</v>
      </c>
      <c r="D330" t="s">
        <v>12</v>
      </c>
      <c r="E330" t="s">
        <v>35</v>
      </c>
      <c r="F330" t="s">
        <v>137</v>
      </c>
      <c r="G330" t="s">
        <v>15</v>
      </c>
      <c r="H330" s="5">
        <v>7599</v>
      </c>
      <c r="I330" s="5">
        <v>2735.64</v>
      </c>
      <c r="J330" s="2">
        <v>0.3</v>
      </c>
      <c r="K330" s="5">
        <v>2583.6599999999994</v>
      </c>
    </row>
    <row r="331" spans="1:11" x14ac:dyDescent="0.25">
      <c r="A331">
        <v>321</v>
      </c>
      <c r="B331" s="1">
        <v>42455</v>
      </c>
      <c r="C331" t="s">
        <v>25</v>
      </c>
      <c r="D331" t="s">
        <v>26</v>
      </c>
      <c r="E331" t="s">
        <v>27</v>
      </c>
      <c r="F331" t="s">
        <v>28</v>
      </c>
      <c r="G331" t="s">
        <v>15</v>
      </c>
      <c r="H331" s="5">
        <v>1499</v>
      </c>
      <c r="I331" s="5">
        <v>794.47</v>
      </c>
      <c r="J331" s="2">
        <v>0.2</v>
      </c>
      <c r="K331" s="5">
        <v>404.73</v>
      </c>
    </row>
    <row r="332" spans="1:11" x14ac:dyDescent="0.25">
      <c r="A332">
        <v>322</v>
      </c>
      <c r="B332" s="1">
        <v>42672</v>
      </c>
      <c r="C332" t="s">
        <v>41</v>
      </c>
      <c r="D332" t="s">
        <v>22</v>
      </c>
      <c r="E332" t="s">
        <v>18</v>
      </c>
      <c r="F332" t="s">
        <v>42</v>
      </c>
      <c r="G332" t="s">
        <v>43</v>
      </c>
      <c r="H332" s="5">
        <v>1149</v>
      </c>
      <c r="I332" s="5">
        <v>896.22</v>
      </c>
      <c r="J332" s="2">
        <v>0.15</v>
      </c>
      <c r="K332" s="5">
        <v>80.42999999999995</v>
      </c>
    </row>
    <row r="333" spans="1:11" x14ac:dyDescent="0.25">
      <c r="A333">
        <v>323</v>
      </c>
      <c r="B333" s="1">
        <v>42697</v>
      </c>
      <c r="C333" t="s">
        <v>21</v>
      </c>
      <c r="D333" t="s">
        <v>22</v>
      </c>
      <c r="E333" t="s">
        <v>23</v>
      </c>
      <c r="F333" t="s">
        <v>24</v>
      </c>
      <c r="G333" t="s">
        <v>15</v>
      </c>
      <c r="H333" s="5">
        <v>359</v>
      </c>
      <c r="I333" s="5">
        <v>244.12</v>
      </c>
      <c r="J333" s="2">
        <v>0</v>
      </c>
      <c r="K333" s="5">
        <v>114.88</v>
      </c>
    </row>
    <row r="334" spans="1:11" x14ac:dyDescent="0.25">
      <c r="A334">
        <v>324</v>
      </c>
      <c r="B334" s="1">
        <v>42487</v>
      </c>
      <c r="C334" t="s">
        <v>41</v>
      </c>
      <c r="D334" t="s">
        <v>22</v>
      </c>
      <c r="E334" t="s">
        <v>18</v>
      </c>
      <c r="F334" t="s">
        <v>42</v>
      </c>
      <c r="G334" t="s">
        <v>43</v>
      </c>
      <c r="H334" s="5">
        <v>1149</v>
      </c>
      <c r="I334" s="5">
        <v>896.22</v>
      </c>
      <c r="J334" s="2">
        <v>0</v>
      </c>
      <c r="K334" s="5">
        <v>252.77999999999997</v>
      </c>
    </row>
    <row r="335" spans="1:11" x14ac:dyDescent="0.25">
      <c r="A335">
        <v>325</v>
      </c>
      <c r="B335" s="1">
        <v>42455</v>
      </c>
      <c r="C335" t="s">
        <v>41</v>
      </c>
      <c r="D335" t="s">
        <v>22</v>
      </c>
      <c r="E335" t="s">
        <v>18</v>
      </c>
      <c r="F335" t="s">
        <v>42</v>
      </c>
      <c r="G335" t="s">
        <v>43</v>
      </c>
      <c r="H335" s="5">
        <v>1149</v>
      </c>
      <c r="I335" s="5">
        <v>896.22</v>
      </c>
      <c r="J335" s="2">
        <v>0.2</v>
      </c>
      <c r="K335" s="5">
        <v>22.980000000000018</v>
      </c>
    </row>
    <row r="336" spans="1:11" x14ac:dyDescent="0.25">
      <c r="A336">
        <v>326</v>
      </c>
      <c r="B336" s="1">
        <v>42400</v>
      </c>
      <c r="C336" t="s">
        <v>11</v>
      </c>
      <c r="D336" t="s">
        <v>12</v>
      </c>
      <c r="E336" t="s">
        <v>13</v>
      </c>
      <c r="F336" t="s">
        <v>14</v>
      </c>
      <c r="G336" t="s">
        <v>15</v>
      </c>
      <c r="H336" s="5">
        <v>1299</v>
      </c>
      <c r="I336" s="5">
        <v>727.44</v>
      </c>
      <c r="J336" s="2">
        <v>0</v>
      </c>
      <c r="K336" s="5">
        <v>571.55999999999995</v>
      </c>
    </row>
    <row r="337" spans="1:11" x14ac:dyDescent="0.25">
      <c r="A337">
        <v>327</v>
      </c>
      <c r="B337" s="1">
        <v>42546</v>
      </c>
      <c r="C337" t="s">
        <v>11</v>
      </c>
      <c r="D337" t="s">
        <v>12</v>
      </c>
      <c r="E337" t="s">
        <v>13</v>
      </c>
      <c r="F337" t="s">
        <v>14</v>
      </c>
      <c r="G337" t="s">
        <v>15</v>
      </c>
      <c r="H337" s="5">
        <v>1299</v>
      </c>
      <c r="I337" s="5">
        <v>727.44</v>
      </c>
      <c r="J337" s="2">
        <v>0.2</v>
      </c>
      <c r="K337" s="5">
        <v>311.76</v>
      </c>
    </row>
    <row r="338" spans="1:11" x14ac:dyDescent="0.25">
      <c r="A338">
        <v>328</v>
      </c>
      <c r="B338" s="1">
        <v>42640</v>
      </c>
      <c r="C338" t="s">
        <v>11</v>
      </c>
      <c r="D338" t="s">
        <v>12</v>
      </c>
      <c r="E338" t="s">
        <v>13</v>
      </c>
      <c r="F338" t="s">
        <v>14</v>
      </c>
      <c r="G338" t="s">
        <v>15</v>
      </c>
      <c r="H338" s="5">
        <v>1299</v>
      </c>
      <c r="I338" s="5">
        <v>727.44</v>
      </c>
      <c r="J338" s="2">
        <v>0</v>
      </c>
      <c r="K338" s="5">
        <v>571.55999999999995</v>
      </c>
    </row>
    <row r="339" spans="1:11" x14ac:dyDescent="0.25">
      <c r="A339">
        <v>329</v>
      </c>
      <c r="B339" s="1">
        <v>42404</v>
      </c>
      <c r="C339" t="s">
        <v>72</v>
      </c>
      <c r="D339" t="s">
        <v>22</v>
      </c>
      <c r="E339" t="s">
        <v>18</v>
      </c>
      <c r="F339" t="s">
        <v>73</v>
      </c>
      <c r="G339" t="s">
        <v>69</v>
      </c>
      <c r="H339" s="5">
        <v>799</v>
      </c>
      <c r="I339" s="5">
        <v>535.33000000000004</v>
      </c>
      <c r="J339" s="2">
        <v>0.15</v>
      </c>
      <c r="K339" s="5">
        <v>143.81999999999994</v>
      </c>
    </row>
    <row r="340" spans="1:11" x14ac:dyDescent="0.25">
      <c r="A340">
        <v>330</v>
      </c>
      <c r="B340" s="1">
        <v>42673</v>
      </c>
      <c r="C340" t="s">
        <v>85</v>
      </c>
      <c r="D340" t="s">
        <v>22</v>
      </c>
      <c r="E340" t="s">
        <v>86</v>
      </c>
      <c r="F340" t="s">
        <v>87</v>
      </c>
      <c r="G340" t="s">
        <v>15</v>
      </c>
      <c r="H340" s="5">
        <v>3999</v>
      </c>
      <c r="I340" s="5">
        <v>1399.6499999999999</v>
      </c>
      <c r="J340" s="2">
        <v>0</v>
      </c>
      <c r="K340" s="5">
        <v>2599.3500000000004</v>
      </c>
    </row>
    <row r="341" spans="1:11" x14ac:dyDescent="0.25">
      <c r="A341">
        <v>331</v>
      </c>
      <c r="B341" s="1">
        <v>42685</v>
      </c>
      <c r="C341" t="s">
        <v>106</v>
      </c>
      <c r="D341" t="s">
        <v>22</v>
      </c>
      <c r="E341" t="s">
        <v>23</v>
      </c>
      <c r="F341" t="s">
        <v>107</v>
      </c>
      <c r="G341" t="s">
        <v>15</v>
      </c>
      <c r="H341" s="5">
        <v>259</v>
      </c>
      <c r="I341" s="5">
        <v>111.37</v>
      </c>
      <c r="J341" s="2">
        <v>0</v>
      </c>
      <c r="K341" s="5">
        <v>147.63</v>
      </c>
    </row>
    <row r="342" spans="1:11" x14ac:dyDescent="0.25">
      <c r="A342">
        <v>332</v>
      </c>
      <c r="B342" s="1">
        <v>42601</v>
      </c>
      <c r="C342" t="s">
        <v>90</v>
      </c>
      <c r="D342" t="s">
        <v>12</v>
      </c>
      <c r="E342" t="s">
        <v>35</v>
      </c>
      <c r="F342" t="s">
        <v>91</v>
      </c>
      <c r="G342" t="s">
        <v>15</v>
      </c>
      <c r="H342" s="5">
        <v>6999</v>
      </c>
      <c r="I342" s="5">
        <v>4829.3099999999995</v>
      </c>
      <c r="J342" s="2">
        <v>0.15</v>
      </c>
      <c r="K342" s="5">
        <v>1119.8400000000001</v>
      </c>
    </row>
    <row r="343" spans="1:11" x14ac:dyDescent="0.25">
      <c r="A343">
        <v>333</v>
      </c>
      <c r="B343" s="1">
        <v>42404</v>
      </c>
      <c r="C343" t="s">
        <v>114</v>
      </c>
      <c r="D343" t="s">
        <v>22</v>
      </c>
      <c r="E343" t="s">
        <v>86</v>
      </c>
      <c r="F343" t="s">
        <v>115</v>
      </c>
      <c r="G343" t="s">
        <v>15</v>
      </c>
      <c r="H343" s="5">
        <v>7999</v>
      </c>
      <c r="I343" s="5">
        <v>5039.37</v>
      </c>
      <c r="J343" s="2">
        <v>0.15</v>
      </c>
      <c r="K343" s="5">
        <v>1759.7799999999997</v>
      </c>
    </row>
    <row r="344" spans="1:11" x14ac:dyDescent="0.25">
      <c r="A344">
        <v>334</v>
      </c>
      <c r="B344" s="1">
        <v>42720</v>
      </c>
      <c r="C344" t="s">
        <v>29</v>
      </c>
      <c r="D344" t="s">
        <v>26</v>
      </c>
      <c r="E344" t="s">
        <v>27</v>
      </c>
      <c r="F344" t="s">
        <v>30</v>
      </c>
      <c r="G344" t="s">
        <v>15</v>
      </c>
      <c r="H344" s="5">
        <v>259</v>
      </c>
      <c r="I344" s="5">
        <v>220.15</v>
      </c>
      <c r="J344" s="2">
        <v>0.2</v>
      </c>
      <c r="K344" s="5">
        <v>-12.949999999999989</v>
      </c>
    </row>
    <row r="345" spans="1:11" x14ac:dyDescent="0.25">
      <c r="A345">
        <v>335</v>
      </c>
      <c r="B345" s="1">
        <v>42454</v>
      </c>
      <c r="C345" t="s">
        <v>21</v>
      </c>
      <c r="D345" t="s">
        <v>22</v>
      </c>
      <c r="E345" t="s">
        <v>23</v>
      </c>
      <c r="F345" t="s">
        <v>24</v>
      </c>
      <c r="G345" t="s">
        <v>15</v>
      </c>
      <c r="H345" s="5">
        <v>359</v>
      </c>
      <c r="I345" s="5">
        <v>244.12</v>
      </c>
      <c r="J345" s="2">
        <v>0.15</v>
      </c>
      <c r="K345" s="5">
        <v>61.029999999999973</v>
      </c>
    </row>
    <row r="346" spans="1:11" x14ac:dyDescent="0.25">
      <c r="A346">
        <v>336</v>
      </c>
      <c r="B346" s="1">
        <v>42402</v>
      </c>
      <c r="C346" t="s">
        <v>31</v>
      </c>
      <c r="D346" t="s">
        <v>22</v>
      </c>
      <c r="E346" t="s">
        <v>18</v>
      </c>
      <c r="F346" t="s">
        <v>32</v>
      </c>
      <c r="G346" t="s">
        <v>33</v>
      </c>
      <c r="H346" s="5">
        <v>1199</v>
      </c>
      <c r="I346" s="5">
        <v>887.26</v>
      </c>
      <c r="J346" s="2">
        <v>0.2</v>
      </c>
      <c r="K346" s="5">
        <v>71.940000000000055</v>
      </c>
    </row>
    <row r="347" spans="1:11" x14ac:dyDescent="0.25">
      <c r="A347">
        <v>337</v>
      </c>
      <c r="B347" s="1">
        <v>42520</v>
      </c>
      <c r="C347" t="s">
        <v>41</v>
      </c>
      <c r="D347" t="s">
        <v>22</v>
      </c>
      <c r="E347" t="s">
        <v>18</v>
      </c>
      <c r="F347" t="s">
        <v>42</v>
      </c>
      <c r="G347" t="s">
        <v>43</v>
      </c>
      <c r="H347" s="5">
        <v>1149</v>
      </c>
      <c r="I347" s="5">
        <v>896.22</v>
      </c>
      <c r="J347" s="2">
        <v>0.2</v>
      </c>
      <c r="K347" s="5">
        <v>22.980000000000018</v>
      </c>
    </row>
    <row r="348" spans="1:11" x14ac:dyDescent="0.25">
      <c r="A348">
        <v>338</v>
      </c>
      <c r="B348" s="1">
        <v>42675</v>
      </c>
      <c r="C348" t="s">
        <v>61</v>
      </c>
      <c r="D348" t="s">
        <v>26</v>
      </c>
      <c r="E348" t="s">
        <v>45</v>
      </c>
      <c r="F348" t="s">
        <v>62</v>
      </c>
      <c r="G348" t="s">
        <v>15</v>
      </c>
      <c r="H348" s="5">
        <v>799</v>
      </c>
      <c r="I348" s="5">
        <v>679.15</v>
      </c>
      <c r="J348" s="2">
        <v>0</v>
      </c>
      <c r="K348" s="5">
        <v>119.85000000000002</v>
      </c>
    </row>
    <row r="349" spans="1:11" x14ac:dyDescent="0.25">
      <c r="A349">
        <v>339</v>
      </c>
      <c r="B349" s="1">
        <v>42706</v>
      </c>
      <c r="C349" t="s">
        <v>85</v>
      </c>
      <c r="D349" t="s">
        <v>22</v>
      </c>
      <c r="E349" t="s">
        <v>86</v>
      </c>
      <c r="F349" t="s">
        <v>87</v>
      </c>
      <c r="G349" t="s">
        <v>15</v>
      </c>
      <c r="H349" s="5">
        <v>3999</v>
      </c>
      <c r="I349" s="5">
        <v>1399.6499999999999</v>
      </c>
      <c r="J349" s="2">
        <v>0</v>
      </c>
      <c r="K349" s="5">
        <v>2599.3500000000004</v>
      </c>
    </row>
    <row r="350" spans="1:11" x14ac:dyDescent="0.25">
      <c r="A350">
        <v>340</v>
      </c>
      <c r="B350" s="1">
        <v>42404</v>
      </c>
      <c r="C350" t="s">
        <v>31</v>
      </c>
      <c r="D350" t="s">
        <v>22</v>
      </c>
      <c r="E350" t="s">
        <v>18</v>
      </c>
      <c r="F350" t="s">
        <v>32</v>
      </c>
      <c r="G350" t="s">
        <v>33</v>
      </c>
      <c r="H350" s="5">
        <v>1199</v>
      </c>
      <c r="I350" s="5">
        <v>887.26</v>
      </c>
      <c r="J350" s="2">
        <v>0.15</v>
      </c>
      <c r="K350" s="5">
        <v>131.88999999999999</v>
      </c>
    </row>
    <row r="351" spans="1:11" x14ac:dyDescent="0.25">
      <c r="A351">
        <v>341</v>
      </c>
      <c r="B351" s="1">
        <v>42584</v>
      </c>
      <c r="C351" t="s">
        <v>74</v>
      </c>
      <c r="D351" t="s">
        <v>12</v>
      </c>
      <c r="E351" t="s">
        <v>13</v>
      </c>
      <c r="F351" t="s">
        <v>75</v>
      </c>
      <c r="G351" t="s">
        <v>15</v>
      </c>
      <c r="H351" s="5">
        <v>2599</v>
      </c>
      <c r="I351" s="5">
        <v>1819.3</v>
      </c>
      <c r="J351" s="2">
        <v>0</v>
      </c>
      <c r="K351" s="5">
        <v>779.7</v>
      </c>
    </row>
    <row r="352" spans="1:11" x14ac:dyDescent="0.25">
      <c r="A352">
        <v>342</v>
      </c>
      <c r="B352" s="1">
        <v>42802</v>
      </c>
      <c r="C352" t="s">
        <v>116</v>
      </c>
      <c r="D352" t="s">
        <v>22</v>
      </c>
      <c r="E352" t="s">
        <v>86</v>
      </c>
      <c r="F352" t="s">
        <v>117</v>
      </c>
      <c r="G352" t="s">
        <v>15</v>
      </c>
      <c r="H352" s="5">
        <v>5999</v>
      </c>
      <c r="I352" s="5">
        <v>3659.39</v>
      </c>
      <c r="J352" s="2">
        <v>0</v>
      </c>
      <c r="K352" s="5">
        <v>2339.61</v>
      </c>
    </row>
    <row r="353" spans="1:11" x14ac:dyDescent="0.25">
      <c r="A353">
        <v>343</v>
      </c>
      <c r="B353" s="1">
        <v>42520</v>
      </c>
      <c r="C353" t="s">
        <v>11</v>
      </c>
      <c r="D353" t="s">
        <v>12</v>
      </c>
      <c r="E353" t="s">
        <v>13</v>
      </c>
      <c r="F353" t="s">
        <v>14</v>
      </c>
      <c r="G353" t="s">
        <v>15</v>
      </c>
      <c r="H353" s="5">
        <v>1299</v>
      </c>
      <c r="I353" s="5">
        <v>727.44</v>
      </c>
      <c r="J353" s="2">
        <v>0.2</v>
      </c>
      <c r="K353" s="5">
        <v>311.76</v>
      </c>
    </row>
    <row r="354" spans="1:11" x14ac:dyDescent="0.25">
      <c r="A354">
        <v>344</v>
      </c>
      <c r="B354" s="1">
        <v>42631</v>
      </c>
      <c r="C354" t="s">
        <v>41</v>
      </c>
      <c r="D354" t="s">
        <v>22</v>
      </c>
      <c r="E354" t="s">
        <v>18</v>
      </c>
      <c r="F354" t="s">
        <v>42</v>
      </c>
      <c r="G354" t="s">
        <v>43</v>
      </c>
      <c r="H354" s="5">
        <v>1149</v>
      </c>
      <c r="I354" s="5">
        <v>896.22</v>
      </c>
      <c r="J354" s="2">
        <v>0.1</v>
      </c>
      <c r="K354" s="5">
        <v>137.88000000000011</v>
      </c>
    </row>
    <row r="355" spans="1:11" x14ac:dyDescent="0.25">
      <c r="A355">
        <v>345</v>
      </c>
      <c r="B355" s="1">
        <v>42643</v>
      </c>
      <c r="C355" t="s">
        <v>41</v>
      </c>
      <c r="D355" t="s">
        <v>22</v>
      </c>
      <c r="E355" t="s">
        <v>18</v>
      </c>
      <c r="F355" t="s">
        <v>42</v>
      </c>
      <c r="G355" t="s">
        <v>43</v>
      </c>
      <c r="H355" s="5">
        <v>1149</v>
      </c>
      <c r="I355" s="5">
        <v>896.22</v>
      </c>
      <c r="J355" s="2">
        <v>0.2</v>
      </c>
      <c r="K355" s="5">
        <v>22.980000000000018</v>
      </c>
    </row>
    <row r="356" spans="1:11" x14ac:dyDescent="0.25">
      <c r="A356">
        <v>346</v>
      </c>
      <c r="B356" s="1">
        <v>42684</v>
      </c>
      <c r="C356" t="s">
        <v>31</v>
      </c>
      <c r="D356" t="s">
        <v>22</v>
      </c>
      <c r="E356" t="s">
        <v>18</v>
      </c>
      <c r="F356" t="s">
        <v>32</v>
      </c>
      <c r="G356" t="s">
        <v>33</v>
      </c>
      <c r="H356" s="5">
        <v>1199</v>
      </c>
      <c r="I356" s="5">
        <v>887.26</v>
      </c>
      <c r="J356" s="2">
        <v>0.2</v>
      </c>
      <c r="K356" s="5">
        <v>71.940000000000055</v>
      </c>
    </row>
    <row r="357" spans="1:11" x14ac:dyDescent="0.25">
      <c r="A357">
        <v>347</v>
      </c>
      <c r="B357" s="1">
        <v>42438</v>
      </c>
      <c r="C357" t="s">
        <v>85</v>
      </c>
      <c r="D357" t="s">
        <v>22</v>
      </c>
      <c r="E357" t="s">
        <v>86</v>
      </c>
      <c r="F357" t="s">
        <v>87</v>
      </c>
      <c r="G357" t="s">
        <v>15</v>
      </c>
      <c r="H357" s="5">
        <v>3999</v>
      </c>
      <c r="I357" s="5">
        <v>1399.6499999999999</v>
      </c>
      <c r="J357" s="2">
        <v>0.15</v>
      </c>
      <c r="K357" s="5">
        <v>1999.5000000000002</v>
      </c>
    </row>
    <row r="358" spans="1:11" x14ac:dyDescent="0.25">
      <c r="A358">
        <v>348</v>
      </c>
      <c r="B358" s="1">
        <v>42383</v>
      </c>
      <c r="C358" t="s">
        <v>41</v>
      </c>
      <c r="D358" t="s">
        <v>22</v>
      </c>
      <c r="E358" t="s">
        <v>18</v>
      </c>
      <c r="F358" t="s">
        <v>42</v>
      </c>
      <c r="G358" t="s">
        <v>43</v>
      </c>
      <c r="H358" s="5">
        <v>1149</v>
      </c>
      <c r="I358" s="5">
        <v>896.22</v>
      </c>
      <c r="J358" s="2">
        <v>0</v>
      </c>
      <c r="K358" s="5">
        <v>252.77999999999997</v>
      </c>
    </row>
    <row r="359" spans="1:11" x14ac:dyDescent="0.25">
      <c r="A359">
        <v>349</v>
      </c>
      <c r="B359" s="1">
        <v>42408</v>
      </c>
      <c r="C359" t="s">
        <v>44</v>
      </c>
      <c r="D359" t="s">
        <v>26</v>
      </c>
      <c r="E359" t="s">
        <v>45</v>
      </c>
      <c r="F359" t="s">
        <v>46</v>
      </c>
      <c r="G359" t="s">
        <v>15</v>
      </c>
      <c r="H359" s="5">
        <v>699</v>
      </c>
      <c r="I359" s="5">
        <v>531.24</v>
      </c>
      <c r="J359" s="2">
        <v>0</v>
      </c>
      <c r="K359" s="5">
        <v>167.76</v>
      </c>
    </row>
    <row r="360" spans="1:11" x14ac:dyDescent="0.25">
      <c r="A360">
        <v>350</v>
      </c>
      <c r="B360" s="1">
        <v>42575</v>
      </c>
      <c r="C360" t="s">
        <v>25</v>
      </c>
      <c r="D360" t="s">
        <v>26</v>
      </c>
      <c r="E360" t="s">
        <v>27</v>
      </c>
      <c r="F360" t="s">
        <v>28</v>
      </c>
      <c r="G360" t="s">
        <v>15</v>
      </c>
      <c r="H360" s="5">
        <v>1499</v>
      </c>
      <c r="I360" s="5">
        <v>794.47</v>
      </c>
      <c r="J360" s="2">
        <v>0.2</v>
      </c>
      <c r="K360" s="5">
        <v>404.73</v>
      </c>
    </row>
    <row r="361" spans="1:11" x14ac:dyDescent="0.25">
      <c r="A361">
        <v>351</v>
      </c>
      <c r="B361" s="1">
        <v>42520</v>
      </c>
      <c r="C361" t="s">
        <v>74</v>
      </c>
      <c r="D361" t="s">
        <v>12</v>
      </c>
      <c r="E361" t="s">
        <v>13</v>
      </c>
      <c r="F361" t="s">
        <v>75</v>
      </c>
      <c r="G361" t="s">
        <v>15</v>
      </c>
      <c r="H361" s="5">
        <v>2599</v>
      </c>
      <c r="I361" s="5">
        <v>1819.3</v>
      </c>
      <c r="J361" s="2">
        <v>0.2</v>
      </c>
      <c r="K361" s="5">
        <v>259.90000000000032</v>
      </c>
    </row>
    <row r="362" spans="1:11" x14ac:dyDescent="0.25">
      <c r="A362">
        <v>352</v>
      </c>
      <c r="B362" s="1">
        <v>42685</v>
      </c>
      <c r="C362" t="s">
        <v>41</v>
      </c>
      <c r="D362" t="s">
        <v>22</v>
      </c>
      <c r="E362" t="s">
        <v>18</v>
      </c>
      <c r="F362" t="s">
        <v>42</v>
      </c>
      <c r="G362" t="s">
        <v>43</v>
      </c>
      <c r="H362" s="5">
        <v>1149</v>
      </c>
      <c r="I362" s="5">
        <v>896.22</v>
      </c>
      <c r="J362" s="2">
        <v>0</v>
      </c>
      <c r="K362" s="5">
        <v>252.77999999999997</v>
      </c>
    </row>
    <row r="363" spans="1:11" x14ac:dyDescent="0.25">
      <c r="A363">
        <v>353</v>
      </c>
      <c r="B363" s="1">
        <v>42778</v>
      </c>
      <c r="C363" t="s">
        <v>11</v>
      </c>
      <c r="D363" t="s">
        <v>12</v>
      </c>
      <c r="E363" t="s">
        <v>13</v>
      </c>
      <c r="F363" t="s">
        <v>14</v>
      </c>
      <c r="G363" t="s">
        <v>15</v>
      </c>
      <c r="H363" s="5">
        <v>1299</v>
      </c>
      <c r="I363" s="5">
        <v>727.44</v>
      </c>
      <c r="J363" s="2">
        <v>0</v>
      </c>
      <c r="K363" s="5">
        <v>571.55999999999995</v>
      </c>
    </row>
    <row r="364" spans="1:11" x14ac:dyDescent="0.25">
      <c r="A364">
        <v>354</v>
      </c>
      <c r="B364" s="1">
        <v>42605</v>
      </c>
      <c r="C364" t="s">
        <v>81</v>
      </c>
      <c r="D364" t="s">
        <v>22</v>
      </c>
      <c r="E364" t="s">
        <v>18</v>
      </c>
      <c r="F364" t="s">
        <v>82</v>
      </c>
      <c r="G364" t="s">
        <v>78</v>
      </c>
      <c r="H364" s="5">
        <v>1299</v>
      </c>
      <c r="I364" s="5">
        <v>909.3</v>
      </c>
      <c r="J364" s="2">
        <v>0</v>
      </c>
      <c r="K364" s="5">
        <v>389.70000000000005</v>
      </c>
    </row>
    <row r="365" spans="1:11" x14ac:dyDescent="0.25">
      <c r="A365">
        <v>355</v>
      </c>
      <c r="B365" s="1">
        <v>42371</v>
      </c>
      <c r="C365" t="s">
        <v>41</v>
      </c>
      <c r="D365" t="s">
        <v>22</v>
      </c>
      <c r="E365" t="s">
        <v>18</v>
      </c>
      <c r="F365" t="s">
        <v>42</v>
      </c>
      <c r="G365" t="s">
        <v>43</v>
      </c>
      <c r="H365" s="5">
        <v>1149</v>
      </c>
      <c r="I365" s="5">
        <v>896.22</v>
      </c>
      <c r="J365" s="2">
        <v>0</v>
      </c>
      <c r="K365" s="5">
        <v>252.77999999999997</v>
      </c>
    </row>
    <row r="366" spans="1:11" x14ac:dyDescent="0.25">
      <c r="A366">
        <v>356</v>
      </c>
      <c r="B366" s="1">
        <v>42684</v>
      </c>
      <c r="C366" t="s">
        <v>72</v>
      </c>
      <c r="D366" t="s">
        <v>22</v>
      </c>
      <c r="E366" t="s">
        <v>18</v>
      </c>
      <c r="F366" t="s">
        <v>73</v>
      </c>
      <c r="G366" t="s">
        <v>69</v>
      </c>
      <c r="H366" s="5">
        <v>799</v>
      </c>
      <c r="I366" s="5">
        <v>535.33000000000004</v>
      </c>
      <c r="J366" s="2">
        <v>0.2</v>
      </c>
      <c r="K366" s="5">
        <v>103.87</v>
      </c>
    </row>
    <row r="367" spans="1:11" x14ac:dyDescent="0.25">
      <c r="A367">
        <v>357</v>
      </c>
      <c r="B367" s="1">
        <v>42479</v>
      </c>
      <c r="C367" t="s">
        <v>25</v>
      </c>
      <c r="D367" t="s">
        <v>26</v>
      </c>
      <c r="E367" t="s">
        <v>27</v>
      </c>
      <c r="F367" t="s">
        <v>28</v>
      </c>
      <c r="G367" t="s">
        <v>15</v>
      </c>
      <c r="H367" s="5">
        <v>1499</v>
      </c>
      <c r="I367" s="5">
        <v>794.47</v>
      </c>
      <c r="J367" s="2">
        <v>0.15</v>
      </c>
      <c r="K367" s="5">
        <v>479.67999999999984</v>
      </c>
    </row>
    <row r="368" spans="1:11" x14ac:dyDescent="0.25">
      <c r="A368">
        <v>358</v>
      </c>
      <c r="B368" s="1">
        <v>42388</v>
      </c>
      <c r="C368" t="s">
        <v>160</v>
      </c>
      <c r="D368" t="s">
        <v>26</v>
      </c>
      <c r="E368" t="s">
        <v>45</v>
      </c>
      <c r="F368" t="s">
        <v>161</v>
      </c>
      <c r="G368" t="s">
        <v>15</v>
      </c>
      <c r="H368" s="5">
        <v>399</v>
      </c>
      <c r="I368" s="5">
        <v>147.63</v>
      </c>
      <c r="J368" s="2">
        <v>0.15</v>
      </c>
      <c r="K368" s="5">
        <v>191.51999999999998</v>
      </c>
    </row>
    <row r="369" spans="1:11" x14ac:dyDescent="0.25">
      <c r="A369">
        <v>359</v>
      </c>
      <c r="B369" s="1">
        <v>42395</v>
      </c>
      <c r="C369" t="s">
        <v>11</v>
      </c>
      <c r="D369" t="s">
        <v>12</v>
      </c>
      <c r="E369" t="s">
        <v>13</v>
      </c>
      <c r="F369" t="s">
        <v>14</v>
      </c>
      <c r="G369" t="s">
        <v>15</v>
      </c>
      <c r="H369" s="5">
        <v>1299</v>
      </c>
      <c r="I369" s="5">
        <v>727.44</v>
      </c>
      <c r="J369" s="2">
        <v>0</v>
      </c>
      <c r="K369" s="5">
        <v>571.55999999999995</v>
      </c>
    </row>
    <row r="370" spans="1:11" x14ac:dyDescent="0.25">
      <c r="A370">
        <v>360</v>
      </c>
      <c r="B370" s="1">
        <v>42657</v>
      </c>
      <c r="C370" t="s">
        <v>85</v>
      </c>
      <c r="D370" t="s">
        <v>22</v>
      </c>
      <c r="E370" t="s">
        <v>86</v>
      </c>
      <c r="F370" t="s">
        <v>87</v>
      </c>
      <c r="G370" t="s">
        <v>15</v>
      </c>
      <c r="H370" s="5">
        <v>3999</v>
      </c>
      <c r="I370" s="5">
        <v>1399.6499999999999</v>
      </c>
      <c r="J370" s="2">
        <v>0.15</v>
      </c>
      <c r="K370" s="5">
        <v>1999.5000000000002</v>
      </c>
    </row>
    <row r="371" spans="1:11" x14ac:dyDescent="0.25">
      <c r="A371">
        <v>361</v>
      </c>
      <c r="B371" s="1">
        <v>42716</v>
      </c>
      <c r="C371" t="s">
        <v>41</v>
      </c>
      <c r="D371" t="s">
        <v>22</v>
      </c>
      <c r="E371" t="s">
        <v>18</v>
      </c>
      <c r="F371" t="s">
        <v>42</v>
      </c>
      <c r="G371" t="s">
        <v>43</v>
      </c>
      <c r="H371" s="5">
        <v>1149</v>
      </c>
      <c r="I371" s="5">
        <v>896.22</v>
      </c>
      <c r="J371" s="2">
        <v>0</v>
      </c>
      <c r="K371" s="5">
        <v>252.77999999999997</v>
      </c>
    </row>
    <row r="372" spans="1:11" x14ac:dyDescent="0.25">
      <c r="A372">
        <v>362</v>
      </c>
      <c r="B372" s="1">
        <v>42455</v>
      </c>
      <c r="C372" t="s">
        <v>138</v>
      </c>
      <c r="D372" t="s">
        <v>22</v>
      </c>
      <c r="E372" t="s">
        <v>86</v>
      </c>
      <c r="F372" t="s">
        <v>139</v>
      </c>
      <c r="G372" t="s">
        <v>15</v>
      </c>
      <c r="H372" s="5">
        <v>14399</v>
      </c>
      <c r="I372" s="5">
        <v>11375.210000000001</v>
      </c>
      <c r="J372" s="2">
        <v>0.2</v>
      </c>
      <c r="K372" s="5">
        <v>143.98999999999978</v>
      </c>
    </row>
    <row r="373" spans="1:11" x14ac:dyDescent="0.25">
      <c r="A373">
        <v>363</v>
      </c>
      <c r="B373" s="1">
        <v>42672</v>
      </c>
      <c r="C373" t="s">
        <v>31</v>
      </c>
      <c r="D373" t="s">
        <v>22</v>
      </c>
      <c r="E373" t="s">
        <v>18</v>
      </c>
      <c r="F373" t="s">
        <v>32</v>
      </c>
      <c r="G373" t="s">
        <v>33</v>
      </c>
      <c r="H373" s="5">
        <v>1199</v>
      </c>
      <c r="I373" s="5">
        <v>887.26</v>
      </c>
      <c r="J373" s="2">
        <v>0.15</v>
      </c>
      <c r="K373" s="5">
        <v>131.88999999999999</v>
      </c>
    </row>
    <row r="374" spans="1:11" x14ac:dyDescent="0.25">
      <c r="A374">
        <v>364</v>
      </c>
      <c r="B374" s="1">
        <v>42818</v>
      </c>
      <c r="C374" t="s">
        <v>31</v>
      </c>
      <c r="D374" t="s">
        <v>22</v>
      </c>
      <c r="E374" t="s">
        <v>18</v>
      </c>
      <c r="F374" t="s">
        <v>32</v>
      </c>
      <c r="G374" t="s">
        <v>33</v>
      </c>
      <c r="H374" s="5">
        <v>1199</v>
      </c>
      <c r="I374" s="5">
        <v>887.26</v>
      </c>
      <c r="J374" s="2">
        <v>0</v>
      </c>
      <c r="K374" s="5">
        <v>311.74</v>
      </c>
    </row>
    <row r="375" spans="1:11" x14ac:dyDescent="0.25">
      <c r="A375">
        <v>365</v>
      </c>
      <c r="B375" s="1">
        <v>42395</v>
      </c>
      <c r="C375" t="s">
        <v>25</v>
      </c>
      <c r="D375" t="s">
        <v>26</v>
      </c>
      <c r="E375" t="s">
        <v>27</v>
      </c>
      <c r="F375" t="s">
        <v>28</v>
      </c>
      <c r="G375" t="s">
        <v>15</v>
      </c>
      <c r="H375" s="5">
        <v>1499</v>
      </c>
      <c r="I375" s="5">
        <v>794.47</v>
      </c>
      <c r="J375" s="2">
        <v>0</v>
      </c>
      <c r="K375" s="5">
        <v>704.53</v>
      </c>
    </row>
    <row r="376" spans="1:11" x14ac:dyDescent="0.25">
      <c r="A376">
        <v>366</v>
      </c>
      <c r="B376" s="1">
        <v>42678</v>
      </c>
      <c r="C376" t="s">
        <v>160</v>
      </c>
      <c r="D376" t="s">
        <v>26</v>
      </c>
      <c r="E376" t="s">
        <v>45</v>
      </c>
      <c r="F376" t="s">
        <v>161</v>
      </c>
      <c r="G376" t="s">
        <v>15</v>
      </c>
      <c r="H376" s="5">
        <v>399</v>
      </c>
      <c r="I376" s="5">
        <v>147.63</v>
      </c>
      <c r="J376" s="2">
        <v>0</v>
      </c>
      <c r="K376" s="5">
        <v>251.37</v>
      </c>
    </row>
    <row r="377" spans="1:11" x14ac:dyDescent="0.25">
      <c r="A377">
        <v>367</v>
      </c>
      <c r="B377" s="1">
        <v>42404</v>
      </c>
      <c r="C377" t="s">
        <v>114</v>
      </c>
      <c r="D377" t="s">
        <v>22</v>
      </c>
      <c r="E377" t="s">
        <v>86</v>
      </c>
      <c r="F377" t="s">
        <v>115</v>
      </c>
      <c r="G377" t="s">
        <v>15</v>
      </c>
      <c r="H377" s="5">
        <v>7999</v>
      </c>
      <c r="I377" s="5">
        <v>5039.37</v>
      </c>
      <c r="J377" s="2">
        <v>0.15</v>
      </c>
      <c r="K377" s="5">
        <v>1759.7799999999997</v>
      </c>
    </row>
    <row r="378" spans="1:11" x14ac:dyDescent="0.25">
      <c r="A378">
        <v>368</v>
      </c>
      <c r="B378" s="1">
        <v>42575</v>
      </c>
      <c r="C378" t="s">
        <v>51</v>
      </c>
      <c r="D378" t="s">
        <v>22</v>
      </c>
      <c r="E378" t="s">
        <v>23</v>
      </c>
      <c r="F378" t="s">
        <v>52</v>
      </c>
      <c r="G378" t="s">
        <v>15</v>
      </c>
      <c r="H378" s="5">
        <v>599</v>
      </c>
      <c r="I378" s="5">
        <v>455.24</v>
      </c>
      <c r="J378" s="2">
        <v>0.2</v>
      </c>
      <c r="K378" s="5">
        <v>23.960000000000036</v>
      </c>
    </row>
    <row r="379" spans="1:11" x14ac:dyDescent="0.25">
      <c r="A379">
        <v>369</v>
      </c>
      <c r="B379" s="1">
        <v>42402</v>
      </c>
      <c r="C379" t="s">
        <v>140</v>
      </c>
      <c r="D379" t="s">
        <v>22</v>
      </c>
      <c r="E379" t="s">
        <v>18</v>
      </c>
      <c r="F379" t="s">
        <v>141</v>
      </c>
      <c r="G379" t="s">
        <v>43</v>
      </c>
      <c r="H379" s="5">
        <v>999</v>
      </c>
      <c r="I379" s="5">
        <v>809.19</v>
      </c>
      <c r="J379" s="2">
        <v>0.2</v>
      </c>
      <c r="K379" s="5">
        <v>-9.9900000000000091</v>
      </c>
    </row>
    <row r="380" spans="1:11" x14ac:dyDescent="0.25">
      <c r="A380">
        <v>370</v>
      </c>
      <c r="B380" s="1">
        <v>42506</v>
      </c>
      <c r="C380" t="s">
        <v>41</v>
      </c>
      <c r="D380" t="s">
        <v>22</v>
      </c>
      <c r="E380" t="s">
        <v>18</v>
      </c>
      <c r="F380" t="s">
        <v>42</v>
      </c>
      <c r="G380" t="s">
        <v>43</v>
      </c>
      <c r="H380" s="5">
        <v>1149</v>
      </c>
      <c r="I380" s="5">
        <v>896.22</v>
      </c>
      <c r="J380" s="2">
        <v>0.3</v>
      </c>
      <c r="K380" s="5">
        <v>-91.920000000000073</v>
      </c>
    </row>
    <row r="381" spans="1:11" x14ac:dyDescent="0.25">
      <c r="A381">
        <v>371</v>
      </c>
      <c r="B381" s="1">
        <v>42506</v>
      </c>
      <c r="C381" t="s">
        <v>162</v>
      </c>
      <c r="D381" t="s">
        <v>22</v>
      </c>
      <c r="E381" t="s">
        <v>23</v>
      </c>
      <c r="F381" t="s">
        <v>163</v>
      </c>
      <c r="G381" t="s">
        <v>15</v>
      </c>
      <c r="H381" s="5">
        <v>1299</v>
      </c>
      <c r="I381" s="5">
        <v>1065.1799999999998</v>
      </c>
      <c r="J381" s="2">
        <v>0.3</v>
      </c>
      <c r="K381" s="5">
        <v>-155.87999999999988</v>
      </c>
    </row>
    <row r="382" spans="1:11" x14ac:dyDescent="0.25">
      <c r="A382">
        <v>372</v>
      </c>
      <c r="B382" s="1">
        <v>42506</v>
      </c>
      <c r="C382" t="s">
        <v>31</v>
      </c>
      <c r="D382" t="s">
        <v>22</v>
      </c>
      <c r="E382" t="s">
        <v>18</v>
      </c>
      <c r="F382" t="s">
        <v>32</v>
      </c>
      <c r="G382" t="s">
        <v>33</v>
      </c>
      <c r="H382" s="5">
        <v>1199</v>
      </c>
      <c r="I382" s="5">
        <v>887.26</v>
      </c>
      <c r="J382" s="2">
        <v>0.3</v>
      </c>
      <c r="K382" s="5">
        <v>-47.960000000000036</v>
      </c>
    </row>
    <row r="383" spans="1:11" x14ac:dyDescent="0.25">
      <c r="A383">
        <v>373</v>
      </c>
      <c r="B383" s="1">
        <v>42455</v>
      </c>
      <c r="C383" t="s">
        <v>25</v>
      </c>
      <c r="D383" t="s">
        <v>26</v>
      </c>
      <c r="E383" t="s">
        <v>27</v>
      </c>
      <c r="F383" t="s">
        <v>28</v>
      </c>
      <c r="G383" t="s">
        <v>15</v>
      </c>
      <c r="H383" s="5">
        <v>1499</v>
      </c>
      <c r="I383" s="5">
        <v>794.47</v>
      </c>
      <c r="J383" s="2">
        <v>0.2</v>
      </c>
      <c r="K383" s="5">
        <v>404.73</v>
      </c>
    </row>
    <row r="384" spans="1:11" x14ac:dyDescent="0.25">
      <c r="A384">
        <v>374</v>
      </c>
      <c r="B384" s="1">
        <v>42392</v>
      </c>
      <c r="C384" t="s">
        <v>164</v>
      </c>
      <c r="D384" t="s">
        <v>22</v>
      </c>
      <c r="E384" t="s">
        <v>18</v>
      </c>
      <c r="F384" t="s">
        <v>165</v>
      </c>
      <c r="G384" t="s">
        <v>33</v>
      </c>
      <c r="H384" s="5">
        <v>899</v>
      </c>
      <c r="I384" s="5">
        <v>368.59</v>
      </c>
      <c r="J384" s="2">
        <v>0</v>
      </c>
      <c r="K384" s="5">
        <v>530.41000000000008</v>
      </c>
    </row>
    <row r="385" spans="1:11" x14ac:dyDescent="0.25">
      <c r="A385">
        <v>375</v>
      </c>
      <c r="B385" s="1">
        <v>42390</v>
      </c>
      <c r="C385" t="s">
        <v>126</v>
      </c>
      <c r="D385" t="s">
        <v>26</v>
      </c>
      <c r="E385" t="s">
        <v>27</v>
      </c>
      <c r="F385" t="s">
        <v>127</v>
      </c>
      <c r="G385" t="s">
        <v>15</v>
      </c>
      <c r="H385" s="5">
        <v>299</v>
      </c>
      <c r="I385" s="5">
        <v>179.4</v>
      </c>
      <c r="J385" s="2">
        <v>0</v>
      </c>
      <c r="K385" s="5">
        <v>119.6</v>
      </c>
    </row>
    <row r="386" spans="1:11" x14ac:dyDescent="0.25">
      <c r="A386">
        <v>376</v>
      </c>
      <c r="B386" s="1">
        <v>42582</v>
      </c>
      <c r="C386" t="s">
        <v>41</v>
      </c>
      <c r="D386" t="s">
        <v>22</v>
      </c>
      <c r="E386" t="s">
        <v>18</v>
      </c>
      <c r="F386" t="s">
        <v>42</v>
      </c>
      <c r="G386" t="s">
        <v>43</v>
      </c>
      <c r="H386" s="5">
        <v>1149</v>
      </c>
      <c r="I386" s="5">
        <v>896.22</v>
      </c>
      <c r="J386" s="2">
        <v>0</v>
      </c>
      <c r="K386" s="5">
        <v>252.77999999999997</v>
      </c>
    </row>
    <row r="387" spans="1:11" x14ac:dyDescent="0.25">
      <c r="A387">
        <v>377</v>
      </c>
      <c r="B387" s="1">
        <v>42697</v>
      </c>
      <c r="C387" t="s">
        <v>51</v>
      </c>
      <c r="D387" t="s">
        <v>22</v>
      </c>
      <c r="E387" t="s">
        <v>23</v>
      </c>
      <c r="F387" t="s">
        <v>52</v>
      </c>
      <c r="G387" t="s">
        <v>15</v>
      </c>
      <c r="H387" s="5">
        <v>599</v>
      </c>
      <c r="I387" s="5">
        <v>455.24</v>
      </c>
      <c r="J387" s="2">
        <v>0</v>
      </c>
      <c r="K387" s="5">
        <v>143.76</v>
      </c>
    </row>
    <row r="388" spans="1:11" x14ac:dyDescent="0.25">
      <c r="A388">
        <v>378</v>
      </c>
      <c r="B388" s="1">
        <v>42575</v>
      </c>
      <c r="C388" t="s">
        <v>31</v>
      </c>
      <c r="D388" t="s">
        <v>22</v>
      </c>
      <c r="E388" t="s">
        <v>18</v>
      </c>
      <c r="F388" t="s">
        <v>32</v>
      </c>
      <c r="G388" t="s">
        <v>33</v>
      </c>
      <c r="H388" s="5">
        <v>1199</v>
      </c>
      <c r="I388" s="5">
        <v>887.26</v>
      </c>
      <c r="J388" s="2">
        <v>0.2</v>
      </c>
      <c r="K388" s="5">
        <v>71.940000000000055</v>
      </c>
    </row>
    <row r="389" spans="1:11" x14ac:dyDescent="0.25">
      <c r="A389">
        <v>379</v>
      </c>
      <c r="B389" s="1">
        <v>42575</v>
      </c>
      <c r="C389" t="s">
        <v>31</v>
      </c>
      <c r="D389" t="s">
        <v>22</v>
      </c>
      <c r="E389" t="s">
        <v>18</v>
      </c>
      <c r="F389" t="s">
        <v>32</v>
      </c>
      <c r="G389" t="s">
        <v>33</v>
      </c>
      <c r="H389" s="5">
        <v>1199</v>
      </c>
      <c r="I389" s="5">
        <v>887.26</v>
      </c>
      <c r="J389" s="2">
        <v>0.2</v>
      </c>
      <c r="K389" s="5">
        <v>71.940000000000055</v>
      </c>
    </row>
    <row r="390" spans="1:11" x14ac:dyDescent="0.25">
      <c r="A390">
        <v>380</v>
      </c>
      <c r="B390" s="1">
        <v>42601</v>
      </c>
      <c r="C390" t="s">
        <v>51</v>
      </c>
      <c r="D390" t="s">
        <v>22</v>
      </c>
      <c r="E390" t="s">
        <v>23</v>
      </c>
      <c r="F390" t="s">
        <v>52</v>
      </c>
      <c r="G390" t="s">
        <v>15</v>
      </c>
      <c r="H390" s="5">
        <v>599</v>
      </c>
      <c r="I390" s="5">
        <v>455.24</v>
      </c>
      <c r="J390" s="2">
        <v>0.15</v>
      </c>
      <c r="K390" s="5">
        <v>53.909999999999968</v>
      </c>
    </row>
    <row r="391" spans="1:11" x14ac:dyDescent="0.25">
      <c r="A391">
        <v>381</v>
      </c>
      <c r="B391" s="1">
        <v>42787</v>
      </c>
      <c r="C391" t="s">
        <v>21</v>
      </c>
      <c r="D391" t="s">
        <v>22</v>
      </c>
      <c r="E391" t="s">
        <v>23</v>
      </c>
      <c r="F391" t="s">
        <v>24</v>
      </c>
      <c r="G391" t="s">
        <v>15</v>
      </c>
      <c r="H391" s="5">
        <v>359</v>
      </c>
      <c r="I391" s="5">
        <v>244.12</v>
      </c>
      <c r="J391" s="2">
        <v>0.1</v>
      </c>
      <c r="K391" s="5">
        <v>78.980000000000018</v>
      </c>
    </row>
    <row r="392" spans="1:11" x14ac:dyDescent="0.25">
      <c r="A392">
        <v>382</v>
      </c>
      <c r="B392" s="1">
        <v>42601</v>
      </c>
      <c r="C392" t="s">
        <v>25</v>
      </c>
      <c r="D392" t="s">
        <v>26</v>
      </c>
      <c r="E392" t="s">
        <v>27</v>
      </c>
      <c r="F392" t="s">
        <v>28</v>
      </c>
      <c r="G392" t="s">
        <v>15</v>
      </c>
      <c r="H392" s="5">
        <v>1499</v>
      </c>
      <c r="I392" s="5">
        <v>794.47</v>
      </c>
      <c r="J392" s="2">
        <v>0.15</v>
      </c>
      <c r="K392" s="5">
        <v>479.67999999999984</v>
      </c>
    </row>
    <row r="393" spans="1:11" x14ac:dyDescent="0.25">
      <c r="A393">
        <v>383</v>
      </c>
      <c r="B393" s="1">
        <v>42455</v>
      </c>
      <c r="C393" t="s">
        <v>166</v>
      </c>
      <c r="D393" t="s">
        <v>22</v>
      </c>
      <c r="E393" t="s">
        <v>18</v>
      </c>
      <c r="F393" t="s">
        <v>167</v>
      </c>
      <c r="G393" t="s">
        <v>168</v>
      </c>
      <c r="H393" s="5">
        <v>1149</v>
      </c>
      <c r="I393" s="5">
        <v>459.6</v>
      </c>
      <c r="J393" s="2">
        <v>0.2</v>
      </c>
      <c r="K393" s="5">
        <v>459.6</v>
      </c>
    </row>
    <row r="394" spans="1:11" x14ac:dyDescent="0.25">
      <c r="A394">
        <v>384</v>
      </c>
      <c r="B394" s="1">
        <v>42382</v>
      </c>
      <c r="C394" t="s">
        <v>169</v>
      </c>
      <c r="D394" t="s">
        <v>26</v>
      </c>
      <c r="E394" t="s">
        <v>27</v>
      </c>
      <c r="F394" t="s">
        <v>170</v>
      </c>
      <c r="G394" t="s">
        <v>15</v>
      </c>
      <c r="H394" s="5">
        <v>339</v>
      </c>
      <c r="I394" s="5">
        <v>274.59000000000003</v>
      </c>
      <c r="J394" s="2">
        <v>0</v>
      </c>
      <c r="K394" s="5">
        <v>64.409999999999968</v>
      </c>
    </row>
    <row r="395" spans="1:11" x14ac:dyDescent="0.25">
      <c r="A395">
        <v>385</v>
      </c>
      <c r="B395" s="1">
        <v>42566</v>
      </c>
      <c r="C395" t="s">
        <v>79</v>
      </c>
      <c r="D395" t="s">
        <v>26</v>
      </c>
      <c r="E395" t="s">
        <v>27</v>
      </c>
      <c r="F395" t="s">
        <v>80</v>
      </c>
      <c r="G395" t="s">
        <v>15</v>
      </c>
      <c r="H395" s="5">
        <v>499</v>
      </c>
      <c r="I395" s="5">
        <v>174.64999999999998</v>
      </c>
      <c r="J395" s="2">
        <v>0</v>
      </c>
      <c r="K395" s="5">
        <v>324.35000000000002</v>
      </c>
    </row>
    <row r="396" spans="1:11" x14ac:dyDescent="0.25">
      <c r="A396">
        <v>386</v>
      </c>
      <c r="B396" s="1">
        <v>42404</v>
      </c>
      <c r="C396" t="s">
        <v>41</v>
      </c>
      <c r="D396" t="s">
        <v>22</v>
      </c>
      <c r="E396" t="s">
        <v>18</v>
      </c>
      <c r="F396" t="s">
        <v>42</v>
      </c>
      <c r="G396" t="s">
        <v>43</v>
      </c>
      <c r="H396" s="5">
        <v>1149</v>
      </c>
      <c r="I396" s="5">
        <v>896.22</v>
      </c>
      <c r="J396" s="2">
        <v>0.15</v>
      </c>
      <c r="K396" s="5">
        <v>80.42999999999995</v>
      </c>
    </row>
    <row r="397" spans="1:11" x14ac:dyDescent="0.25">
      <c r="A397">
        <v>387</v>
      </c>
      <c r="B397" s="1">
        <v>42640</v>
      </c>
      <c r="C397" t="s">
        <v>63</v>
      </c>
      <c r="D397" t="s">
        <v>12</v>
      </c>
      <c r="E397" t="s">
        <v>35</v>
      </c>
      <c r="F397" t="s">
        <v>64</v>
      </c>
      <c r="G397" t="s">
        <v>15</v>
      </c>
      <c r="H397" s="5">
        <v>13999</v>
      </c>
      <c r="I397" s="5">
        <v>9659.31</v>
      </c>
      <c r="J397" s="2">
        <v>0</v>
      </c>
      <c r="K397" s="5">
        <v>4339.6900000000005</v>
      </c>
    </row>
    <row r="398" spans="1:11" x14ac:dyDescent="0.25">
      <c r="A398">
        <v>388</v>
      </c>
      <c r="B398" s="1">
        <v>42438</v>
      </c>
      <c r="C398" t="s">
        <v>81</v>
      </c>
      <c r="D398" t="s">
        <v>22</v>
      </c>
      <c r="E398" t="s">
        <v>18</v>
      </c>
      <c r="F398" t="s">
        <v>82</v>
      </c>
      <c r="G398" t="s">
        <v>78</v>
      </c>
      <c r="H398" s="5">
        <v>1299</v>
      </c>
      <c r="I398" s="5">
        <v>909.3</v>
      </c>
      <c r="J398" s="2">
        <v>0.15</v>
      </c>
      <c r="K398" s="5">
        <v>194.84999999999991</v>
      </c>
    </row>
    <row r="399" spans="1:11" x14ac:dyDescent="0.25">
      <c r="A399">
        <v>389</v>
      </c>
      <c r="B399" s="1">
        <v>42550</v>
      </c>
      <c r="C399" t="s">
        <v>114</v>
      </c>
      <c r="D399" t="s">
        <v>22</v>
      </c>
      <c r="E399" t="s">
        <v>86</v>
      </c>
      <c r="F399" t="s">
        <v>115</v>
      </c>
      <c r="G399" t="s">
        <v>15</v>
      </c>
      <c r="H399" s="5">
        <v>7999</v>
      </c>
      <c r="I399" s="5">
        <v>5039.37</v>
      </c>
      <c r="J399" s="2">
        <v>0</v>
      </c>
      <c r="K399" s="5">
        <v>2959.63</v>
      </c>
    </row>
    <row r="400" spans="1:11" x14ac:dyDescent="0.25">
      <c r="A400">
        <v>390</v>
      </c>
      <c r="B400" s="1">
        <v>42520</v>
      </c>
      <c r="C400" t="s">
        <v>124</v>
      </c>
      <c r="D400" t="s">
        <v>22</v>
      </c>
      <c r="E400" t="s">
        <v>86</v>
      </c>
      <c r="F400" t="s">
        <v>125</v>
      </c>
      <c r="G400" t="s">
        <v>15</v>
      </c>
      <c r="H400" s="5">
        <v>11999</v>
      </c>
      <c r="I400" s="5">
        <v>6119.49</v>
      </c>
      <c r="J400" s="2">
        <v>0.2</v>
      </c>
      <c r="K400" s="5">
        <v>3479.7100000000009</v>
      </c>
    </row>
    <row r="401" spans="1:11" x14ac:dyDescent="0.25">
      <c r="A401">
        <v>391</v>
      </c>
      <c r="B401" s="1">
        <v>42438</v>
      </c>
      <c r="C401" t="s">
        <v>79</v>
      </c>
      <c r="D401" t="s">
        <v>26</v>
      </c>
      <c r="E401" t="s">
        <v>27</v>
      </c>
      <c r="F401" t="s">
        <v>80</v>
      </c>
      <c r="G401" t="s">
        <v>15</v>
      </c>
      <c r="H401" s="5">
        <v>499</v>
      </c>
      <c r="I401" s="5">
        <v>174.64999999999998</v>
      </c>
      <c r="J401" s="2">
        <v>0.15</v>
      </c>
      <c r="K401" s="5">
        <v>249.5</v>
      </c>
    </row>
    <row r="402" spans="1:11" x14ac:dyDescent="0.25">
      <c r="A402">
        <v>392</v>
      </c>
      <c r="B402" s="1">
        <v>42503</v>
      </c>
      <c r="C402" t="s">
        <v>16</v>
      </c>
      <c r="D402" t="s">
        <v>22</v>
      </c>
      <c r="E402" t="s">
        <v>18</v>
      </c>
      <c r="F402" t="s">
        <v>19</v>
      </c>
      <c r="G402" t="s">
        <v>20</v>
      </c>
      <c r="H402" s="5">
        <v>1149</v>
      </c>
      <c r="I402" s="5">
        <v>792.81</v>
      </c>
      <c r="J402" s="2">
        <v>0</v>
      </c>
      <c r="K402" s="5">
        <v>356.19000000000005</v>
      </c>
    </row>
    <row r="403" spans="1:11" x14ac:dyDescent="0.25">
      <c r="A403">
        <v>393</v>
      </c>
      <c r="B403" s="1">
        <v>42717</v>
      </c>
      <c r="C403" t="s">
        <v>21</v>
      </c>
      <c r="D403" t="s">
        <v>22</v>
      </c>
      <c r="E403" t="s">
        <v>23</v>
      </c>
      <c r="F403" t="s">
        <v>24</v>
      </c>
      <c r="G403" t="s">
        <v>15</v>
      </c>
      <c r="H403" s="5">
        <v>359</v>
      </c>
      <c r="I403" s="5">
        <v>244.12</v>
      </c>
      <c r="J403" s="2">
        <v>0</v>
      </c>
      <c r="K403" s="5">
        <v>114.88</v>
      </c>
    </row>
    <row r="404" spans="1:11" x14ac:dyDescent="0.25">
      <c r="A404">
        <v>394</v>
      </c>
      <c r="B404" s="1">
        <v>42672</v>
      </c>
      <c r="C404" t="s">
        <v>41</v>
      </c>
      <c r="D404" t="s">
        <v>22</v>
      </c>
      <c r="E404" t="s">
        <v>18</v>
      </c>
      <c r="F404" t="s">
        <v>42</v>
      </c>
      <c r="G404" t="s">
        <v>43</v>
      </c>
      <c r="H404" s="5">
        <v>1149</v>
      </c>
      <c r="I404" s="5">
        <v>896.22</v>
      </c>
      <c r="J404" s="2">
        <v>0.15</v>
      </c>
      <c r="K404" s="5">
        <v>80.42999999999995</v>
      </c>
    </row>
    <row r="405" spans="1:11" x14ac:dyDescent="0.25">
      <c r="A405">
        <v>395</v>
      </c>
      <c r="B405" s="1">
        <v>42787</v>
      </c>
      <c r="C405" t="s">
        <v>41</v>
      </c>
      <c r="D405" t="s">
        <v>22</v>
      </c>
      <c r="E405" t="s">
        <v>18</v>
      </c>
      <c r="F405" t="s">
        <v>42</v>
      </c>
      <c r="G405" t="s">
        <v>43</v>
      </c>
      <c r="H405" s="5">
        <v>1149</v>
      </c>
      <c r="I405" s="5">
        <v>896.22</v>
      </c>
      <c r="J405" s="2">
        <v>0.1</v>
      </c>
      <c r="K405" s="5">
        <v>137.88000000000011</v>
      </c>
    </row>
    <row r="406" spans="1:11" x14ac:dyDescent="0.25">
      <c r="A406">
        <v>396</v>
      </c>
      <c r="B406" s="1">
        <v>42735</v>
      </c>
      <c r="C406" t="s">
        <v>122</v>
      </c>
      <c r="D406" t="s">
        <v>22</v>
      </c>
      <c r="E406" t="s">
        <v>23</v>
      </c>
      <c r="F406" t="s">
        <v>123</v>
      </c>
      <c r="G406" t="s">
        <v>15</v>
      </c>
      <c r="H406" s="5">
        <v>999</v>
      </c>
      <c r="I406" s="5">
        <v>569.42999999999995</v>
      </c>
      <c r="J406" s="2">
        <v>0</v>
      </c>
      <c r="K406" s="5">
        <v>429.57000000000005</v>
      </c>
    </row>
    <row r="407" spans="1:11" x14ac:dyDescent="0.25">
      <c r="A407">
        <v>397</v>
      </c>
      <c r="B407" s="1">
        <v>42530</v>
      </c>
      <c r="C407" t="s">
        <v>41</v>
      </c>
      <c r="D407" t="s">
        <v>22</v>
      </c>
      <c r="E407" t="s">
        <v>18</v>
      </c>
      <c r="F407" t="s">
        <v>42</v>
      </c>
      <c r="G407" t="s">
        <v>43</v>
      </c>
      <c r="H407" s="5">
        <v>1149</v>
      </c>
      <c r="I407" s="5">
        <v>896.22</v>
      </c>
      <c r="J407" s="2">
        <v>0</v>
      </c>
      <c r="K407" s="5">
        <v>252.77999999999997</v>
      </c>
    </row>
    <row r="408" spans="1:11" x14ac:dyDescent="0.25">
      <c r="A408">
        <v>398</v>
      </c>
      <c r="B408" s="1">
        <v>42506</v>
      </c>
      <c r="C408" t="s">
        <v>85</v>
      </c>
      <c r="D408" t="s">
        <v>22</v>
      </c>
      <c r="E408" t="s">
        <v>86</v>
      </c>
      <c r="F408" t="s">
        <v>87</v>
      </c>
      <c r="G408" t="s">
        <v>15</v>
      </c>
      <c r="H408" s="5">
        <v>3999</v>
      </c>
      <c r="I408" s="5">
        <v>1399.6499999999999</v>
      </c>
      <c r="J408" s="2">
        <v>0.3</v>
      </c>
      <c r="K408" s="5">
        <v>1399.6499999999999</v>
      </c>
    </row>
    <row r="409" spans="1:11" x14ac:dyDescent="0.25">
      <c r="A409">
        <v>399</v>
      </c>
      <c r="B409" s="1">
        <v>42657</v>
      </c>
      <c r="C409" t="s">
        <v>70</v>
      </c>
      <c r="D409" t="s">
        <v>26</v>
      </c>
      <c r="E409" t="s">
        <v>45</v>
      </c>
      <c r="F409" t="s">
        <v>71</v>
      </c>
      <c r="G409" t="s">
        <v>15</v>
      </c>
      <c r="H409" s="5">
        <v>449</v>
      </c>
      <c r="I409" s="5">
        <v>161.63999999999999</v>
      </c>
      <c r="J409" s="2">
        <v>0.15</v>
      </c>
      <c r="K409" s="5">
        <v>220.01</v>
      </c>
    </row>
    <row r="410" spans="1:11" x14ac:dyDescent="0.25">
      <c r="A410">
        <v>400</v>
      </c>
      <c r="B410" s="1">
        <v>42520</v>
      </c>
      <c r="C410" t="s">
        <v>31</v>
      </c>
      <c r="D410" t="s">
        <v>22</v>
      </c>
      <c r="E410" t="s">
        <v>18</v>
      </c>
      <c r="F410" t="s">
        <v>32</v>
      </c>
      <c r="G410" t="s">
        <v>33</v>
      </c>
      <c r="H410" s="5">
        <v>1199</v>
      </c>
      <c r="I410" s="5">
        <v>887.26</v>
      </c>
      <c r="J410" s="2">
        <v>0.2</v>
      </c>
      <c r="K410" s="5">
        <v>71.940000000000055</v>
      </c>
    </row>
    <row r="411" spans="1:11" x14ac:dyDescent="0.25">
      <c r="A411">
        <v>401</v>
      </c>
      <c r="B411" s="1">
        <v>42721</v>
      </c>
      <c r="C411" t="s">
        <v>156</v>
      </c>
      <c r="D411" t="s">
        <v>22</v>
      </c>
      <c r="E411" t="s">
        <v>23</v>
      </c>
      <c r="F411" t="s">
        <v>157</v>
      </c>
      <c r="G411" t="s">
        <v>15</v>
      </c>
      <c r="H411" s="5">
        <v>399</v>
      </c>
      <c r="I411" s="5">
        <v>239.39999999999998</v>
      </c>
      <c r="J411" s="2">
        <v>0</v>
      </c>
      <c r="K411" s="5">
        <v>159.60000000000002</v>
      </c>
    </row>
    <row r="412" spans="1:11" x14ac:dyDescent="0.25">
      <c r="A412">
        <v>402</v>
      </c>
      <c r="B412" s="1">
        <v>42529</v>
      </c>
      <c r="C412" t="s">
        <v>171</v>
      </c>
      <c r="D412" t="s">
        <v>26</v>
      </c>
      <c r="E412" t="s">
        <v>45</v>
      </c>
      <c r="F412" t="s">
        <v>172</v>
      </c>
      <c r="G412" t="s">
        <v>15</v>
      </c>
      <c r="H412" s="5">
        <v>799</v>
      </c>
      <c r="I412" s="5">
        <v>679.15</v>
      </c>
      <c r="J412" s="2">
        <v>0</v>
      </c>
      <c r="K412" s="5">
        <v>119.85000000000002</v>
      </c>
    </row>
    <row r="413" spans="1:11" x14ac:dyDescent="0.25">
      <c r="A413">
        <v>403</v>
      </c>
      <c r="B413" s="1">
        <v>42479</v>
      </c>
      <c r="C413" t="s">
        <v>136</v>
      </c>
      <c r="D413" t="s">
        <v>12</v>
      </c>
      <c r="E413" t="s">
        <v>35</v>
      </c>
      <c r="F413" t="s">
        <v>137</v>
      </c>
      <c r="G413" t="s">
        <v>15</v>
      </c>
      <c r="H413" s="5">
        <v>7599</v>
      </c>
      <c r="I413" s="5">
        <v>2735.64</v>
      </c>
      <c r="J413" s="2">
        <v>0.15</v>
      </c>
      <c r="K413" s="5">
        <v>3723.5099999999998</v>
      </c>
    </row>
    <row r="414" spans="1:11" x14ac:dyDescent="0.25">
      <c r="A414">
        <v>404</v>
      </c>
      <c r="B414" s="1">
        <v>42575</v>
      </c>
      <c r="C414" t="s">
        <v>31</v>
      </c>
      <c r="D414" t="s">
        <v>22</v>
      </c>
      <c r="E414" t="s">
        <v>18</v>
      </c>
      <c r="F414" t="s">
        <v>32</v>
      </c>
      <c r="G414" t="s">
        <v>33</v>
      </c>
      <c r="H414" s="5">
        <v>1199</v>
      </c>
      <c r="I414" s="5">
        <v>887.26</v>
      </c>
      <c r="J414" s="2">
        <v>0.2</v>
      </c>
      <c r="K414" s="5">
        <v>71.940000000000055</v>
      </c>
    </row>
    <row r="415" spans="1:11" x14ac:dyDescent="0.25">
      <c r="A415">
        <v>405</v>
      </c>
      <c r="B415" s="1">
        <v>42396</v>
      </c>
      <c r="C415" t="s">
        <v>112</v>
      </c>
      <c r="D415" t="s">
        <v>22</v>
      </c>
      <c r="E415" t="s">
        <v>23</v>
      </c>
      <c r="F415" t="s">
        <v>113</v>
      </c>
      <c r="G415" t="s">
        <v>15</v>
      </c>
      <c r="H415" s="5">
        <v>459</v>
      </c>
      <c r="I415" s="5">
        <v>325.89</v>
      </c>
      <c r="J415" s="2">
        <v>0</v>
      </c>
      <c r="K415" s="5">
        <v>133.11000000000001</v>
      </c>
    </row>
    <row r="416" spans="1:11" x14ac:dyDescent="0.25">
      <c r="A416">
        <v>406</v>
      </c>
      <c r="B416" s="1">
        <v>42708</v>
      </c>
      <c r="C416" t="s">
        <v>61</v>
      </c>
      <c r="D416" t="s">
        <v>26</v>
      </c>
      <c r="E416" t="s">
        <v>45</v>
      </c>
      <c r="F416" t="s">
        <v>62</v>
      </c>
      <c r="G416" t="s">
        <v>15</v>
      </c>
      <c r="H416" s="5">
        <v>799</v>
      </c>
      <c r="I416" s="5">
        <v>679.15</v>
      </c>
      <c r="J416" s="2">
        <v>0</v>
      </c>
      <c r="K416" s="5">
        <v>119.85000000000002</v>
      </c>
    </row>
    <row r="417" spans="1:11" x14ac:dyDescent="0.25">
      <c r="A417">
        <v>407</v>
      </c>
      <c r="B417" s="1">
        <v>42630</v>
      </c>
      <c r="C417" t="s">
        <v>41</v>
      </c>
      <c r="D417" t="s">
        <v>22</v>
      </c>
      <c r="E417" t="s">
        <v>18</v>
      </c>
      <c r="F417" t="s">
        <v>42</v>
      </c>
      <c r="G417" t="s">
        <v>43</v>
      </c>
      <c r="H417" s="5">
        <v>1149</v>
      </c>
      <c r="I417" s="5">
        <v>896.22</v>
      </c>
      <c r="J417" s="2">
        <v>0</v>
      </c>
      <c r="K417" s="5">
        <v>252.77999999999997</v>
      </c>
    </row>
    <row r="418" spans="1:11" x14ac:dyDescent="0.25">
      <c r="A418">
        <v>408</v>
      </c>
      <c r="B418" s="1">
        <v>42657</v>
      </c>
      <c r="C418" t="s">
        <v>74</v>
      </c>
      <c r="D418" t="s">
        <v>12</v>
      </c>
      <c r="E418" t="s">
        <v>13</v>
      </c>
      <c r="F418" t="s">
        <v>75</v>
      </c>
      <c r="G418" t="s">
        <v>15</v>
      </c>
      <c r="H418" s="5">
        <v>2599</v>
      </c>
      <c r="I418" s="5">
        <v>1819.3</v>
      </c>
      <c r="J418" s="2">
        <v>0.15</v>
      </c>
      <c r="K418" s="5">
        <v>389.85000000000014</v>
      </c>
    </row>
    <row r="419" spans="1:11" x14ac:dyDescent="0.25">
      <c r="A419">
        <v>409</v>
      </c>
      <c r="B419" s="1">
        <v>42388</v>
      </c>
      <c r="C419" t="s">
        <v>72</v>
      </c>
      <c r="D419" t="s">
        <v>22</v>
      </c>
      <c r="E419" t="s">
        <v>18</v>
      </c>
      <c r="F419" t="s">
        <v>73</v>
      </c>
      <c r="G419" t="s">
        <v>69</v>
      </c>
      <c r="H419" s="5">
        <v>799</v>
      </c>
      <c r="I419" s="5">
        <v>535.33000000000004</v>
      </c>
      <c r="J419" s="2">
        <v>0.15</v>
      </c>
      <c r="K419" s="5">
        <v>143.81999999999994</v>
      </c>
    </row>
    <row r="420" spans="1:11" x14ac:dyDescent="0.25">
      <c r="A420">
        <v>410</v>
      </c>
      <c r="B420" s="1">
        <v>42647</v>
      </c>
      <c r="C420" t="s">
        <v>25</v>
      </c>
      <c r="D420" t="s">
        <v>26</v>
      </c>
      <c r="E420" t="s">
        <v>27</v>
      </c>
      <c r="F420" t="s">
        <v>28</v>
      </c>
      <c r="G420" t="s">
        <v>15</v>
      </c>
      <c r="H420" s="5">
        <v>1499</v>
      </c>
      <c r="I420" s="5">
        <v>794.47</v>
      </c>
      <c r="J420" s="2">
        <v>0</v>
      </c>
      <c r="K420" s="5">
        <v>704.53</v>
      </c>
    </row>
    <row r="421" spans="1:11" x14ac:dyDescent="0.25">
      <c r="A421">
        <v>411</v>
      </c>
      <c r="B421" s="1">
        <v>42672</v>
      </c>
      <c r="C421" t="s">
        <v>47</v>
      </c>
      <c r="D421" t="s">
        <v>26</v>
      </c>
      <c r="E421" t="s">
        <v>27</v>
      </c>
      <c r="F421" t="s">
        <v>48</v>
      </c>
      <c r="G421" t="s">
        <v>15</v>
      </c>
      <c r="H421" s="5">
        <v>699</v>
      </c>
      <c r="I421" s="5">
        <v>482.30999999999995</v>
      </c>
      <c r="J421" s="2">
        <v>0.15</v>
      </c>
      <c r="K421" s="5">
        <v>111.84000000000003</v>
      </c>
    </row>
    <row r="422" spans="1:11" x14ac:dyDescent="0.25">
      <c r="A422">
        <v>412</v>
      </c>
      <c r="B422" s="1">
        <v>42512</v>
      </c>
      <c r="C422" t="s">
        <v>162</v>
      </c>
      <c r="D422" t="s">
        <v>22</v>
      </c>
      <c r="E422" t="s">
        <v>23</v>
      </c>
      <c r="F422" t="s">
        <v>163</v>
      </c>
      <c r="G422" t="s">
        <v>15</v>
      </c>
      <c r="H422" s="5">
        <v>1299</v>
      </c>
      <c r="I422" s="5">
        <v>1065.1799999999998</v>
      </c>
      <c r="J422" s="2">
        <v>0.15</v>
      </c>
      <c r="K422" s="5">
        <v>38.970000000000027</v>
      </c>
    </row>
    <row r="423" spans="1:11" x14ac:dyDescent="0.25">
      <c r="A423">
        <v>413</v>
      </c>
      <c r="B423" s="1">
        <v>42506</v>
      </c>
      <c r="C423" t="s">
        <v>51</v>
      </c>
      <c r="D423" t="s">
        <v>22</v>
      </c>
      <c r="E423" t="s">
        <v>23</v>
      </c>
      <c r="F423" t="s">
        <v>52</v>
      </c>
      <c r="G423" t="s">
        <v>15</v>
      </c>
      <c r="H423" s="5">
        <v>599</v>
      </c>
      <c r="I423" s="5">
        <v>455.24</v>
      </c>
      <c r="J423" s="2">
        <v>0.3</v>
      </c>
      <c r="K423" s="5">
        <v>-35.940000000000055</v>
      </c>
    </row>
    <row r="424" spans="1:11" x14ac:dyDescent="0.25">
      <c r="A424">
        <v>414</v>
      </c>
      <c r="B424" s="1">
        <v>42640</v>
      </c>
      <c r="C424" t="s">
        <v>120</v>
      </c>
      <c r="D424" t="s">
        <v>22</v>
      </c>
      <c r="E424" t="s">
        <v>23</v>
      </c>
      <c r="F424" t="s">
        <v>121</v>
      </c>
      <c r="G424" t="s">
        <v>15</v>
      </c>
      <c r="H424" s="5">
        <v>169</v>
      </c>
      <c r="I424" s="5">
        <v>130.13</v>
      </c>
      <c r="J424" s="2">
        <v>0</v>
      </c>
      <c r="K424" s="5">
        <v>38.870000000000005</v>
      </c>
    </row>
    <row r="425" spans="1:11" x14ac:dyDescent="0.25">
      <c r="A425">
        <v>415</v>
      </c>
      <c r="B425" s="1">
        <v>42546</v>
      </c>
      <c r="C425" t="s">
        <v>90</v>
      </c>
      <c r="D425" t="s">
        <v>12</v>
      </c>
      <c r="E425" t="s">
        <v>35</v>
      </c>
      <c r="F425" t="s">
        <v>91</v>
      </c>
      <c r="G425" t="s">
        <v>15</v>
      </c>
      <c r="H425" s="5">
        <v>6999</v>
      </c>
      <c r="I425" s="5">
        <v>4829.3099999999995</v>
      </c>
      <c r="J425" s="2">
        <v>0.2</v>
      </c>
      <c r="K425" s="5">
        <v>769.89000000000124</v>
      </c>
    </row>
    <row r="426" spans="1:11" x14ac:dyDescent="0.25">
      <c r="A426">
        <v>416</v>
      </c>
      <c r="B426" s="1">
        <v>42631</v>
      </c>
      <c r="C426" t="s">
        <v>134</v>
      </c>
      <c r="D426" t="s">
        <v>22</v>
      </c>
      <c r="E426" t="s">
        <v>18</v>
      </c>
      <c r="F426" t="s">
        <v>135</v>
      </c>
      <c r="G426" t="s">
        <v>33</v>
      </c>
      <c r="H426" s="5">
        <v>409</v>
      </c>
      <c r="I426" s="5">
        <v>237.21999999999997</v>
      </c>
      <c r="J426" s="2">
        <v>0.1</v>
      </c>
      <c r="K426" s="5">
        <v>130.88000000000005</v>
      </c>
    </row>
    <row r="427" spans="1:11" x14ac:dyDescent="0.25">
      <c r="A427">
        <v>417</v>
      </c>
      <c r="B427" s="1">
        <v>42424</v>
      </c>
      <c r="C427" t="s">
        <v>85</v>
      </c>
      <c r="D427" t="s">
        <v>22</v>
      </c>
      <c r="E427" t="s">
        <v>86</v>
      </c>
      <c r="F427" t="s">
        <v>87</v>
      </c>
      <c r="G427" t="s">
        <v>15</v>
      </c>
      <c r="H427" s="5">
        <v>3999</v>
      </c>
      <c r="I427" s="5">
        <v>1399.6499999999999</v>
      </c>
      <c r="J427" s="2">
        <v>0.15</v>
      </c>
      <c r="K427" s="5">
        <v>1999.5000000000002</v>
      </c>
    </row>
    <row r="428" spans="1:11" x14ac:dyDescent="0.25">
      <c r="A428">
        <v>418</v>
      </c>
      <c r="B428" s="1">
        <v>42663</v>
      </c>
      <c r="C428" t="s">
        <v>21</v>
      </c>
      <c r="D428" t="s">
        <v>22</v>
      </c>
      <c r="E428" t="s">
        <v>23</v>
      </c>
      <c r="F428" t="s">
        <v>24</v>
      </c>
      <c r="G428" t="s">
        <v>15</v>
      </c>
      <c r="H428" s="5">
        <v>359</v>
      </c>
      <c r="I428" s="5">
        <v>244.12</v>
      </c>
      <c r="J428" s="2">
        <v>0</v>
      </c>
      <c r="K428" s="5">
        <v>114.88</v>
      </c>
    </row>
    <row r="429" spans="1:11" x14ac:dyDescent="0.25">
      <c r="A429">
        <v>419</v>
      </c>
      <c r="B429" s="1">
        <v>42388</v>
      </c>
      <c r="C429" t="s">
        <v>67</v>
      </c>
      <c r="D429" t="s">
        <v>22</v>
      </c>
      <c r="E429" t="s">
        <v>18</v>
      </c>
      <c r="F429" t="s">
        <v>68</v>
      </c>
      <c r="G429" t="s">
        <v>69</v>
      </c>
      <c r="H429" s="5">
        <v>199</v>
      </c>
      <c r="I429" s="5">
        <v>81.589999999999989</v>
      </c>
      <c r="J429" s="2">
        <v>0.15</v>
      </c>
      <c r="K429" s="5">
        <v>87.560000000000016</v>
      </c>
    </row>
    <row r="430" spans="1:11" x14ac:dyDescent="0.25">
      <c r="A430">
        <v>420</v>
      </c>
      <c r="B430" s="1">
        <v>42416</v>
      </c>
      <c r="C430" t="s">
        <v>134</v>
      </c>
      <c r="D430" t="s">
        <v>22</v>
      </c>
      <c r="E430" t="s">
        <v>18</v>
      </c>
      <c r="F430" t="s">
        <v>135</v>
      </c>
      <c r="G430" t="s">
        <v>33</v>
      </c>
      <c r="H430" s="5">
        <v>409</v>
      </c>
      <c r="I430" s="5">
        <v>237.21999999999997</v>
      </c>
      <c r="J430" s="2">
        <v>0</v>
      </c>
      <c r="K430" s="5">
        <v>171.78000000000003</v>
      </c>
    </row>
    <row r="431" spans="1:11" x14ac:dyDescent="0.25">
      <c r="A431">
        <v>421</v>
      </c>
      <c r="B431" s="1">
        <v>42752</v>
      </c>
      <c r="C431" t="s">
        <v>21</v>
      </c>
      <c r="D431" t="s">
        <v>22</v>
      </c>
      <c r="E431" t="s">
        <v>23</v>
      </c>
      <c r="F431" t="s">
        <v>24</v>
      </c>
      <c r="G431" t="s">
        <v>15</v>
      </c>
      <c r="H431" s="5">
        <v>359</v>
      </c>
      <c r="I431" s="5">
        <v>244.12</v>
      </c>
      <c r="J431" s="2">
        <v>0</v>
      </c>
      <c r="K431" s="5">
        <v>114.88</v>
      </c>
    </row>
    <row r="432" spans="1:11" x14ac:dyDescent="0.25">
      <c r="A432">
        <v>422</v>
      </c>
      <c r="B432" s="1">
        <v>42519</v>
      </c>
      <c r="C432" t="s">
        <v>102</v>
      </c>
      <c r="D432" t="s">
        <v>22</v>
      </c>
      <c r="E432" t="s">
        <v>18</v>
      </c>
      <c r="F432" t="s">
        <v>103</v>
      </c>
      <c r="G432" t="s">
        <v>33</v>
      </c>
      <c r="H432" s="5">
        <v>899</v>
      </c>
      <c r="I432" s="5">
        <v>440.51</v>
      </c>
      <c r="J432" s="2">
        <v>0</v>
      </c>
      <c r="K432" s="5">
        <v>458.49</v>
      </c>
    </row>
    <row r="433" spans="1:11" x14ac:dyDescent="0.25">
      <c r="A433">
        <v>423</v>
      </c>
      <c r="B433" s="1">
        <v>42618</v>
      </c>
      <c r="C433" t="s">
        <v>21</v>
      </c>
      <c r="D433" t="s">
        <v>22</v>
      </c>
      <c r="E433" t="s">
        <v>23</v>
      </c>
      <c r="F433" t="s">
        <v>24</v>
      </c>
      <c r="G433" t="s">
        <v>15</v>
      </c>
      <c r="H433" s="5">
        <v>359</v>
      </c>
      <c r="I433" s="5">
        <v>244.12</v>
      </c>
      <c r="J433" s="2">
        <v>0</v>
      </c>
      <c r="K433" s="5">
        <v>114.88</v>
      </c>
    </row>
    <row r="434" spans="1:11" x14ac:dyDescent="0.25">
      <c r="A434">
        <v>424</v>
      </c>
      <c r="B434" s="1">
        <v>42397</v>
      </c>
      <c r="C434" t="s">
        <v>85</v>
      </c>
      <c r="D434" t="s">
        <v>22</v>
      </c>
      <c r="E434" t="s">
        <v>86</v>
      </c>
      <c r="F434" t="s">
        <v>87</v>
      </c>
      <c r="G434" t="s">
        <v>15</v>
      </c>
      <c r="H434" s="5">
        <v>3999</v>
      </c>
      <c r="I434" s="5">
        <v>1399.6499999999999</v>
      </c>
      <c r="J434" s="2">
        <v>0</v>
      </c>
      <c r="K434" s="5">
        <v>2599.3500000000004</v>
      </c>
    </row>
    <row r="435" spans="1:11" x14ac:dyDescent="0.25">
      <c r="A435">
        <v>425</v>
      </c>
      <c r="B435" s="1">
        <v>42419</v>
      </c>
      <c r="C435" t="s">
        <v>63</v>
      </c>
      <c r="D435" t="s">
        <v>12</v>
      </c>
      <c r="E435" t="s">
        <v>35</v>
      </c>
      <c r="F435" t="s">
        <v>64</v>
      </c>
      <c r="G435" t="s">
        <v>15</v>
      </c>
      <c r="H435" s="5">
        <v>13999</v>
      </c>
      <c r="I435" s="5">
        <v>9659.31</v>
      </c>
      <c r="J435" s="2">
        <v>0</v>
      </c>
      <c r="K435" s="5">
        <v>4339.6900000000005</v>
      </c>
    </row>
    <row r="436" spans="1:11" x14ac:dyDescent="0.25">
      <c r="A436">
        <v>426</v>
      </c>
      <c r="B436" s="1">
        <v>42455</v>
      </c>
      <c r="C436" t="s">
        <v>21</v>
      </c>
      <c r="D436" t="s">
        <v>22</v>
      </c>
      <c r="E436" t="s">
        <v>23</v>
      </c>
      <c r="F436" t="s">
        <v>24</v>
      </c>
      <c r="G436" t="s">
        <v>15</v>
      </c>
      <c r="H436" s="5">
        <v>359</v>
      </c>
      <c r="I436" s="5">
        <v>244.12</v>
      </c>
      <c r="J436" s="2">
        <v>0.2</v>
      </c>
      <c r="K436" s="5">
        <v>43.079999999999984</v>
      </c>
    </row>
    <row r="437" spans="1:11" x14ac:dyDescent="0.25">
      <c r="A437">
        <v>427</v>
      </c>
      <c r="B437" s="1">
        <v>42620</v>
      </c>
      <c r="C437" t="s">
        <v>51</v>
      </c>
      <c r="D437" t="s">
        <v>22</v>
      </c>
      <c r="E437" t="s">
        <v>23</v>
      </c>
      <c r="F437" t="s">
        <v>52</v>
      </c>
      <c r="G437" t="s">
        <v>15</v>
      </c>
      <c r="H437" s="5">
        <v>599</v>
      </c>
      <c r="I437" s="5">
        <v>455.24</v>
      </c>
      <c r="J437" s="2">
        <v>0</v>
      </c>
      <c r="K437" s="5">
        <v>143.76</v>
      </c>
    </row>
    <row r="438" spans="1:11" x14ac:dyDescent="0.25">
      <c r="A438">
        <v>428</v>
      </c>
      <c r="B438" s="1">
        <v>42512</v>
      </c>
      <c r="C438" t="s">
        <v>16</v>
      </c>
      <c r="D438" t="s">
        <v>22</v>
      </c>
      <c r="E438" t="s">
        <v>18</v>
      </c>
      <c r="F438" t="s">
        <v>19</v>
      </c>
      <c r="G438" t="s">
        <v>20</v>
      </c>
      <c r="H438" s="5">
        <v>1149</v>
      </c>
      <c r="I438" s="5">
        <v>792.81</v>
      </c>
      <c r="J438" s="2">
        <v>0.15</v>
      </c>
      <c r="K438" s="5">
        <v>183.84000000000003</v>
      </c>
    </row>
    <row r="439" spans="1:11" x14ac:dyDescent="0.25">
      <c r="A439">
        <v>429</v>
      </c>
      <c r="B439" s="1">
        <v>42520</v>
      </c>
      <c r="C439" t="s">
        <v>41</v>
      </c>
      <c r="D439" t="s">
        <v>22</v>
      </c>
      <c r="E439" t="s">
        <v>18</v>
      </c>
      <c r="F439" t="s">
        <v>42</v>
      </c>
      <c r="G439" t="s">
        <v>43</v>
      </c>
      <c r="H439" s="5">
        <v>1149</v>
      </c>
      <c r="I439" s="5">
        <v>896.22</v>
      </c>
      <c r="J439" s="2">
        <v>0.2</v>
      </c>
      <c r="K439" s="5">
        <v>22.980000000000018</v>
      </c>
    </row>
    <row r="440" spans="1:11" x14ac:dyDescent="0.25">
      <c r="A440">
        <v>430</v>
      </c>
      <c r="B440" s="1">
        <v>42455</v>
      </c>
      <c r="C440" t="s">
        <v>85</v>
      </c>
      <c r="D440" t="s">
        <v>22</v>
      </c>
      <c r="E440" t="s">
        <v>86</v>
      </c>
      <c r="F440" t="s">
        <v>87</v>
      </c>
      <c r="G440" t="s">
        <v>15</v>
      </c>
      <c r="H440" s="5">
        <v>3999</v>
      </c>
      <c r="I440" s="5">
        <v>1399.6499999999999</v>
      </c>
      <c r="J440" s="2">
        <v>0.2</v>
      </c>
      <c r="K440" s="5">
        <v>1799.5500000000004</v>
      </c>
    </row>
    <row r="441" spans="1:11" x14ac:dyDescent="0.25">
      <c r="A441">
        <v>431</v>
      </c>
      <c r="B441" s="1">
        <v>42623</v>
      </c>
      <c r="C441" t="s">
        <v>63</v>
      </c>
      <c r="D441" t="s">
        <v>12</v>
      </c>
      <c r="E441" t="s">
        <v>35</v>
      </c>
      <c r="F441" t="s">
        <v>64</v>
      </c>
      <c r="G441" t="s">
        <v>15</v>
      </c>
      <c r="H441" s="5">
        <v>13999</v>
      </c>
      <c r="I441" s="5">
        <v>9659.31</v>
      </c>
      <c r="J441" s="2">
        <v>0</v>
      </c>
      <c r="K441" s="5">
        <v>4339.6900000000005</v>
      </c>
    </row>
    <row r="442" spans="1:11" x14ac:dyDescent="0.25">
      <c r="A442">
        <v>432</v>
      </c>
      <c r="B442" s="1">
        <v>42796</v>
      </c>
      <c r="C442" t="s">
        <v>61</v>
      </c>
      <c r="D442" t="s">
        <v>26</v>
      </c>
      <c r="E442" t="s">
        <v>45</v>
      </c>
      <c r="F442" t="s">
        <v>62</v>
      </c>
      <c r="G442" t="s">
        <v>15</v>
      </c>
      <c r="H442" s="5">
        <v>799</v>
      </c>
      <c r="I442" s="5">
        <v>679.15</v>
      </c>
      <c r="J442" s="2">
        <v>0</v>
      </c>
      <c r="K442" s="5">
        <v>119.85000000000002</v>
      </c>
    </row>
    <row r="443" spans="1:11" x14ac:dyDescent="0.25">
      <c r="A443">
        <v>433</v>
      </c>
      <c r="B443" s="1">
        <v>42536</v>
      </c>
      <c r="C443" t="s">
        <v>31</v>
      </c>
      <c r="D443" t="s">
        <v>22</v>
      </c>
      <c r="E443" t="s">
        <v>18</v>
      </c>
      <c r="F443" t="s">
        <v>32</v>
      </c>
      <c r="G443" t="s">
        <v>33</v>
      </c>
      <c r="H443" s="5">
        <v>1199</v>
      </c>
      <c r="I443" s="5">
        <v>887.26</v>
      </c>
      <c r="J443" s="2">
        <v>0</v>
      </c>
      <c r="K443" s="5">
        <v>311.74</v>
      </c>
    </row>
    <row r="444" spans="1:11" x14ac:dyDescent="0.25">
      <c r="A444">
        <v>434</v>
      </c>
      <c r="B444" s="1">
        <v>42657</v>
      </c>
      <c r="C444" t="s">
        <v>16</v>
      </c>
      <c r="D444" t="s">
        <v>22</v>
      </c>
      <c r="E444" t="s">
        <v>18</v>
      </c>
      <c r="F444" t="s">
        <v>19</v>
      </c>
      <c r="G444" t="s">
        <v>20</v>
      </c>
      <c r="H444" s="5">
        <v>1149</v>
      </c>
      <c r="I444" s="5">
        <v>792.81</v>
      </c>
      <c r="J444" s="2">
        <v>0.15</v>
      </c>
      <c r="K444" s="5">
        <v>183.84000000000003</v>
      </c>
    </row>
    <row r="445" spans="1:11" x14ac:dyDescent="0.25">
      <c r="A445">
        <v>435</v>
      </c>
      <c r="B445" s="1">
        <v>42506</v>
      </c>
      <c r="C445" t="s">
        <v>41</v>
      </c>
      <c r="D445" t="s">
        <v>22</v>
      </c>
      <c r="E445" t="s">
        <v>18</v>
      </c>
      <c r="F445" t="s">
        <v>42</v>
      </c>
      <c r="G445" t="s">
        <v>43</v>
      </c>
      <c r="H445" s="5">
        <v>1149</v>
      </c>
      <c r="I445" s="5">
        <v>896.22</v>
      </c>
      <c r="J445" s="2">
        <v>0.3</v>
      </c>
      <c r="K445" s="5">
        <v>-91.920000000000073</v>
      </c>
    </row>
    <row r="446" spans="1:11" x14ac:dyDescent="0.25">
      <c r="A446">
        <v>436</v>
      </c>
      <c r="B446" s="1">
        <v>42579</v>
      </c>
      <c r="C446" t="s">
        <v>31</v>
      </c>
      <c r="D446" t="s">
        <v>22</v>
      </c>
      <c r="E446" t="s">
        <v>18</v>
      </c>
      <c r="F446" t="s">
        <v>32</v>
      </c>
      <c r="G446" t="s">
        <v>33</v>
      </c>
      <c r="H446" s="5">
        <v>1199</v>
      </c>
      <c r="I446" s="5">
        <v>887.26</v>
      </c>
      <c r="J446" s="2">
        <v>0</v>
      </c>
      <c r="K446" s="5">
        <v>311.74</v>
      </c>
    </row>
    <row r="447" spans="1:11" x14ac:dyDescent="0.25">
      <c r="A447">
        <v>437</v>
      </c>
      <c r="B447" s="1">
        <v>42512</v>
      </c>
      <c r="C447" t="s">
        <v>85</v>
      </c>
      <c r="D447" t="s">
        <v>22</v>
      </c>
      <c r="E447" t="s">
        <v>86</v>
      </c>
      <c r="F447" t="s">
        <v>87</v>
      </c>
      <c r="G447" t="s">
        <v>15</v>
      </c>
      <c r="H447" s="5">
        <v>3999</v>
      </c>
      <c r="I447" s="5">
        <v>1399.6499999999999</v>
      </c>
      <c r="J447" s="2">
        <v>0.15</v>
      </c>
      <c r="K447" s="5">
        <v>1999.5000000000002</v>
      </c>
    </row>
    <row r="448" spans="1:11" x14ac:dyDescent="0.25">
      <c r="A448">
        <v>438</v>
      </c>
      <c r="B448" s="1">
        <v>42438</v>
      </c>
      <c r="C448" t="s">
        <v>53</v>
      </c>
      <c r="D448" t="s">
        <v>22</v>
      </c>
      <c r="E448" t="s">
        <v>18</v>
      </c>
      <c r="F448" t="s">
        <v>54</v>
      </c>
      <c r="G448" t="s">
        <v>33</v>
      </c>
      <c r="H448" s="5">
        <v>1299</v>
      </c>
      <c r="I448" s="5">
        <v>766.41</v>
      </c>
      <c r="J448" s="2">
        <v>0.15</v>
      </c>
      <c r="K448" s="5">
        <v>337.7399999999999</v>
      </c>
    </row>
    <row r="449" spans="1:11" x14ac:dyDescent="0.25">
      <c r="A449">
        <v>439</v>
      </c>
      <c r="B449" s="1">
        <v>42631</v>
      </c>
      <c r="C449" t="s">
        <v>53</v>
      </c>
      <c r="D449" t="s">
        <v>22</v>
      </c>
      <c r="E449" t="s">
        <v>18</v>
      </c>
      <c r="F449" t="s">
        <v>54</v>
      </c>
      <c r="G449" t="s">
        <v>33</v>
      </c>
      <c r="H449" s="5">
        <v>1299</v>
      </c>
      <c r="I449" s="5">
        <v>766.41</v>
      </c>
      <c r="J449" s="2">
        <v>0.1</v>
      </c>
      <c r="K449" s="5">
        <v>402.69000000000017</v>
      </c>
    </row>
    <row r="450" spans="1:11" x14ac:dyDescent="0.25">
      <c r="A450">
        <v>440</v>
      </c>
      <c r="B450" s="1">
        <v>42506</v>
      </c>
      <c r="C450" t="s">
        <v>25</v>
      </c>
      <c r="D450" t="s">
        <v>26</v>
      </c>
      <c r="E450" t="s">
        <v>27</v>
      </c>
      <c r="F450" t="s">
        <v>28</v>
      </c>
      <c r="G450" t="s">
        <v>15</v>
      </c>
      <c r="H450" s="5">
        <v>1499</v>
      </c>
      <c r="I450" s="5">
        <v>794.47</v>
      </c>
      <c r="J450" s="2">
        <v>0.3</v>
      </c>
      <c r="K450" s="5">
        <v>254.82999999999993</v>
      </c>
    </row>
    <row r="451" spans="1:11" x14ac:dyDescent="0.25">
      <c r="A451">
        <v>441</v>
      </c>
      <c r="B451" s="1">
        <v>42388</v>
      </c>
      <c r="C451" t="s">
        <v>29</v>
      </c>
      <c r="D451" t="s">
        <v>26</v>
      </c>
      <c r="E451" t="s">
        <v>27</v>
      </c>
      <c r="F451" t="s">
        <v>30</v>
      </c>
      <c r="G451" t="s">
        <v>15</v>
      </c>
      <c r="H451" s="5">
        <v>259</v>
      </c>
      <c r="I451" s="5">
        <v>220.15</v>
      </c>
      <c r="J451" s="2">
        <v>0.15</v>
      </c>
      <c r="K451" s="5">
        <v>0</v>
      </c>
    </row>
    <row r="452" spans="1:11" x14ac:dyDescent="0.25">
      <c r="A452">
        <v>442</v>
      </c>
      <c r="B452" s="1">
        <v>42519</v>
      </c>
      <c r="C452" t="s">
        <v>162</v>
      </c>
      <c r="D452" t="s">
        <v>22</v>
      </c>
      <c r="E452" t="s">
        <v>23</v>
      </c>
      <c r="F452" t="s">
        <v>163</v>
      </c>
      <c r="G452" t="s">
        <v>15</v>
      </c>
      <c r="H452" s="5">
        <v>1299</v>
      </c>
      <c r="I452" s="5">
        <v>1065.1799999999998</v>
      </c>
      <c r="J452" s="2">
        <v>0</v>
      </c>
      <c r="K452" s="5">
        <v>233.82000000000016</v>
      </c>
    </row>
    <row r="453" spans="1:11" x14ac:dyDescent="0.25">
      <c r="A453">
        <v>443</v>
      </c>
      <c r="B453" s="1">
        <v>42643</v>
      </c>
      <c r="C453" t="s">
        <v>51</v>
      </c>
      <c r="D453" t="s">
        <v>22</v>
      </c>
      <c r="E453" t="s">
        <v>23</v>
      </c>
      <c r="F453" t="s">
        <v>52</v>
      </c>
      <c r="G453" t="s">
        <v>15</v>
      </c>
      <c r="H453" s="5">
        <v>599</v>
      </c>
      <c r="I453" s="5">
        <v>455.24</v>
      </c>
      <c r="J453" s="2">
        <v>0.2</v>
      </c>
      <c r="K453" s="5">
        <v>23.960000000000036</v>
      </c>
    </row>
    <row r="454" spans="1:11" x14ac:dyDescent="0.25">
      <c r="A454">
        <v>444</v>
      </c>
      <c r="B454" s="1">
        <v>42454</v>
      </c>
      <c r="C454" t="s">
        <v>94</v>
      </c>
      <c r="D454" t="s">
        <v>26</v>
      </c>
      <c r="E454" t="s">
        <v>45</v>
      </c>
      <c r="F454" t="s">
        <v>95</v>
      </c>
      <c r="G454" t="s">
        <v>15</v>
      </c>
      <c r="H454" s="5">
        <v>819</v>
      </c>
      <c r="I454" s="5">
        <v>319.41000000000003</v>
      </c>
      <c r="J454" s="2">
        <v>0.15</v>
      </c>
      <c r="K454" s="5">
        <v>376.73999999999995</v>
      </c>
    </row>
    <row r="455" spans="1:11" x14ac:dyDescent="0.25">
      <c r="A455">
        <v>445</v>
      </c>
      <c r="B455" s="1">
        <v>42749</v>
      </c>
      <c r="C455" t="s">
        <v>47</v>
      </c>
      <c r="D455" t="s">
        <v>26</v>
      </c>
      <c r="E455" t="s">
        <v>27</v>
      </c>
      <c r="F455" t="s">
        <v>48</v>
      </c>
      <c r="G455" t="s">
        <v>15</v>
      </c>
      <c r="H455" s="5">
        <v>699</v>
      </c>
      <c r="I455" s="5">
        <v>482.30999999999995</v>
      </c>
      <c r="J455" s="2">
        <v>0</v>
      </c>
      <c r="K455" s="5">
        <v>216.69000000000005</v>
      </c>
    </row>
    <row r="456" spans="1:11" x14ac:dyDescent="0.25">
      <c r="A456">
        <v>446</v>
      </c>
      <c r="B456" s="1">
        <v>42693</v>
      </c>
      <c r="C456" t="s">
        <v>21</v>
      </c>
      <c r="D456" t="s">
        <v>22</v>
      </c>
      <c r="E456" t="s">
        <v>23</v>
      </c>
      <c r="F456" t="s">
        <v>24</v>
      </c>
      <c r="G456" t="s">
        <v>15</v>
      </c>
      <c r="H456" s="5">
        <v>359</v>
      </c>
      <c r="I456" s="5">
        <v>244.12</v>
      </c>
      <c r="J456" s="2">
        <v>0</v>
      </c>
      <c r="K456" s="5">
        <v>114.88</v>
      </c>
    </row>
    <row r="457" spans="1:11" x14ac:dyDescent="0.25">
      <c r="A457">
        <v>447</v>
      </c>
      <c r="B457" s="1">
        <v>42424</v>
      </c>
      <c r="C457" t="s">
        <v>85</v>
      </c>
      <c r="D457" t="s">
        <v>22</v>
      </c>
      <c r="E457" t="s">
        <v>86</v>
      </c>
      <c r="F457" t="s">
        <v>87</v>
      </c>
      <c r="G457" t="s">
        <v>15</v>
      </c>
      <c r="H457" s="5">
        <v>3999</v>
      </c>
      <c r="I457" s="5">
        <v>1399.6499999999999</v>
      </c>
      <c r="J457" s="2">
        <v>0.15</v>
      </c>
      <c r="K457" s="5">
        <v>1999.5000000000002</v>
      </c>
    </row>
    <row r="458" spans="1:11" x14ac:dyDescent="0.25">
      <c r="A458">
        <v>448</v>
      </c>
      <c r="B458" s="1">
        <v>42769</v>
      </c>
      <c r="C458" t="s">
        <v>41</v>
      </c>
      <c r="D458" t="s">
        <v>22</v>
      </c>
      <c r="E458" t="s">
        <v>18</v>
      </c>
      <c r="F458" t="s">
        <v>42</v>
      </c>
      <c r="G458" t="s">
        <v>43</v>
      </c>
      <c r="H458" s="5">
        <v>1149</v>
      </c>
      <c r="I458" s="5">
        <v>896.22</v>
      </c>
      <c r="J458" s="2">
        <v>0</v>
      </c>
      <c r="K458" s="5">
        <v>252.77999999999997</v>
      </c>
    </row>
    <row r="459" spans="1:11" x14ac:dyDescent="0.25">
      <c r="A459">
        <v>449</v>
      </c>
      <c r="B459" s="1">
        <v>42631</v>
      </c>
      <c r="C459" t="s">
        <v>51</v>
      </c>
      <c r="D459" t="s">
        <v>22</v>
      </c>
      <c r="E459" t="s">
        <v>23</v>
      </c>
      <c r="F459" t="s">
        <v>52</v>
      </c>
      <c r="G459" t="s">
        <v>15</v>
      </c>
      <c r="H459" s="5">
        <v>599</v>
      </c>
      <c r="I459" s="5">
        <v>455.24</v>
      </c>
      <c r="J459" s="2">
        <v>0.1</v>
      </c>
      <c r="K459" s="5">
        <v>83.860000000000014</v>
      </c>
    </row>
    <row r="460" spans="1:11" x14ac:dyDescent="0.25">
      <c r="A460">
        <v>450</v>
      </c>
      <c r="B460" s="1">
        <v>42643</v>
      </c>
      <c r="C460" t="s">
        <v>134</v>
      </c>
      <c r="D460" t="s">
        <v>22</v>
      </c>
      <c r="E460" t="s">
        <v>18</v>
      </c>
      <c r="F460" t="s">
        <v>135</v>
      </c>
      <c r="G460" t="s">
        <v>33</v>
      </c>
      <c r="H460" s="5">
        <v>409</v>
      </c>
      <c r="I460" s="5">
        <v>237.21999999999997</v>
      </c>
      <c r="J460" s="2">
        <v>0.2</v>
      </c>
      <c r="K460" s="5">
        <v>89.980000000000075</v>
      </c>
    </row>
    <row r="461" spans="1:11" x14ac:dyDescent="0.25">
      <c r="A461">
        <v>451</v>
      </c>
      <c r="B461" s="1">
        <v>42404</v>
      </c>
      <c r="C461" t="s">
        <v>11</v>
      </c>
      <c r="D461" t="s">
        <v>12</v>
      </c>
      <c r="E461" t="s">
        <v>13</v>
      </c>
      <c r="F461" t="s">
        <v>14</v>
      </c>
      <c r="G461" t="s">
        <v>15</v>
      </c>
      <c r="H461" s="5">
        <v>1299</v>
      </c>
      <c r="I461" s="5">
        <v>727.44</v>
      </c>
      <c r="J461" s="2">
        <v>0.15</v>
      </c>
      <c r="K461" s="5">
        <v>376.70999999999981</v>
      </c>
    </row>
    <row r="462" spans="1:11" x14ac:dyDescent="0.25">
      <c r="A462">
        <v>452</v>
      </c>
      <c r="B462" s="1">
        <v>42454</v>
      </c>
      <c r="C462" t="s">
        <v>148</v>
      </c>
      <c r="D462" t="s">
        <v>22</v>
      </c>
      <c r="E462" t="s">
        <v>18</v>
      </c>
      <c r="F462" t="s">
        <v>149</v>
      </c>
      <c r="G462" t="s">
        <v>33</v>
      </c>
      <c r="H462" s="5">
        <v>899</v>
      </c>
      <c r="I462" s="5">
        <v>719.2</v>
      </c>
      <c r="J462" s="2">
        <v>0.15</v>
      </c>
      <c r="K462" s="5">
        <v>44.949999999999932</v>
      </c>
    </row>
    <row r="463" spans="1:11" x14ac:dyDescent="0.25">
      <c r="A463">
        <v>453</v>
      </c>
      <c r="B463" s="1">
        <v>42631</v>
      </c>
      <c r="C463" t="s">
        <v>31</v>
      </c>
      <c r="D463" t="s">
        <v>22</v>
      </c>
      <c r="E463" t="s">
        <v>18</v>
      </c>
      <c r="F463" t="s">
        <v>32</v>
      </c>
      <c r="G463" t="s">
        <v>33</v>
      </c>
      <c r="H463" s="5">
        <v>1199</v>
      </c>
      <c r="I463" s="5">
        <v>887.26</v>
      </c>
      <c r="J463" s="2">
        <v>0.1</v>
      </c>
      <c r="K463" s="5">
        <v>191.84000000000015</v>
      </c>
    </row>
    <row r="464" spans="1:11" x14ac:dyDescent="0.25">
      <c r="A464">
        <v>454</v>
      </c>
      <c r="B464" s="1">
        <v>42693</v>
      </c>
      <c r="C464" t="s">
        <v>41</v>
      </c>
      <c r="D464" t="s">
        <v>22</v>
      </c>
      <c r="E464" t="s">
        <v>18</v>
      </c>
      <c r="F464" t="s">
        <v>42</v>
      </c>
      <c r="G464" t="s">
        <v>43</v>
      </c>
      <c r="H464" s="5">
        <v>1149</v>
      </c>
      <c r="I464" s="5">
        <v>896.22</v>
      </c>
      <c r="J464" s="2">
        <v>0</v>
      </c>
      <c r="K464" s="5">
        <v>252.77999999999997</v>
      </c>
    </row>
    <row r="465" spans="1:11" x14ac:dyDescent="0.25">
      <c r="A465">
        <v>455</v>
      </c>
      <c r="B465" s="1">
        <v>42493</v>
      </c>
      <c r="C465" t="s">
        <v>41</v>
      </c>
      <c r="D465" t="s">
        <v>22</v>
      </c>
      <c r="E465" t="s">
        <v>18</v>
      </c>
      <c r="F465" t="s">
        <v>42</v>
      </c>
      <c r="G465" t="s">
        <v>43</v>
      </c>
      <c r="H465" s="5">
        <v>1149</v>
      </c>
      <c r="I465" s="5">
        <v>896.22</v>
      </c>
      <c r="J465" s="2">
        <v>0</v>
      </c>
      <c r="K465" s="5">
        <v>252.77999999999997</v>
      </c>
    </row>
    <row r="466" spans="1:11" x14ac:dyDescent="0.25">
      <c r="A466">
        <v>456</v>
      </c>
      <c r="B466" s="1">
        <v>42665</v>
      </c>
      <c r="C466" t="s">
        <v>173</v>
      </c>
      <c r="D466" t="s">
        <v>22</v>
      </c>
      <c r="E466" t="s">
        <v>18</v>
      </c>
      <c r="F466" t="s">
        <v>174</v>
      </c>
      <c r="G466" t="s">
        <v>43</v>
      </c>
      <c r="H466" s="5">
        <v>1199</v>
      </c>
      <c r="I466" s="5">
        <v>971.19</v>
      </c>
      <c r="J466" s="2">
        <v>0</v>
      </c>
      <c r="K466" s="5">
        <v>227.80999999999995</v>
      </c>
    </row>
    <row r="467" spans="1:11" x14ac:dyDescent="0.25">
      <c r="A467">
        <v>457</v>
      </c>
      <c r="B467" s="1">
        <v>42657</v>
      </c>
      <c r="C467" t="s">
        <v>41</v>
      </c>
      <c r="D467" t="s">
        <v>22</v>
      </c>
      <c r="E467" t="s">
        <v>18</v>
      </c>
      <c r="F467" t="s">
        <v>42</v>
      </c>
      <c r="G467" t="s">
        <v>43</v>
      </c>
      <c r="H467" s="5">
        <v>1149</v>
      </c>
      <c r="I467" s="5">
        <v>896.22</v>
      </c>
      <c r="J467" s="2">
        <v>0.15</v>
      </c>
      <c r="K467" s="5">
        <v>80.42999999999995</v>
      </c>
    </row>
    <row r="468" spans="1:11" x14ac:dyDescent="0.25">
      <c r="A468">
        <v>458</v>
      </c>
      <c r="B468" s="1">
        <v>42814</v>
      </c>
      <c r="C468" t="s">
        <v>175</v>
      </c>
      <c r="D468" t="s">
        <v>26</v>
      </c>
      <c r="E468" t="s">
        <v>27</v>
      </c>
      <c r="F468" t="s">
        <v>176</v>
      </c>
      <c r="G468" t="s">
        <v>15</v>
      </c>
      <c r="H468" s="5">
        <v>699</v>
      </c>
      <c r="I468" s="5">
        <v>307.56</v>
      </c>
      <c r="J468" s="2">
        <v>0</v>
      </c>
      <c r="K468" s="5">
        <v>391.44</v>
      </c>
    </row>
    <row r="469" spans="1:11" x14ac:dyDescent="0.25">
      <c r="A469">
        <v>459</v>
      </c>
      <c r="B469" s="1">
        <v>42696</v>
      </c>
      <c r="C469" t="s">
        <v>41</v>
      </c>
      <c r="D469" t="s">
        <v>22</v>
      </c>
      <c r="E469" t="s">
        <v>18</v>
      </c>
      <c r="F469" t="s">
        <v>42</v>
      </c>
      <c r="G469" t="s">
        <v>43</v>
      </c>
      <c r="H469" s="5">
        <v>1149</v>
      </c>
      <c r="I469" s="5">
        <v>896.22</v>
      </c>
      <c r="J469" s="2">
        <v>0</v>
      </c>
      <c r="K469" s="5">
        <v>252.77999999999997</v>
      </c>
    </row>
    <row r="470" spans="1:11" x14ac:dyDescent="0.25">
      <c r="A470">
        <v>460</v>
      </c>
      <c r="B470" s="1">
        <v>42485</v>
      </c>
      <c r="C470" t="s">
        <v>177</v>
      </c>
      <c r="D470" t="s">
        <v>12</v>
      </c>
      <c r="E470" t="s">
        <v>13</v>
      </c>
      <c r="F470" t="s">
        <v>178</v>
      </c>
      <c r="G470" t="s">
        <v>15</v>
      </c>
      <c r="H470" s="5">
        <v>999</v>
      </c>
      <c r="I470" s="5">
        <v>489.51</v>
      </c>
      <c r="J470" s="2">
        <v>0</v>
      </c>
      <c r="K470" s="5">
        <v>509.49</v>
      </c>
    </row>
    <row r="471" spans="1:11" x14ac:dyDescent="0.25">
      <c r="A471">
        <v>461</v>
      </c>
      <c r="B471" s="1">
        <v>42546</v>
      </c>
      <c r="C471" t="s">
        <v>171</v>
      </c>
      <c r="D471" t="s">
        <v>26</v>
      </c>
      <c r="E471" t="s">
        <v>45</v>
      </c>
      <c r="F471" t="s">
        <v>172</v>
      </c>
      <c r="G471" t="s">
        <v>15</v>
      </c>
      <c r="H471" s="5">
        <v>799</v>
      </c>
      <c r="I471" s="5">
        <v>679.15</v>
      </c>
      <c r="J471" s="2">
        <v>0.2</v>
      </c>
      <c r="K471" s="5">
        <v>-39.949999999999932</v>
      </c>
    </row>
    <row r="472" spans="1:11" x14ac:dyDescent="0.25">
      <c r="A472">
        <v>462</v>
      </c>
      <c r="B472" s="1">
        <v>42697</v>
      </c>
      <c r="C472" t="s">
        <v>25</v>
      </c>
      <c r="D472" t="s">
        <v>26</v>
      </c>
      <c r="E472" t="s">
        <v>27</v>
      </c>
      <c r="F472" t="s">
        <v>28</v>
      </c>
      <c r="G472" t="s">
        <v>15</v>
      </c>
      <c r="H472" s="5">
        <v>1499</v>
      </c>
      <c r="I472" s="5">
        <v>794.47</v>
      </c>
      <c r="J472" s="2">
        <v>0</v>
      </c>
      <c r="K472" s="5">
        <v>704.53</v>
      </c>
    </row>
    <row r="473" spans="1:11" x14ac:dyDescent="0.25">
      <c r="A473">
        <v>463</v>
      </c>
      <c r="B473" s="1">
        <v>42638</v>
      </c>
      <c r="C473" t="s">
        <v>128</v>
      </c>
      <c r="D473" t="s">
        <v>26</v>
      </c>
      <c r="E473" t="s">
        <v>45</v>
      </c>
      <c r="F473" t="s">
        <v>129</v>
      </c>
      <c r="G473" t="s">
        <v>15</v>
      </c>
      <c r="H473" s="5">
        <v>399</v>
      </c>
      <c r="I473" s="5">
        <v>323.19</v>
      </c>
      <c r="J473" s="2">
        <v>0</v>
      </c>
      <c r="K473" s="5">
        <v>75.81</v>
      </c>
    </row>
    <row r="474" spans="1:11" x14ac:dyDescent="0.25">
      <c r="A474">
        <v>464</v>
      </c>
      <c r="B474" s="1">
        <v>42822</v>
      </c>
      <c r="C474" t="s">
        <v>88</v>
      </c>
      <c r="D474" t="s">
        <v>22</v>
      </c>
      <c r="E474" t="s">
        <v>86</v>
      </c>
      <c r="F474" t="s">
        <v>89</v>
      </c>
      <c r="G474" t="s">
        <v>15</v>
      </c>
      <c r="H474" s="5">
        <v>7999</v>
      </c>
      <c r="I474" s="5">
        <v>2399.6999999999998</v>
      </c>
      <c r="J474" s="2">
        <v>0</v>
      </c>
      <c r="K474" s="5">
        <v>5599.3</v>
      </c>
    </row>
    <row r="475" spans="1:11" x14ac:dyDescent="0.25">
      <c r="A475">
        <v>465</v>
      </c>
      <c r="B475" s="1">
        <v>42767</v>
      </c>
      <c r="C475" t="s">
        <v>96</v>
      </c>
      <c r="D475" t="s">
        <v>12</v>
      </c>
      <c r="E475" t="s">
        <v>35</v>
      </c>
      <c r="F475" t="s">
        <v>97</v>
      </c>
      <c r="G475" t="s">
        <v>15</v>
      </c>
      <c r="H475" s="5">
        <v>11999</v>
      </c>
      <c r="I475" s="5">
        <v>7799.35</v>
      </c>
      <c r="J475" s="2">
        <v>0</v>
      </c>
      <c r="K475" s="5">
        <v>4199.6499999999996</v>
      </c>
    </row>
    <row r="476" spans="1:11" x14ac:dyDescent="0.25">
      <c r="A476">
        <v>466</v>
      </c>
      <c r="B476" s="1">
        <v>42506</v>
      </c>
      <c r="C476" t="s">
        <v>47</v>
      </c>
      <c r="D476" t="s">
        <v>26</v>
      </c>
      <c r="E476" t="s">
        <v>27</v>
      </c>
      <c r="F476" t="s">
        <v>48</v>
      </c>
      <c r="G476" t="s">
        <v>15</v>
      </c>
      <c r="H476" s="5">
        <v>699</v>
      </c>
      <c r="I476" s="5">
        <v>482.30999999999995</v>
      </c>
      <c r="J476" s="2">
        <v>0.3</v>
      </c>
      <c r="K476" s="5">
        <v>6.9900000000000091</v>
      </c>
    </row>
    <row r="477" spans="1:11" x14ac:dyDescent="0.25">
      <c r="A477">
        <v>467</v>
      </c>
      <c r="B477" s="1">
        <v>42661</v>
      </c>
      <c r="C477" t="s">
        <v>100</v>
      </c>
      <c r="D477" t="s">
        <v>12</v>
      </c>
      <c r="E477" t="s">
        <v>35</v>
      </c>
      <c r="F477" t="s">
        <v>101</v>
      </c>
      <c r="G477" t="s">
        <v>15</v>
      </c>
      <c r="H477" s="5">
        <v>7599</v>
      </c>
      <c r="I477" s="5">
        <v>6307.17</v>
      </c>
      <c r="J477" s="2">
        <v>0</v>
      </c>
      <c r="K477" s="5">
        <v>1291.83</v>
      </c>
    </row>
    <row r="478" spans="1:11" x14ac:dyDescent="0.25">
      <c r="A478">
        <v>468</v>
      </c>
      <c r="B478" s="1">
        <v>42388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s="5">
        <v>1299</v>
      </c>
      <c r="I478" s="5">
        <v>727.44</v>
      </c>
      <c r="J478" s="2">
        <v>0.15</v>
      </c>
      <c r="K478" s="5">
        <v>376.70999999999981</v>
      </c>
    </row>
    <row r="479" spans="1:11" x14ac:dyDescent="0.25">
      <c r="A479">
        <v>469</v>
      </c>
      <c r="B479" s="1">
        <v>42534</v>
      </c>
      <c r="C479" t="s">
        <v>134</v>
      </c>
      <c r="D479" t="s">
        <v>22</v>
      </c>
      <c r="E479" t="s">
        <v>18</v>
      </c>
      <c r="F479" t="s">
        <v>135</v>
      </c>
      <c r="G479" t="s">
        <v>33</v>
      </c>
      <c r="H479" s="5">
        <v>409</v>
      </c>
      <c r="I479" s="5">
        <v>237.21999999999997</v>
      </c>
      <c r="J479" s="2">
        <v>0</v>
      </c>
      <c r="K479" s="5">
        <v>171.78000000000003</v>
      </c>
    </row>
    <row r="480" spans="1:11" x14ac:dyDescent="0.25">
      <c r="A480">
        <v>470</v>
      </c>
      <c r="B480" s="1">
        <v>42684</v>
      </c>
      <c r="C480" t="s">
        <v>61</v>
      </c>
      <c r="D480" t="s">
        <v>26</v>
      </c>
      <c r="E480" t="s">
        <v>45</v>
      </c>
      <c r="F480" t="s">
        <v>62</v>
      </c>
      <c r="G480" t="s">
        <v>15</v>
      </c>
      <c r="H480" s="5">
        <v>799</v>
      </c>
      <c r="I480" s="5">
        <v>679.15</v>
      </c>
      <c r="J480" s="2">
        <v>0.2</v>
      </c>
      <c r="K480" s="5">
        <v>-39.949999999999932</v>
      </c>
    </row>
    <row r="481" spans="1:11" x14ac:dyDescent="0.25">
      <c r="A481">
        <v>471</v>
      </c>
      <c r="B481" s="1">
        <v>42672</v>
      </c>
      <c r="C481" t="s">
        <v>11</v>
      </c>
      <c r="D481" t="s">
        <v>12</v>
      </c>
      <c r="E481" t="s">
        <v>13</v>
      </c>
      <c r="F481" t="s">
        <v>14</v>
      </c>
      <c r="G481" t="s">
        <v>15</v>
      </c>
      <c r="H481" s="5">
        <v>1299</v>
      </c>
      <c r="I481" s="5">
        <v>727.44</v>
      </c>
      <c r="J481" s="2">
        <v>0.15</v>
      </c>
      <c r="K481" s="5">
        <v>376.70999999999981</v>
      </c>
    </row>
    <row r="482" spans="1:11" x14ac:dyDescent="0.25">
      <c r="A482">
        <v>472</v>
      </c>
      <c r="B482" s="1">
        <v>42672</v>
      </c>
      <c r="C482" t="s">
        <v>65</v>
      </c>
      <c r="D482" t="s">
        <v>12</v>
      </c>
      <c r="E482" t="s">
        <v>13</v>
      </c>
      <c r="F482" t="s">
        <v>66</v>
      </c>
      <c r="G482" t="s">
        <v>15</v>
      </c>
      <c r="H482" s="5">
        <v>1499</v>
      </c>
      <c r="I482" s="5">
        <v>584.61</v>
      </c>
      <c r="J482" s="2">
        <v>0.15</v>
      </c>
      <c r="K482" s="5">
        <v>689.53999999999985</v>
      </c>
    </row>
    <row r="483" spans="1:11" x14ac:dyDescent="0.25">
      <c r="A483">
        <v>473</v>
      </c>
      <c r="B483" s="1">
        <v>42567</v>
      </c>
      <c r="C483" t="s">
        <v>41</v>
      </c>
      <c r="D483" t="s">
        <v>22</v>
      </c>
      <c r="E483" t="s">
        <v>18</v>
      </c>
      <c r="F483" t="s">
        <v>42</v>
      </c>
      <c r="G483" t="s">
        <v>43</v>
      </c>
      <c r="H483" s="5">
        <v>1149</v>
      </c>
      <c r="I483" s="5">
        <v>896.22</v>
      </c>
      <c r="J483" s="2">
        <v>0</v>
      </c>
      <c r="K483" s="5">
        <v>252.77999999999997</v>
      </c>
    </row>
    <row r="484" spans="1:11" x14ac:dyDescent="0.25">
      <c r="A484">
        <v>474</v>
      </c>
      <c r="B484" s="1">
        <v>42571</v>
      </c>
      <c r="C484" t="s">
        <v>41</v>
      </c>
      <c r="D484" t="s">
        <v>22</v>
      </c>
      <c r="E484" t="s">
        <v>18</v>
      </c>
      <c r="F484" t="s">
        <v>42</v>
      </c>
      <c r="G484" t="s">
        <v>43</v>
      </c>
      <c r="H484" s="5">
        <v>1149</v>
      </c>
      <c r="I484" s="5">
        <v>896.22</v>
      </c>
      <c r="J484" s="2">
        <v>0</v>
      </c>
      <c r="K484" s="5">
        <v>252.77999999999997</v>
      </c>
    </row>
    <row r="485" spans="1:11" x14ac:dyDescent="0.25">
      <c r="A485">
        <v>475</v>
      </c>
      <c r="B485" s="1">
        <v>42729</v>
      </c>
      <c r="C485" t="s">
        <v>25</v>
      </c>
      <c r="D485" t="s">
        <v>26</v>
      </c>
      <c r="E485" t="s">
        <v>27</v>
      </c>
      <c r="F485" t="s">
        <v>28</v>
      </c>
      <c r="G485" t="s">
        <v>15</v>
      </c>
      <c r="H485" s="5">
        <v>1499</v>
      </c>
      <c r="I485" s="5">
        <v>794.47</v>
      </c>
      <c r="J485" s="2">
        <v>0</v>
      </c>
      <c r="K485" s="5">
        <v>704.53</v>
      </c>
    </row>
    <row r="486" spans="1:11" x14ac:dyDescent="0.25">
      <c r="A486">
        <v>476</v>
      </c>
      <c r="B486" s="1">
        <v>42439</v>
      </c>
      <c r="C486" t="s">
        <v>72</v>
      </c>
      <c r="D486" t="s">
        <v>22</v>
      </c>
      <c r="E486" t="s">
        <v>18</v>
      </c>
      <c r="F486" t="s">
        <v>73</v>
      </c>
      <c r="G486" t="s">
        <v>69</v>
      </c>
      <c r="H486" s="5">
        <v>799</v>
      </c>
      <c r="I486" s="5">
        <v>535.33000000000004</v>
      </c>
      <c r="J486" s="2">
        <v>0</v>
      </c>
      <c r="K486" s="5">
        <v>263.66999999999996</v>
      </c>
    </row>
    <row r="487" spans="1:11" x14ac:dyDescent="0.25">
      <c r="A487">
        <v>477</v>
      </c>
      <c r="B487" s="1">
        <v>42506</v>
      </c>
      <c r="C487" t="s">
        <v>25</v>
      </c>
      <c r="D487" t="s">
        <v>26</v>
      </c>
      <c r="E487" t="s">
        <v>27</v>
      </c>
      <c r="F487" t="s">
        <v>28</v>
      </c>
      <c r="G487" t="s">
        <v>15</v>
      </c>
      <c r="H487" s="5">
        <v>1499</v>
      </c>
      <c r="I487" s="5">
        <v>794.47</v>
      </c>
      <c r="J487" s="2">
        <v>0.3</v>
      </c>
      <c r="K487" s="5">
        <v>254.82999999999993</v>
      </c>
    </row>
    <row r="488" spans="1:11" x14ac:dyDescent="0.25">
      <c r="A488">
        <v>478</v>
      </c>
      <c r="B488" s="1">
        <v>42506</v>
      </c>
      <c r="C488" t="s">
        <v>31</v>
      </c>
      <c r="D488" t="s">
        <v>22</v>
      </c>
      <c r="E488" t="s">
        <v>18</v>
      </c>
      <c r="F488" t="s">
        <v>32</v>
      </c>
      <c r="G488" t="s">
        <v>33</v>
      </c>
      <c r="H488" s="5">
        <v>1199</v>
      </c>
      <c r="I488" s="5">
        <v>887.26</v>
      </c>
      <c r="J488" s="2">
        <v>0.3</v>
      </c>
      <c r="K488" s="5">
        <v>-47.960000000000036</v>
      </c>
    </row>
    <row r="489" spans="1:11" x14ac:dyDescent="0.25">
      <c r="A489">
        <v>479</v>
      </c>
      <c r="B489" s="1">
        <v>42643</v>
      </c>
      <c r="C489" t="s">
        <v>63</v>
      </c>
      <c r="D489" t="s">
        <v>12</v>
      </c>
      <c r="E489" t="s">
        <v>35</v>
      </c>
      <c r="F489" t="s">
        <v>64</v>
      </c>
      <c r="G489" t="s">
        <v>15</v>
      </c>
      <c r="H489" s="5">
        <v>13999</v>
      </c>
      <c r="I489" s="5">
        <v>9659.31</v>
      </c>
      <c r="J489" s="2">
        <v>0.2</v>
      </c>
      <c r="K489" s="5">
        <v>1539.8900000000012</v>
      </c>
    </row>
    <row r="490" spans="1:11" x14ac:dyDescent="0.25">
      <c r="A490">
        <v>480</v>
      </c>
      <c r="B490" s="1">
        <v>42458</v>
      </c>
      <c r="C490" t="s">
        <v>81</v>
      </c>
      <c r="D490" t="s">
        <v>22</v>
      </c>
      <c r="E490" t="s">
        <v>18</v>
      </c>
      <c r="F490" t="s">
        <v>82</v>
      </c>
      <c r="G490" t="s">
        <v>78</v>
      </c>
      <c r="H490" s="5">
        <v>1299</v>
      </c>
      <c r="I490" s="5">
        <v>909.3</v>
      </c>
      <c r="J490" s="2">
        <v>0</v>
      </c>
      <c r="K490" s="5">
        <v>389.70000000000005</v>
      </c>
    </row>
    <row r="491" spans="1:11" x14ac:dyDescent="0.25">
      <c r="A491">
        <v>481</v>
      </c>
      <c r="B491" s="1">
        <v>42526</v>
      </c>
      <c r="C491" t="s">
        <v>41</v>
      </c>
      <c r="D491" t="s">
        <v>22</v>
      </c>
      <c r="E491" t="s">
        <v>18</v>
      </c>
      <c r="F491" t="s">
        <v>42</v>
      </c>
      <c r="G491" t="s">
        <v>43</v>
      </c>
      <c r="H491" s="5">
        <v>1149</v>
      </c>
      <c r="I491" s="5">
        <v>896.22</v>
      </c>
      <c r="J491" s="2">
        <v>0</v>
      </c>
      <c r="K491" s="5">
        <v>252.77999999999997</v>
      </c>
    </row>
    <row r="492" spans="1:11" x14ac:dyDescent="0.25">
      <c r="A492">
        <v>482</v>
      </c>
      <c r="B492" s="1">
        <v>42762</v>
      </c>
      <c r="C492" t="s">
        <v>41</v>
      </c>
      <c r="D492" t="s">
        <v>22</v>
      </c>
      <c r="E492" t="s">
        <v>18</v>
      </c>
      <c r="F492" t="s">
        <v>42</v>
      </c>
      <c r="G492" t="s">
        <v>43</v>
      </c>
      <c r="H492" s="5">
        <v>1149</v>
      </c>
      <c r="I492" s="5">
        <v>896.22</v>
      </c>
      <c r="J492" s="2">
        <v>0.15</v>
      </c>
      <c r="K492" s="5">
        <v>80.42999999999995</v>
      </c>
    </row>
    <row r="493" spans="1:11" x14ac:dyDescent="0.25">
      <c r="A493">
        <v>483</v>
      </c>
      <c r="B493" s="1">
        <v>42388</v>
      </c>
      <c r="C493" t="s">
        <v>41</v>
      </c>
      <c r="D493" t="s">
        <v>22</v>
      </c>
      <c r="E493" t="s">
        <v>18</v>
      </c>
      <c r="F493" t="s">
        <v>42</v>
      </c>
      <c r="G493" t="s">
        <v>43</v>
      </c>
      <c r="H493" s="5">
        <v>1149</v>
      </c>
      <c r="I493" s="5">
        <v>896.22</v>
      </c>
      <c r="J493" s="2">
        <v>0.15</v>
      </c>
      <c r="K493" s="5">
        <v>80.42999999999995</v>
      </c>
    </row>
    <row r="494" spans="1:11" x14ac:dyDescent="0.25">
      <c r="A494">
        <v>484</v>
      </c>
      <c r="B494" s="1">
        <v>42457</v>
      </c>
      <c r="C494" t="s">
        <v>41</v>
      </c>
      <c r="D494" t="s">
        <v>22</v>
      </c>
      <c r="E494" t="s">
        <v>18</v>
      </c>
      <c r="F494" t="s">
        <v>42</v>
      </c>
      <c r="G494" t="s">
        <v>43</v>
      </c>
      <c r="H494" s="5">
        <v>1149</v>
      </c>
      <c r="I494" s="5">
        <v>896.22</v>
      </c>
      <c r="J494" s="2">
        <v>0</v>
      </c>
      <c r="K494" s="5">
        <v>252.77999999999997</v>
      </c>
    </row>
    <row r="495" spans="1:11" x14ac:dyDescent="0.25">
      <c r="A495">
        <v>485</v>
      </c>
      <c r="B495" s="1">
        <v>42506</v>
      </c>
      <c r="C495" t="s">
        <v>51</v>
      </c>
      <c r="D495" t="s">
        <v>22</v>
      </c>
      <c r="E495" t="s">
        <v>23</v>
      </c>
      <c r="F495" t="s">
        <v>52</v>
      </c>
      <c r="G495" t="s">
        <v>15</v>
      </c>
      <c r="H495" s="5">
        <v>599</v>
      </c>
      <c r="I495" s="5">
        <v>455.24</v>
      </c>
      <c r="J495" s="2">
        <v>0.3</v>
      </c>
      <c r="K495" s="5">
        <v>-35.940000000000055</v>
      </c>
    </row>
    <row r="496" spans="1:11" x14ac:dyDescent="0.25">
      <c r="A496">
        <v>486</v>
      </c>
      <c r="B496" s="1">
        <v>42732</v>
      </c>
      <c r="C496" t="s">
        <v>31</v>
      </c>
      <c r="D496" t="s">
        <v>22</v>
      </c>
      <c r="E496" t="s">
        <v>18</v>
      </c>
      <c r="F496" t="s">
        <v>32</v>
      </c>
      <c r="G496" t="s">
        <v>33</v>
      </c>
      <c r="H496" s="5">
        <v>1199</v>
      </c>
      <c r="I496" s="5">
        <v>887.26</v>
      </c>
      <c r="J496" s="2">
        <v>0</v>
      </c>
      <c r="K496" s="5">
        <v>311.74</v>
      </c>
    </row>
    <row r="497" spans="1:11" x14ac:dyDescent="0.25">
      <c r="A497">
        <v>487</v>
      </c>
      <c r="B497" s="1">
        <v>42546</v>
      </c>
      <c r="C497" t="s">
        <v>31</v>
      </c>
      <c r="D497" t="s">
        <v>22</v>
      </c>
      <c r="E497" t="s">
        <v>18</v>
      </c>
      <c r="F497" t="s">
        <v>32</v>
      </c>
      <c r="G497" t="s">
        <v>33</v>
      </c>
      <c r="H497" s="5">
        <v>1199</v>
      </c>
      <c r="I497" s="5">
        <v>887.26</v>
      </c>
      <c r="J497" s="2">
        <v>0.2</v>
      </c>
      <c r="K497" s="5">
        <v>71.940000000000055</v>
      </c>
    </row>
    <row r="498" spans="1:11" x14ac:dyDescent="0.25">
      <c r="A498">
        <v>488</v>
      </c>
      <c r="B498" s="1">
        <v>42792</v>
      </c>
      <c r="C498" t="s">
        <v>70</v>
      </c>
      <c r="D498" t="s">
        <v>26</v>
      </c>
      <c r="E498" t="s">
        <v>45</v>
      </c>
      <c r="F498" t="s">
        <v>71</v>
      </c>
      <c r="G498" t="s">
        <v>15</v>
      </c>
      <c r="H498" s="5">
        <v>449</v>
      </c>
      <c r="I498" s="5">
        <v>161.63999999999999</v>
      </c>
      <c r="J498" s="2">
        <v>0.1</v>
      </c>
      <c r="K498" s="5">
        <v>242.46000000000004</v>
      </c>
    </row>
    <row r="499" spans="1:11" x14ac:dyDescent="0.25">
      <c r="A499">
        <v>489</v>
      </c>
      <c r="B499" s="1">
        <v>42506</v>
      </c>
      <c r="C499" t="s">
        <v>138</v>
      </c>
      <c r="D499" t="s">
        <v>22</v>
      </c>
      <c r="E499" t="s">
        <v>86</v>
      </c>
      <c r="F499" t="s">
        <v>139</v>
      </c>
      <c r="G499" t="s">
        <v>15</v>
      </c>
      <c r="H499" s="5">
        <v>14399</v>
      </c>
      <c r="I499" s="5">
        <v>11375.210000000001</v>
      </c>
      <c r="J499" s="2">
        <v>0.3</v>
      </c>
      <c r="K499" s="5">
        <v>-1295.9100000000017</v>
      </c>
    </row>
    <row r="500" spans="1:11" x14ac:dyDescent="0.25">
      <c r="A500">
        <v>490</v>
      </c>
      <c r="B500" s="1">
        <v>42601</v>
      </c>
      <c r="C500" t="s">
        <v>29</v>
      </c>
      <c r="D500" t="s">
        <v>26</v>
      </c>
      <c r="E500" t="s">
        <v>27</v>
      </c>
      <c r="F500" t="s">
        <v>30</v>
      </c>
      <c r="G500" t="s">
        <v>15</v>
      </c>
      <c r="H500" s="5">
        <v>259</v>
      </c>
      <c r="I500" s="5">
        <v>220.15</v>
      </c>
      <c r="J500" s="2">
        <v>0.15</v>
      </c>
      <c r="K500" s="5">
        <v>0</v>
      </c>
    </row>
    <row r="501" spans="1:11" x14ac:dyDescent="0.25">
      <c r="A501">
        <v>491</v>
      </c>
      <c r="B501" s="1">
        <v>42506</v>
      </c>
      <c r="C501" t="s">
        <v>25</v>
      </c>
      <c r="D501" t="s">
        <v>26</v>
      </c>
      <c r="E501" t="s">
        <v>27</v>
      </c>
      <c r="F501" t="s">
        <v>28</v>
      </c>
      <c r="G501" t="s">
        <v>15</v>
      </c>
      <c r="H501" s="5">
        <v>1499</v>
      </c>
      <c r="I501" s="5">
        <v>794.47</v>
      </c>
      <c r="J501" s="2">
        <v>0.3</v>
      </c>
      <c r="K501" s="5">
        <v>254.82999999999993</v>
      </c>
    </row>
    <row r="502" spans="1:11" x14ac:dyDescent="0.25">
      <c r="A502">
        <v>492</v>
      </c>
      <c r="B502" s="1">
        <v>42506</v>
      </c>
      <c r="C502" t="s">
        <v>140</v>
      </c>
      <c r="D502" t="s">
        <v>22</v>
      </c>
      <c r="E502" t="s">
        <v>18</v>
      </c>
      <c r="F502" t="s">
        <v>141</v>
      </c>
      <c r="G502" t="s">
        <v>43</v>
      </c>
      <c r="H502" s="5">
        <v>999</v>
      </c>
      <c r="I502" s="5">
        <v>809.19</v>
      </c>
      <c r="J502" s="2">
        <v>0.3</v>
      </c>
      <c r="K502" s="5">
        <v>-109.8900000000001</v>
      </c>
    </row>
    <row r="503" spans="1:11" x14ac:dyDescent="0.25">
      <c r="A503">
        <v>493</v>
      </c>
      <c r="B503" s="1">
        <v>42506</v>
      </c>
      <c r="C503" t="s">
        <v>55</v>
      </c>
      <c r="D503" t="s">
        <v>26</v>
      </c>
      <c r="E503" t="s">
        <v>45</v>
      </c>
      <c r="F503" t="s">
        <v>56</v>
      </c>
      <c r="G503" t="s">
        <v>15</v>
      </c>
      <c r="H503" s="5">
        <v>499</v>
      </c>
      <c r="I503" s="5">
        <v>279.44000000000005</v>
      </c>
      <c r="J503" s="2">
        <v>0.3</v>
      </c>
      <c r="K503" s="5">
        <v>69.8599999999999</v>
      </c>
    </row>
    <row r="504" spans="1:11" x14ac:dyDescent="0.25">
      <c r="A504">
        <v>494</v>
      </c>
      <c r="B504" s="1">
        <v>42454</v>
      </c>
      <c r="C504" t="s">
        <v>21</v>
      </c>
      <c r="D504" t="s">
        <v>22</v>
      </c>
      <c r="E504" t="s">
        <v>23</v>
      </c>
      <c r="F504" t="s">
        <v>24</v>
      </c>
      <c r="G504" t="s">
        <v>15</v>
      </c>
      <c r="H504" s="5">
        <v>359</v>
      </c>
      <c r="I504" s="5">
        <v>244.12</v>
      </c>
      <c r="J504" s="2">
        <v>0.15</v>
      </c>
      <c r="K504" s="5">
        <v>61.029999999999973</v>
      </c>
    </row>
    <row r="505" spans="1:11" x14ac:dyDescent="0.25">
      <c r="A505">
        <v>495</v>
      </c>
      <c r="B505" s="1">
        <v>42410</v>
      </c>
      <c r="C505" t="s">
        <v>41</v>
      </c>
      <c r="D505" t="s">
        <v>22</v>
      </c>
      <c r="E505" t="s">
        <v>18</v>
      </c>
      <c r="F505" t="s">
        <v>42</v>
      </c>
      <c r="G505" t="s">
        <v>43</v>
      </c>
      <c r="H505" s="5">
        <v>1149</v>
      </c>
      <c r="I505" s="5">
        <v>896.22</v>
      </c>
      <c r="J505" s="2">
        <v>0</v>
      </c>
      <c r="K505" s="5">
        <v>252.77999999999997</v>
      </c>
    </row>
    <row r="506" spans="1:11" x14ac:dyDescent="0.25">
      <c r="A506">
        <v>496</v>
      </c>
      <c r="B506" s="1">
        <v>42388</v>
      </c>
      <c r="C506" t="s">
        <v>16</v>
      </c>
      <c r="D506" t="s">
        <v>22</v>
      </c>
      <c r="E506" t="s">
        <v>18</v>
      </c>
      <c r="F506" t="s">
        <v>19</v>
      </c>
      <c r="G506" t="s">
        <v>20</v>
      </c>
      <c r="H506" s="5">
        <v>1149</v>
      </c>
      <c r="I506" s="5">
        <v>792.81</v>
      </c>
      <c r="J506" s="2">
        <v>0.15</v>
      </c>
      <c r="K506" s="5">
        <v>183.84000000000003</v>
      </c>
    </row>
    <row r="507" spans="1:11" x14ac:dyDescent="0.25">
      <c r="A507">
        <v>497</v>
      </c>
      <c r="B507" s="1">
        <v>42643</v>
      </c>
      <c r="C507" t="s">
        <v>61</v>
      </c>
      <c r="D507" t="s">
        <v>26</v>
      </c>
      <c r="E507" t="s">
        <v>45</v>
      </c>
      <c r="F507" t="s">
        <v>62</v>
      </c>
      <c r="G507" t="s">
        <v>15</v>
      </c>
      <c r="H507" s="5">
        <v>799</v>
      </c>
      <c r="I507" s="5">
        <v>679.15</v>
      </c>
      <c r="J507" s="2">
        <v>0.2</v>
      </c>
      <c r="K507" s="5">
        <v>-39.949999999999932</v>
      </c>
    </row>
    <row r="508" spans="1:11" x14ac:dyDescent="0.25">
      <c r="A508">
        <v>498</v>
      </c>
      <c r="B508" s="1">
        <v>42721</v>
      </c>
      <c r="C508" t="s">
        <v>31</v>
      </c>
      <c r="D508" t="s">
        <v>22</v>
      </c>
      <c r="E508" t="s">
        <v>18</v>
      </c>
      <c r="F508" t="s">
        <v>32</v>
      </c>
      <c r="G508" t="s">
        <v>33</v>
      </c>
      <c r="H508" s="5">
        <v>1199</v>
      </c>
      <c r="I508" s="5">
        <v>887.26</v>
      </c>
      <c r="J508" s="2">
        <v>0</v>
      </c>
      <c r="K508" s="5">
        <v>311.74</v>
      </c>
    </row>
    <row r="509" spans="1:11" x14ac:dyDescent="0.25">
      <c r="A509">
        <v>499</v>
      </c>
      <c r="B509" s="1">
        <v>42634</v>
      </c>
      <c r="C509" t="s">
        <v>25</v>
      </c>
      <c r="D509" t="s">
        <v>26</v>
      </c>
      <c r="E509" t="s">
        <v>27</v>
      </c>
      <c r="F509" t="s">
        <v>28</v>
      </c>
      <c r="G509" t="s">
        <v>15</v>
      </c>
      <c r="H509" s="5">
        <v>1499</v>
      </c>
      <c r="I509" s="5">
        <v>794.47</v>
      </c>
      <c r="J509" s="2">
        <v>0</v>
      </c>
      <c r="K509" s="5">
        <v>704.53</v>
      </c>
    </row>
    <row r="510" spans="1:11" x14ac:dyDescent="0.25">
      <c r="A510">
        <v>500</v>
      </c>
      <c r="B510" s="1">
        <v>42424</v>
      </c>
      <c r="C510" t="s">
        <v>41</v>
      </c>
      <c r="D510" t="s">
        <v>22</v>
      </c>
      <c r="E510" t="s">
        <v>18</v>
      </c>
      <c r="F510" t="s">
        <v>42</v>
      </c>
      <c r="G510" t="s">
        <v>43</v>
      </c>
      <c r="H510" s="5">
        <v>1149</v>
      </c>
      <c r="I510" s="5">
        <v>896.22</v>
      </c>
      <c r="J510" s="2">
        <v>0.15</v>
      </c>
      <c r="K510" s="5">
        <v>80.42999999999995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2F72-0345-4A45-9F1D-15D7AC129921}">
  <dimension ref="A9:K41"/>
  <sheetViews>
    <sheetView showGridLines="0" topLeftCell="B25" workbookViewId="0">
      <selection activeCell="K26" sqref="K26"/>
    </sheetView>
  </sheetViews>
  <sheetFormatPr baseColWidth="10" defaultColWidth="9.140625" defaultRowHeight="15" x14ac:dyDescent="0.25"/>
  <cols>
    <col min="1" max="1" width="17.5703125" bestFit="1" customWidth="1"/>
    <col min="2" max="2" width="18.5703125" bestFit="1" customWidth="1"/>
    <col min="10" max="10" width="18.5703125" bestFit="1" customWidth="1"/>
    <col min="11" max="11" width="17.28515625" bestFit="1" customWidth="1"/>
  </cols>
  <sheetData>
    <row r="9" spans="10:11" x14ac:dyDescent="0.25">
      <c r="J9" s="24" t="s">
        <v>551</v>
      </c>
      <c r="K9" t="s">
        <v>579</v>
      </c>
    </row>
    <row r="10" spans="10:11" x14ac:dyDescent="0.25">
      <c r="J10" s="19" t="s">
        <v>554</v>
      </c>
      <c r="K10" s="5">
        <v>59329.51</v>
      </c>
    </row>
    <row r="11" spans="10:11" x14ac:dyDescent="0.25">
      <c r="J11" s="19" t="s">
        <v>555</v>
      </c>
      <c r="K11" s="5">
        <v>163114.15</v>
      </c>
    </row>
    <row r="12" spans="10:11" x14ac:dyDescent="0.25">
      <c r="J12" s="19" t="s">
        <v>556</v>
      </c>
      <c r="K12" s="5">
        <v>93251.49</v>
      </c>
    </row>
    <row r="13" spans="10:11" x14ac:dyDescent="0.25">
      <c r="J13" s="19" t="s">
        <v>557</v>
      </c>
      <c r="K13" s="5">
        <v>25467.000000000007</v>
      </c>
    </row>
    <row r="14" spans="10:11" x14ac:dyDescent="0.25">
      <c r="J14" s="19" t="s">
        <v>558</v>
      </c>
      <c r="K14" s="5">
        <v>118890.44999999998</v>
      </c>
    </row>
    <row r="15" spans="10:11" x14ac:dyDescent="0.25">
      <c r="J15" s="19" t="s">
        <v>559</v>
      </c>
      <c r="K15" s="5">
        <v>32268.32</v>
      </c>
    </row>
    <row r="16" spans="10:11" x14ac:dyDescent="0.25">
      <c r="J16" s="19" t="s">
        <v>560</v>
      </c>
      <c r="K16" s="5">
        <v>54741.030000000021</v>
      </c>
    </row>
    <row r="17" spans="10:11" x14ac:dyDescent="0.25">
      <c r="J17" s="19" t="s">
        <v>561</v>
      </c>
      <c r="K17" s="5">
        <v>32989.430000000008</v>
      </c>
    </row>
    <row r="18" spans="10:11" x14ac:dyDescent="0.25">
      <c r="J18" s="19" t="s">
        <v>562</v>
      </c>
      <c r="K18" s="5">
        <v>71878.410000000018</v>
      </c>
    </row>
    <row r="19" spans="10:11" x14ac:dyDescent="0.25">
      <c r="J19" s="19" t="s">
        <v>563</v>
      </c>
      <c r="K19" s="5">
        <v>49823.180000000008</v>
      </c>
    </row>
    <row r="20" spans="10:11" x14ac:dyDescent="0.25">
      <c r="J20" s="19" t="s">
        <v>564</v>
      </c>
      <c r="K20" s="5">
        <v>22875.05000000001</v>
      </c>
    </row>
    <row r="21" spans="10:11" x14ac:dyDescent="0.25">
      <c r="J21" s="19" t="s">
        <v>565</v>
      </c>
      <c r="K21" s="5">
        <v>17760.989999999994</v>
      </c>
    </row>
    <row r="22" spans="10:11" x14ac:dyDescent="0.25">
      <c r="J22" s="19" t="s">
        <v>552</v>
      </c>
      <c r="K22" s="5">
        <v>742389.01000000013</v>
      </c>
    </row>
    <row r="25" spans="10:11" x14ac:dyDescent="0.25">
      <c r="J25" s="24" t="s">
        <v>551</v>
      </c>
      <c r="K25" t="s">
        <v>574</v>
      </c>
    </row>
    <row r="26" spans="10:11" x14ac:dyDescent="0.25">
      <c r="J26" s="19" t="s">
        <v>45</v>
      </c>
      <c r="K26" s="5">
        <v>5210.4500000000016</v>
      </c>
    </row>
    <row r="27" spans="10:11" x14ac:dyDescent="0.25">
      <c r="J27" s="19" t="s">
        <v>23</v>
      </c>
      <c r="K27" s="5">
        <v>9924.0699999999979</v>
      </c>
    </row>
    <row r="28" spans="10:11" x14ac:dyDescent="0.25">
      <c r="J28" s="19" t="s">
        <v>13</v>
      </c>
      <c r="K28" s="5">
        <v>21202.2</v>
      </c>
    </row>
    <row r="29" spans="10:11" x14ac:dyDescent="0.25">
      <c r="J29" s="19" t="s">
        <v>27</v>
      </c>
      <c r="K29" s="5">
        <v>22071.809999999998</v>
      </c>
    </row>
    <row r="30" spans="10:11" x14ac:dyDescent="0.25">
      <c r="J30" s="19" t="s">
        <v>18</v>
      </c>
      <c r="K30" s="5">
        <v>29342.919999999984</v>
      </c>
    </row>
    <row r="31" spans="10:11" x14ac:dyDescent="0.25">
      <c r="J31" s="19" t="s">
        <v>35</v>
      </c>
      <c r="K31" s="5">
        <v>108228.46</v>
      </c>
    </row>
    <row r="32" spans="10:11" x14ac:dyDescent="0.25">
      <c r="J32" s="19" t="s">
        <v>86</v>
      </c>
      <c r="K32" s="5">
        <v>110145.83000000002</v>
      </c>
    </row>
    <row r="33" spans="1:11" x14ac:dyDescent="0.25">
      <c r="J33" s="19" t="s">
        <v>552</v>
      </c>
      <c r="K33" s="5">
        <v>306125.74000000005</v>
      </c>
    </row>
    <row r="36" spans="1:11" x14ac:dyDescent="0.25">
      <c r="A36" s="24" t="s">
        <v>3</v>
      </c>
      <c r="B36" t="s">
        <v>26</v>
      </c>
    </row>
    <row r="38" spans="1:11" x14ac:dyDescent="0.25">
      <c r="A38" s="24" t="s">
        <v>551</v>
      </c>
      <c r="B38" t="s">
        <v>572</v>
      </c>
    </row>
    <row r="39" spans="1:11" x14ac:dyDescent="0.25">
      <c r="A39" s="19" t="s">
        <v>45</v>
      </c>
      <c r="B39" s="23">
        <v>45</v>
      </c>
    </row>
    <row r="40" spans="1:11" x14ac:dyDescent="0.25">
      <c r="A40" s="19" t="s">
        <v>27</v>
      </c>
      <c r="B40" s="23">
        <v>69</v>
      </c>
    </row>
    <row r="41" spans="1:11" x14ac:dyDescent="0.25">
      <c r="A41" s="19" t="s">
        <v>552</v>
      </c>
      <c r="B41" s="23">
        <v>114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CACA-E72A-4878-8B4F-68AFF024C2B4}">
  <dimension ref="A1"/>
  <sheetViews>
    <sheetView showGridLines="0" workbookViewId="0">
      <selection activeCell="J9" sqref="J9"/>
    </sheetView>
  </sheetViews>
  <sheetFormatPr baseColWidth="10" defaultColWidth="9.140625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F363-1D11-4179-B59B-B46E39DA9FB6}">
  <dimension ref="K7:P19"/>
  <sheetViews>
    <sheetView showGridLines="0" workbookViewId="0">
      <selection activeCell="I22" sqref="I22"/>
    </sheetView>
  </sheetViews>
  <sheetFormatPr baseColWidth="10" defaultColWidth="9.140625" defaultRowHeight="15" x14ac:dyDescent="0.25"/>
  <cols>
    <col min="12" max="12" width="17.28515625" bestFit="1" customWidth="1"/>
    <col min="13" max="13" width="12.7109375" bestFit="1" customWidth="1"/>
    <col min="15" max="15" width="21" bestFit="1" customWidth="1"/>
  </cols>
  <sheetData>
    <row r="7" spans="11:16" x14ac:dyDescent="0.25">
      <c r="K7" t="s">
        <v>580</v>
      </c>
    </row>
    <row r="10" spans="11:16" x14ac:dyDescent="0.25">
      <c r="L10" t="s">
        <v>550</v>
      </c>
      <c r="O10" t="s">
        <v>578</v>
      </c>
    </row>
    <row r="11" spans="11:16" x14ac:dyDescent="0.25">
      <c r="L11" s="5">
        <v>1199590</v>
      </c>
      <c r="M11" s="5">
        <f>GETPIVOTDATA("Precio",$L$10)</f>
        <v>1199590</v>
      </c>
      <c r="O11" s="5">
        <v>0.25519197392442478</v>
      </c>
      <c r="P11" s="28">
        <f>GETPIVOTDATA("Ganancia_pct",$O$10)</f>
        <v>0.25519197392442478</v>
      </c>
    </row>
    <row r="14" spans="11:16" x14ac:dyDescent="0.25">
      <c r="L14" t="s">
        <v>579</v>
      </c>
    </row>
    <row r="15" spans="11:16" x14ac:dyDescent="0.25">
      <c r="L15" s="23">
        <v>742389.00999999908</v>
      </c>
      <c r="M15" s="5">
        <f>GETPIVOTDATA("Costo",$L$14)</f>
        <v>742389.00999999908</v>
      </c>
    </row>
    <row r="18" spans="12:13" x14ac:dyDescent="0.25">
      <c r="L18" t="s">
        <v>574</v>
      </c>
    </row>
    <row r="19" spans="12:13" x14ac:dyDescent="0.25">
      <c r="L19" s="23">
        <v>306125.74000000075</v>
      </c>
      <c r="M19" s="5">
        <f>GETPIVOTDATA("Ganancia",$L$18)</f>
        <v>306125.74000000075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7830-AE9D-4C84-A061-254E65B98E8E}">
  <dimension ref="A11:P260"/>
  <sheetViews>
    <sheetView showGridLines="0" workbookViewId="0">
      <selection activeCell="E12" sqref="E12:E260"/>
    </sheetView>
  </sheetViews>
  <sheetFormatPr baseColWidth="10" defaultColWidth="9.140625" defaultRowHeight="15" x14ac:dyDescent="0.25"/>
  <cols>
    <col min="3" max="3" width="11.5703125" bestFit="1" customWidth="1"/>
    <col min="4" max="4" width="13.42578125" style="16" customWidth="1"/>
    <col min="5" max="5" width="10.140625" bestFit="1" customWidth="1"/>
    <col min="15" max="15" width="11.5703125" bestFit="1" customWidth="1"/>
  </cols>
  <sheetData>
    <row r="11" spans="1:16" x14ac:dyDescent="0.25">
      <c r="A11" t="s">
        <v>180</v>
      </c>
      <c r="B11" t="s">
        <v>181</v>
      </c>
      <c r="C11" t="s">
        <v>436</v>
      </c>
      <c r="D11" s="16" t="s">
        <v>581</v>
      </c>
      <c r="E11" t="s">
        <v>582</v>
      </c>
    </row>
    <row r="12" spans="1:16" x14ac:dyDescent="0.25">
      <c r="A12" t="s">
        <v>182</v>
      </c>
      <c r="B12" t="s">
        <v>183</v>
      </c>
      <c r="C12" s="5">
        <v>17983.900000000001</v>
      </c>
      <c r="D12" s="17">
        <f>IF(B12="RH",0,IF(B12="RESO",0,IF(C12&gt;$O$19,$P$19,IF(C12&gt;$O$17,$P$18,IF(C12&gt;$O$16,$P$17,IF(C12&gt;0,$P$16,0))))))</f>
        <v>0.08</v>
      </c>
      <c r="E12" s="5">
        <f>(D12*C12)+C12</f>
        <v>19422.612000000001</v>
      </c>
    </row>
    <row r="13" spans="1:16" x14ac:dyDescent="0.25">
      <c r="A13" t="s">
        <v>184</v>
      </c>
      <c r="B13" t="s">
        <v>183</v>
      </c>
      <c r="C13" s="5">
        <v>13825.800000000001</v>
      </c>
      <c r="D13" s="17">
        <f t="shared" ref="D13:D76" si="0">IF(B13="RH",0,IF(B13="RESO",0,IF(C13&gt;$O$19,$P$19,IF(C13&gt;$O$17,$P$18,IF(C13&gt;$O$16,$P$17,IF(C13&gt;0,$P$16,0))))))</f>
        <v>0.08</v>
      </c>
      <c r="E13" s="5">
        <f t="shared" ref="E13:E76" si="1">(D13*C13)+C13</f>
        <v>14931.864000000001</v>
      </c>
    </row>
    <row r="14" spans="1:16" ht="28.5" customHeight="1" x14ac:dyDescent="0.5">
      <c r="A14" t="s">
        <v>185</v>
      </c>
      <c r="B14" t="s">
        <v>186</v>
      </c>
      <c r="C14" s="5">
        <v>9327.6</v>
      </c>
      <c r="D14" s="17">
        <f t="shared" si="0"/>
        <v>0.05</v>
      </c>
      <c r="E14" s="5">
        <f t="shared" si="1"/>
        <v>9793.98</v>
      </c>
      <c r="N14" s="13" t="s">
        <v>441</v>
      </c>
    </row>
    <row r="15" spans="1:16" x14ac:dyDescent="0.25">
      <c r="A15" t="s">
        <v>187</v>
      </c>
      <c r="B15" t="s">
        <v>183</v>
      </c>
      <c r="C15" s="5">
        <v>21993.3</v>
      </c>
      <c r="D15" s="17">
        <f t="shared" si="0"/>
        <v>0.08</v>
      </c>
      <c r="E15" s="5">
        <f t="shared" si="1"/>
        <v>23752.763999999999</v>
      </c>
      <c r="N15" s="10"/>
      <c r="O15" s="10" t="s">
        <v>437</v>
      </c>
      <c r="P15" s="10" t="s">
        <v>438</v>
      </c>
    </row>
    <row r="16" spans="1:16" x14ac:dyDescent="0.25">
      <c r="A16" t="s">
        <v>188</v>
      </c>
      <c r="B16" t="s">
        <v>183</v>
      </c>
      <c r="C16" s="5">
        <v>8620.2000000000007</v>
      </c>
      <c r="D16" s="17">
        <f t="shared" si="0"/>
        <v>0.05</v>
      </c>
      <c r="E16" s="5">
        <f t="shared" si="1"/>
        <v>9051.2100000000009</v>
      </c>
      <c r="N16" s="10" t="s">
        <v>439</v>
      </c>
      <c r="O16" s="11">
        <v>5000</v>
      </c>
      <c r="P16" s="12">
        <v>0.03</v>
      </c>
    </row>
    <row r="17" spans="1:16" x14ac:dyDescent="0.25">
      <c r="A17" t="s">
        <v>189</v>
      </c>
      <c r="B17" t="s">
        <v>183</v>
      </c>
      <c r="C17" s="5">
        <v>13138.400000000001</v>
      </c>
      <c r="D17" s="17">
        <f t="shared" si="0"/>
        <v>0.08</v>
      </c>
      <c r="E17" s="5">
        <f t="shared" si="1"/>
        <v>14189.472000000002</v>
      </c>
      <c r="N17" s="10" t="s">
        <v>439</v>
      </c>
      <c r="O17" s="11">
        <v>12000</v>
      </c>
      <c r="P17" s="12">
        <v>0.05</v>
      </c>
    </row>
    <row r="18" spans="1:16" x14ac:dyDescent="0.25">
      <c r="A18" t="s">
        <v>190</v>
      </c>
      <c r="B18" t="s">
        <v>183</v>
      </c>
      <c r="C18" s="5">
        <v>15708.6</v>
      </c>
      <c r="D18" s="17">
        <f t="shared" si="0"/>
        <v>0.08</v>
      </c>
      <c r="E18" s="5">
        <f t="shared" si="1"/>
        <v>16965.288</v>
      </c>
      <c r="N18" s="10" t="s">
        <v>439</v>
      </c>
      <c r="O18" s="11">
        <v>25000</v>
      </c>
      <c r="P18" s="12">
        <v>0.08</v>
      </c>
    </row>
    <row r="19" spans="1:16" x14ac:dyDescent="0.25">
      <c r="A19" t="s">
        <v>191</v>
      </c>
      <c r="B19" t="s">
        <v>186</v>
      </c>
      <c r="C19" s="5">
        <v>10481</v>
      </c>
      <c r="D19" s="17">
        <f t="shared" si="0"/>
        <v>0.05</v>
      </c>
      <c r="E19" s="5">
        <f t="shared" si="1"/>
        <v>11005.05</v>
      </c>
      <c r="N19" s="10" t="s">
        <v>440</v>
      </c>
      <c r="O19" s="11">
        <v>25000</v>
      </c>
      <c r="P19" s="12">
        <v>0.12</v>
      </c>
    </row>
    <row r="20" spans="1:16" x14ac:dyDescent="0.25">
      <c r="A20" t="s">
        <v>192</v>
      </c>
      <c r="B20" t="s">
        <v>183</v>
      </c>
      <c r="C20" s="5">
        <v>12591.9</v>
      </c>
      <c r="D20" s="17">
        <f t="shared" si="0"/>
        <v>0.08</v>
      </c>
      <c r="E20" s="5">
        <f t="shared" si="1"/>
        <v>13599.252</v>
      </c>
    </row>
    <row r="21" spans="1:16" x14ac:dyDescent="0.25">
      <c r="A21" t="s">
        <v>193</v>
      </c>
      <c r="B21" t="s">
        <v>183</v>
      </c>
      <c r="C21" s="5">
        <v>22304</v>
      </c>
      <c r="D21" s="17">
        <f t="shared" si="0"/>
        <v>0.08</v>
      </c>
      <c r="E21" s="5">
        <f t="shared" si="1"/>
        <v>24088.32</v>
      </c>
    </row>
    <row r="22" spans="1:16" x14ac:dyDescent="0.25">
      <c r="A22" t="s">
        <v>194</v>
      </c>
      <c r="B22" t="s">
        <v>186</v>
      </c>
      <c r="C22" s="5">
        <v>12629</v>
      </c>
      <c r="D22" s="17">
        <f t="shared" si="0"/>
        <v>0.08</v>
      </c>
      <c r="E22" s="5">
        <f t="shared" si="1"/>
        <v>13639.32</v>
      </c>
    </row>
    <row r="23" spans="1:16" x14ac:dyDescent="0.25">
      <c r="A23" t="s">
        <v>195</v>
      </c>
      <c r="B23" t="s">
        <v>186</v>
      </c>
      <c r="C23" s="5">
        <v>8881.5</v>
      </c>
      <c r="D23" s="17">
        <f t="shared" si="0"/>
        <v>0.05</v>
      </c>
      <c r="E23" s="5">
        <f t="shared" si="1"/>
        <v>9325.5750000000007</v>
      </c>
    </row>
    <row r="24" spans="1:16" x14ac:dyDescent="0.25">
      <c r="A24" t="s">
        <v>196</v>
      </c>
      <c r="B24" t="s">
        <v>186</v>
      </c>
      <c r="C24" s="5">
        <v>13800</v>
      </c>
      <c r="D24" s="17">
        <f t="shared" si="0"/>
        <v>0.08</v>
      </c>
      <c r="E24" s="5">
        <f t="shared" si="1"/>
        <v>14904</v>
      </c>
    </row>
    <row r="25" spans="1:16" x14ac:dyDescent="0.25">
      <c r="A25" t="s">
        <v>197</v>
      </c>
      <c r="B25" t="s">
        <v>198</v>
      </c>
      <c r="C25" s="5">
        <v>21643</v>
      </c>
      <c r="D25" s="17">
        <f t="shared" si="0"/>
        <v>0.08</v>
      </c>
      <c r="E25" s="5">
        <f t="shared" si="1"/>
        <v>23374.44</v>
      </c>
    </row>
    <row r="26" spans="1:16" x14ac:dyDescent="0.25">
      <c r="A26" t="s">
        <v>199</v>
      </c>
      <c r="B26" t="s">
        <v>186</v>
      </c>
      <c r="C26" s="5">
        <v>11007</v>
      </c>
      <c r="D26" s="17">
        <f t="shared" si="0"/>
        <v>0.05</v>
      </c>
      <c r="E26" s="5">
        <f t="shared" si="1"/>
        <v>11557.35</v>
      </c>
    </row>
    <row r="27" spans="1:16" x14ac:dyDescent="0.25">
      <c r="A27" t="s">
        <v>200</v>
      </c>
      <c r="B27" t="s">
        <v>201</v>
      </c>
      <c r="C27" s="5">
        <v>22472</v>
      </c>
      <c r="D27" s="17">
        <f t="shared" si="0"/>
        <v>0.08</v>
      </c>
      <c r="E27" s="5">
        <f t="shared" si="1"/>
        <v>24269.759999999998</v>
      </c>
    </row>
    <row r="28" spans="1:16" x14ac:dyDescent="0.25">
      <c r="A28" t="s">
        <v>202</v>
      </c>
      <c r="B28" t="s">
        <v>201</v>
      </c>
      <c r="C28" s="5">
        <v>21096</v>
      </c>
      <c r="D28" s="17">
        <f t="shared" si="0"/>
        <v>0.08</v>
      </c>
      <c r="E28" s="5">
        <f t="shared" si="1"/>
        <v>22783.68</v>
      </c>
    </row>
    <row r="29" spans="1:16" x14ac:dyDescent="0.25">
      <c r="A29" t="s">
        <v>203</v>
      </c>
      <c r="B29" t="s">
        <v>198</v>
      </c>
      <c r="C29" s="5">
        <v>23881.000000000004</v>
      </c>
      <c r="D29" s="17">
        <f t="shared" si="0"/>
        <v>0.08</v>
      </c>
      <c r="E29" s="5">
        <f t="shared" si="1"/>
        <v>25791.480000000003</v>
      </c>
    </row>
    <row r="30" spans="1:16" x14ac:dyDescent="0.25">
      <c r="A30" t="s">
        <v>204</v>
      </c>
      <c r="B30" t="s">
        <v>186</v>
      </c>
      <c r="C30" s="5">
        <v>17220</v>
      </c>
      <c r="D30" s="17">
        <f t="shared" si="0"/>
        <v>0.08</v>
      </c>
      <c r="E30" s="5">
        <f t="shared" si="1"/>
        <v>18597.599999999999</v>
      </c>
    </row>
    <row r="31" spans="1:16" x14ac:dyDescent="0.25">
      <c r="A31" t="s">
        <v>205</v>
      </c>
      <c r="B31" t="s">
        <v>201</v>
      </c>
      <c r="C31" s="5">
        <v>8761</v>
      </c>
      <c r="D31" s="17">
        <f t="shared" si="0"/>
        <v>0.05</v>
      </c>
      <c r="E31" s="5">
        <f t="shared" si="1"/>
        <v>9199.0499999999993</v>
      </c>
    </row>
    <row r="32" spans="1:16" x14ac:dyDescent="0.25">
      <c r="A32" t="s">
        <v>206</v>
      </c>
      <c r="B32" t="s">
        <v>186</v>
      </c>
      <c r="C32" s="5">
        <v>13574.7</v>
      </c>
      <c r="D32" s="17">
        <f t="shared" si="0"/>
        <v>0.08</v>
      </c>
      <c r="E32" s="5">
        <f t="shared" si="1"/>
        <v>14660.676000000001</v>
      </c>
    </row>
    <row r="33" spans="1:5" x14ac:dyDescent="0.25">
      <c r="A33" t="s">
        <v>207</v>
      </c>
      <c r="B33" t="s">
        <v>183</v>
      </c>
      <c r="C33" s="5">
        <v>26539.200000000001</v>
      </c>
      <c r="D33" s="17">
        <f t="shared" si="0"/>
        <v>0.12</v>
      </c>
      <c r="E33" s="5">
        <f t="shared" si="1"/>
        <v>29723.904000000002</v>
      </c>
    </row>
    <row r="34" spans="1:5" x14ac:dyDescent="0.25">
      <c r="A34" t="s">
        <v>208</v>
      </c>
      <c r="B34" t="s">
        <v>183</v>
      </c>
      <c r="C34" s="5">
        <v>20277</v>
      </c>
      <c r="D34" s="17">
        <f t="shared" si="0"/>
        <v>0.08</v>
      </c>
      <c r="E34" s="5">
        <f t="shared" si="1"/>
        <v>21899.16</v>
      </c>
    </row>
    <row r="35" spans="1:5" x14ac:dyDescent="0.25">
      <c r="A35" t="s">
        <v>209</v>
      </c>
      <c r="B35" t="s">
        <v>210</v>
      </c>
      <c r="C35" s="5">
        <v>9685.8000000000011</v>
      </c>
      <c r="D35" s="17">
        <f t="shared" si="0"/>
        <v>0</v>
      </c>
      <c r="E35" s="5">
        <f t="shared" si="1"/>
        <v>9685.8000000000011</v>
      </c>
    </row>
    <row r="36" spans="1:5" x14ac:dyDescent="0.25">
      <c r="A36" t="s">
        <v>211</v>
      </c>
      <c r="B36" t="s">
        <v>186</v>
      </c>
      <c r="C36" s="5">
        <v>22056</v>
      </c>
      <c r="D36" s="17">
        <f t="shared" si="0"/>
        <v>0.08</v>
      </c>
      <c r="E36" s="5">
        <f t="shared" si="1"/>
        <v>23820.48</v>
      </c>
    </row>
    <row r="37" spans="1:5" x14ac:dyDescent="0.25">
      <c r="A37" t="s">
        <v>212</v>
      </c>
      <c r="B37" t="s">
        <v>213</v>
      </c>
      <c r="C37" s="5">
        <v>21205</v>
      </c>
      <c r="D37" s="17">
        <f t="shared" si="0"/>
        <v>0</v>
      </c>
      <c r="E37" s="5">
        <f t="shared" si="1"/>
        <v>21205</v>
      </c>
    </row>
    <row r="38" spans="1:5" x14ac:dyDescent="0.25">
      <c r="A38" t="s">
        <v>214</v>
      </c>
      <c r="B38" t="s">
        <v>183</v>
      </c>
      <c r="C38" s="5">
        <v>9523</v>
      </c>
      <c r="D38" s="17">
        <f t="shared" si="0"/>
        <v>0.05</v>
      </c>
      <c r="E38" s="5">
        <f t="shared" si="1"/>
        <v>9999.15</v>
      </c>
    </row>
    <row r="39" spans="1:5" x14ac:dyDescent="0.25">
      <c r="A39" t="s">
        <v>215</v>
      </c>
      <c r="B39" t="s">
        <v>210</v>
      </c>
      <c r="C39" s="5">
        <v>21515</v>
      </c>
      <c r="D39" s="17">
        <f t="shared" si="0"/>
        <v>0</v>
      </c>
      <c r="E39" s="5">
        <f t="shared" si="1"/>
        <v>21515</v>
      </c>
    </row>
    <row r="40" spans="1:5" x14ac:dyDescent="0.25">
      <c r="A40" t="s">
        <v>216</v>
      </c>
      <c r="B40" t="s">
        <v>201</v>
      </c>
      <c r="C40" s="5">
        <v>11332.800000000001</v>
      </c>
      <c r="D40" s="17">
        <f t="shared" si="0"/>
        <v>0.05</v>
      </c>
      <c r="E40" s="5">
        <f t="shared" si="1"/>
        <v>11899.44</v>
      </c>
    </row>
    <row r="41" spans="1:5" x14ac:dyDescent="0.25">
      <c r="A41" t="s">
        <v>217</v>
      </c>
      <c r="B41" t="s">
        <v>186</v>
      </c>
      <c r="C41" s="5">
        <v>11862.9</v>
      </c>
      <c r="D41" s="17">
        <f t="shared" si="0"/>
        <v>0.05</v>
      </c>
      <c r="E41" s="5">
        <f t="shared" si="1"/>
        <v>12456.045</v>
      </c>
    </row>
    <row r="42" spans="1:5" x14ac:dyDescent="0.25">
      <c r="A42" t="s">
        <v>218</v>
      </c>
      <c r="B42" t="s">
        <v>183</v>
      </c>
      <c r="C42" s="5">
        <v>10931.25</v>
      </c>
      <c r="D42" s="17">
        <f t="shared" si="0"/>
        <v>0.05</v>
      </c>
      <c r="E42" s="5">
        <f t="shared" si="1"/>
        <v>11477.8125</v>
      </c>
    </row>
    <row r="43" spans="1:5" x14ac:dyDescent="0.25">
      <c r="A43" t="s">
        <v>219</v>
      </c>
      <c r="B43" t="s">
        <v>186</v>
      </c>
      <c r="C43" s="5">
        <v>7434</v>
      </c>
      <c r="D43" s="17">
        <f t="shared" si="0"/>
        <v>0.05</v>
      </c>
      <c r="E43" s="5">
        <f t="shared" si="1"/>
        <v>7805.7</v>
      </c>
    </row>
    <row r="44" spans="1:5" x14ac:dyDescent="0.25">
      <c r="A44" t="s">
        <v>220</v>
      </c>
      <c r="B44" t="s">
        <v>183</v>
      </c>
      <c r="C44" s="5">
        <v>34105</v>
      </c>
      <c r="D44" s="17">
        <f t="shared" si="0"/>
        <v>0.12</v>
      </c>
      <c r="E44" s="5">
        <f t="shared" si="1"/>
        <v>38197.599999999999</v>
      </c>
    </row>
    <row r="45" spans="1:5" x14ac:dyDescent="0.25">
      <c r="A45" t="s">
        <v>221</v>
      </c>
      <c r="B45" t="s">
        <v>201</v>
      </c>
      <c r="C45" s="5">
        <v>19532</v>
      </c>
      <c r="D45" s="17">
        <f t="shared" si="0"/>
        <v>0.08</v>
      </c>
      <c r="E45" s="5">
        <f t="shared" si="1"/>
        <v>21094.560000000001</v>
      </c>
    </row>
    <row r="46" spans="1:5" x14ac:dyDescent="0.25">
      <c r="A46" t="s">
        <v>222</v>
      </c>
      <c r="B46" t="s">
        <v>183</v>
      </c>
      <c r="C46" s="5">
        <v>96912.900000000009</v>
      </c>
      <c r="D46" s="17">
        <f t="shared" si="0"/>
        <v>0.12</v>
      </c>
      <c r="E46" s="5">
        <f t="shared" si="1"/>
        <v>108542.448</v>
      </c>
    </row>
    <row r="47" spans="1:5" x14ac:dyDescent="0.25">
      <c r="A47" t="s">
        <v>223</v>
      </c>
      <c r="B47" t="s">
        <v>201</v>
      </c>
      <c r="C47" s="5">
        <v>11223</v>
      </c>
      <c r="D47" s="17">
        <f t="shared" si="0"/>
        <v>0.05</v>
      </c>
      <c r="E47" s="5">
        <f t="shared" si="1"/>
        <v>11784.15</v>
      </c>
    </row>
    <row r="48" spans="1:5" x14ac:dyDescent="0.25">
      <c r="A48" t="s">
        <v>224</v>
      </c>
      <c r="B48" t="s">
        <v>183</v>
      </c>
      <c r="C48" s="5">
        <v>16545.100000000002</v>
      </c>
      <c r="D48" s="17">
        <f t="shared" si="0"/>
        <v>0.08</v>
      </c>
      <c r="E48" s="5">
        <f t="shared" si="1"/>
        <v>17868.708000000002</v>
      </c>
    </row>
    <row r="49" spans="1:5" x14ac:dyDescent="0.25">
      <c r="A49" t="s">
        <v>225</v>
      </c>
      <c r="B49" t="s">
        <v>186</v>
      </c>
      <c r="C49" s="5">
        <v>25971.25</v>
      </c>
      <c r="D49" s="17">
        <f t="shared" si="0"/>
        <v>0.12</v>
      </c>
      <c r="E49" s="5">
        <f t="shared" si="1"/>
        <v>29087.8</v>
      </c>
    </row>
    <row r="50" spans="1:5" x14ac:dyDescent="0.25">
      <c r="A50" t="s">
        <v>226</v>
      </c>
      <c r="B50" t="s">
        <v>186</v>
      </c>
      <c r="C50" s="5">
        <v>10853.1</v>
      </c>
      <c r="D50" s="17">
        <f t="shared" si="0"/>
        <v>0.05</v>
      </c>
      <c r="E50" s="5">
        <f t="shared" si="1"/>
        <v>11395.755000000001</v>
      </c>
    </row>
    <row r="51" spans="1:5" x14ac:dyDescent="0.25">
      <c r="A51" t="s">
        <v>227</v>
      </c>
      <c r="B51" t="s">
        <v>186</v>
      </c>
      <c r="C51" s="5">
        <v>15115.1</v>
      </c>
      <c r="D51" s="17">
        <f t="shared" si="0"/>
        <v>0.08</v>
      </c>
      <c r="E51" s="5">
        <f t="shared" si="1"/>
        <v>16324.308000000001</v>
      </c>
    </row>
    <row r="52" spans="1:5" x14ac:dyDescent="0.25">
      <c r="A52" t="s">
        <v>228</v>
      </c>
      <c r="B52" t="s">
        <v>201</v>
      </c>
      <c r="C52" s="5">
        <v>39883.75</v>
      </c>
      <c r="D52" s="17">
        <f t="shared" si="0"/>
        <v>0.12</v>
      </c>
      <c r="E52" s="5">
        <f t="shared" si="1"/>
        <v>44669.8</v>
      </c>
    </row>
    <row r="53" spans="1:5" x14ac:dyDescent="0.25">
      <c r="A53" t="s">
        <v>229</v>
      </c>
      <c r="B53" t="s">
        <v>230</v>
      </c>
      <c r="C53" s="5">
        <v>11242</v>
      </c>
      <c r="D53" s="17">
        <f t="shared" si="0"/>
        <v>0.05</v>
      </c>
      <c r="E53" s="5">
        <f t="shared" si="1"/>
        <v>11804.1</v>
      </c>
    </row>
    <row r="54" spans="1:5" x14ac:dyDescent="0.25">
      <c r="A54" t="s">
        <v>231</v>
      </c>
      <c r="B54" t="s">
        <v>183</v>
      </c>
      <c r="C54" s="5">
        <v>23274.9</v>
      </c>
      <c r="D54" s="17">
        <f t="shared" si="0"/>
        <v>0.08</v>
      </c>
      <c r="E54" s="5">
        <f t="shared" si="1"/>
        <v>25136.892</v>
      </c>
    </row>
    <row r="55" spans="1:5" x14ac:dyDescent="0.25">
      <c r="A55" t="s">
        <v>232</v>
      </c>
      <c r="B55" t="s">
        <v>201</v>
      </c>
      <c r="C55" s="5">
        <v>29417.300000000003</v>
      </c>
      <c r="D55" s="17">
        <f t="shared" si="0"/>
        <v>0.12</v>
      </c>
      <c r="E55" s="5">
        <f t="shared" si="1"/>
        <v>32947.376000000004</v>
      </c>
    </row>
    <row r="56" spans="1:5" x14ac:dyDescent="0.25">
      <c r="A56" t="s">
        <v>233</v>
      </c>
      <c r="B56" t="s">
        <v>183</v>
      </c>
      <c r="C56" s="5">
        <v>12507</v>
      </c>
      <c r="D56" s="17">
        <f t="shared" si="0"/>
        <v>0.08</v>
      </c>
      <c r="E56" s="5">
        <f t="shared" si="1"/>
        <v>13507.56</v>
      </c>
    </row>
    <row r="57" spans="1:5" x14ac:dyDescent="0.25">
      <c r="A57" t="s">
        <v>234</v>
      </c>
      <c r="B57" t="s">
        <v>183</v>
      </c>
      <c r="C57" s="5">
        <v>34617</v>
      </c>
      <c r="D57" s="17">
        <f t="shared" si="0"/>
        <v>0.12</v>
      </c>
      <c r="E57" s="5">
        <f t="shared" si="1"/>
        <v>38771.040000000001</v>
      </c>
    </row>
    <row r="58" spans="1:5" x14ac:dyDescent="0.25">
      <c r="A58" t="s">
        <v>235</v>
      </c>
      <c r="B58" t="s">
        <v>201</v>
      </c>
      <c r="C58" s="5">
        <v>9042</v>
      </c>
      <c r="D58" s="17">
        <f t="shared" si="0"/>
        <v>0.05</v>
      </c>
      <c r="E58" s="5">
        <f t="shared" si="1"/>
        <v>9494.1</v>
      </c>
    </row>
    <row r="59" spans="1:5" x14ac:dyDescent="0.25">
      <c r="A59" t="s">
        <v>236</v>
      </c>
      <c r="B59" t="s">
        <v>183</v>
      </c>
      <c r="C59" s="5">
        <v>31263.100000000002</v>
      </c>
      <c r="D59" s="17">
        <f t="shared" si="0"/>
        <v>0.12</v>
      </c>
      <c r="E59" s="5">
        <f t="shared" si="1"/>
        <v>35014.672000000006</v>
      </c>
    </row>
    <row r="60" spans="1:5" x14ac:dyDescent="0.25">
      <c r="A60" t="s">
        <v>237</v>
      </c>
      <c r="B60" t="s">
        <v>183</v>
      </c>
      <c r="C60" s="5">
        <v>36993.599999999999</v>
      </c>
      <c r="D60" s="17">
        <f t="shared" si="0"/>
        <v>0.12</v>
      </c>
      <c r="E60" s="5">
        <f t="shared" si="1"/>
        <v>41432.831999999995</v>
      </c>
    </row>
    <row r="61" spans="1:5" x14ac:dyDescent="0.25">
      <c r="A61" t="s">
        <v>238</v>
      </c>
      <c r="B61" t="s">
        <v>201</v>
      </c>
      <c r="C61" s="5">
        <v>16533</v>
      </c>
      <c r="D61" s="17">
        <f t="shared" si="0"/>
        <v>0.08</v>
      </c>
      <c r="E61" s="5">
        <f t="shared" si="1"/>
        <v>17855.64</v>
      </c>
    </row>
    <row r="62" spans="1:5" x14ac:dyDescent="0.25">
      <c r="A62" t="s">
        <v>239</v>
      </c>
      <c r="B62" t="s">
        <v>201</v>
      </c>
      <c r="C62" s="5">
        <v>14622.300000000001</v>
      </c>
      <c r="D62" s="17">
        <f t="shared" si="0"/>
        <v>0.08</v>
      </c>
      <c r="E62" s="5">
        <f t="shared" si="1"/>
        <v>15792.084000000001</v>
      </c>
    </row>
    <row r="63" spans="1:5" x14ac:dyDescent="0.25">
      <c r="A63" t="s">
        <v>240</v>
      </c>
      <c r="B63" t="s">
        <v>183</v>
      </c>
      <c r="C63" s="5">
        <v>8115</v>
      </c>
      <c r="D63" s="17">
        <f t="shared" si="0"/>
        <v>0.05</v>
      </c>
      <c r="E63" s="5">
        <f t="shared" si="1"/>
        <v>8520.75</v>
      </c>
    </row>
    <row r="64" spans="1:5" x14ac:dyDescent="0.25">
      <c r="A64" t="s">
        <v>241</v>
      </c>
      <c r="B64" t="s">
        <v>213</v>
      </c>
      <c r="C64" s="5">
        <v>25467.3</v>
      </c>
      <c r="D64" s="17">
        <f t="shared" si="0"/>
        <v>0</v>
      </c>
      <c r="E64" s="5">
        <f t="shared" si="1"/>
        <v>25467.3</v>
      </c>
    </row>
    <row r="65" spans="1:5" x14ac:dyDescent="0.25">
      <c r="A65" t="s">
        <v>242</v>
      </c>
      <c r="B65" t="s">
        <v>183</v>
      </c>
      <c r="C65" s="5">
        <v>28598.400000000001</v>
      </c>
      <c r="D65" s="17">
        <f t="shared" si="0"/>
        <v>0.12</v>
      </c>
      <c r="E65" s="5">
        <f t="shared" si="1"/>
        <v>32030.208000000002</v>
      </c>
    </row>
    <row r="66" spans="1:5" x14ac:dyDescent="0.25">
      <c r="A66" t="s">
        <v>243</v>
      </c>
      <c r="B66" t="s">
        <v>244</v>
      </c>
      <c r="C66" s="5">
        <v>16262.1</v>
      </c>
      <c r="D66" s="17">
        <f t="shared" si="0"/>
        <v>0.08</v>
      </c>
      <c r="E66" s="5">
        <f t="shared" si="1"/>
        <v>17563.067999999999</v>
      </c>
    </row>
    <row r="67" spans="1:5" x14ac:dyDescent="0.25">
      <c r="A67" t="s">
        <v>245</v>
      </c>
      <c r="B67" t="s">
        <v>210</v>
      </c>
      <c r="C67" s="5">
        <v>21338</v>
      </c>
      <c r="D67" s="17">
        <f t="shared" si="0"/>
        <v>0</v>
      </c>
      <c r="E67" s="5">
        <f t="shared" si="1"/>
        <v>21338</v>
      </c>
    </row>
    <row r="68" spans="1:5" x14ac:dyDescent="0.25">
      <c r="A68" t="s">
        <v>246</v>
      </c>
      <c r="B68" t="s">
        <v>201</v>
      </c>
      <c r="C68" s="5">
        <v>24823.7</v>
      </c>
      <c r="D68" s="17">
        <f t="shared" si="0"/>
        <v>0.08</v>
      </c>
      <c r="E68" s="5">
        <f t="shared" si="1"/>
        <v>26809.596000000001</v>
      </c>
    </row>
    <row r="69" spans="1:5" x14ac:dyDescent="0.25">
      <c r="A69" t="s">
        <v>247</v>
      </c>
      <c r="B69" t="s">
        <v>183</v>
      </c>
      <c r="C69" s="5">
        <v>15317</v>
      </c>
      <c r="D69" s="17">
        <f t="shared" si="0"/>
        <v>0.08</v>
      </c>
      <c r="E69" s="5">
        <f t="shared" si="1"/>
        <v>16542.36</v>
      </c>
    </row>
    <row r="70" spans="1:5" x14ac:dyDescent="0.25">
      <c r="A70" t="s">
        <v>248</v>
      </c>
      <c r="B70" t="s">
        <v>201</v>
      </c>
      <c r="C70" s="5">
        <v>24462.75</v>
      </c>
      <c r="D70" s="17">
        <f t="shared" si="0"/>
        <v>0.08</v>
      </c>
      <c r="E70" s="5">
        <f t="shared" si="1"/>
        <v>26419.77</v>
      </c>
    </row>
    <row r="71" spans="1:5" x14ac:dyDescent="0.25">
      <c r="A71" t="s">
        <v>249</v>
      </c>
      <c r="B71" t="s">
        <v>186</v>
      </c>
      <c r="C71" s="5">
        <v>16084.2</v>
      </c>
      <c r="D71" s="17">
        <f t="shared" si="0"/>
        <v>0.08</v>
      </c>
      <c r="E71" s="5">
        <f t="shared" si="1"/>
        <v>17370.936000000002</v>
      </c>
    </row>
    <row r="72" spans="1:5" x14ac:dyDescent="0.25">
      <c r="A72" t="s">
        <v>250</v>
      </c>
      <c r="B72" t="s">
        <v>183</v>
      </c>
      <c r="C72" s="5">
        <v>25673.4</v>
      </c>
      <c r="D72" s="17">
        <f t="shared" si="0"/>
        <v>0.12</v>
      </c>
      <c r="E72" s="5">
        <f t="shared" si="1"/>
        <v>28754.208000000002</v>
      </c>
    </row>
    <row r="73" spans="1:5" x14ac:dyDescent="0.25">
      <c r="A73" t="s">
        <v>251</v>
      </c>
      <c r="B73" t="s">
        <v>183</v>
      </c>
      <c r="C73" s="5">
        <v>9206</v>
      </c>
      <c r="D73" s="17">
        <f t="shared" si="0"/>
        <v>0.05</v>
      </c>
      <c r="E73" s="5">
        <f t="shared" si="1"/>
        <v>9666.2999999999993</v>
      </c>
    </row>
    <row r="74" spans="1:5" x14ac:dyDescent="0.25">
      <c r="A74" t="s">
        <v>252</v>
      </c>
      <c r="B74" t="s">
        <v>213</v>
      </c>
      <c r="C74" s="5">
        <v>87215.700000000012</v>
      </c>
      <c r="D74" s="17">
        <f t="shared" si="0"/>
        <v>0</v>
      </c>
      <c r="E74" s="5">
        <f t="shared" si="1"/>
        <v>87215.700000000012</v>
      </c>
    </row>
    <row r="75" spans="1:5" x14ac:dyDescent="0.25">
      <c r="A75" t="s">
        <v>253</v>
      </c>
      <c r="B75" t="s">
        <v>183</v>
      </c>
      <c r="C75" s="5">
        <v>42831</v>
      </c>
      <c r="D75" s="17">
        <f t="shared" si="0"/>
        <v>0.12</v>
      </c>
      <c r="E75" s="5">
        <f t="shared" si="1"/>
        <v>47970.720000000001</v>
      </c>
    </row>
    <row r="76" spans="1:5" x14ac:dyDescent="0.25">
      <c r="A76" t="s">
        <v>254</v>
      </c>
      <c r="B76" t="s">
        <v>230</v>
      </c>
      <c r="C76" s="5">
        <v>24055.200000000001</v>
      </c>
      <c r="D76" s="17">
        <f t="shared" si="0"/>
        <v>0.08</v>
      </c>
      <c r="E76" s="5">
        <f t="shared" si="1"/>
        <v>25979.616000000002</v>
      </c>
    </row>
    <row r="77" spans="1:5" x14ac:dyDescent="0.25">
      <c r="A77" t="s">
        <v>255</v>
      </c>
      <c r="B77" t="s">
        <v>183</v>
      </c>
      <c r="C77" s="5">
        <v>8492</v>
      </c>
      <c r="D77" s="17">
        <f t="shared" ref="D77:D140" si="2">IF(B77="RH",0,IF(B77="RESO",0,IF(C77&gt;$O$19,$P$19,IF(C77&gt;$O$17,$P$18,IF(C77&gt;$O$16,$P$17,IF(C77&gt;0,$P$16,0))))))</f>
        <v>0.05</v>
      </c>
      <c r="E77" s="5">
        <f t="shared" ref="E77:E140" si="3">(D77*C77)+C77</f>
        <v>8916.6</v>
      </c>
    </row>
    <row r="78" spans="1:5" x14ac:dyDescent="0.25">
      <c r="A78" t="s">
        <v>256</v>
      </c>
      <c r="B78" t="s">
        <v>183</v>
      </c>
      <c r="C78" s="5">
        <v>16329.6</v>
      </c>
      <c r="D78" s="17">
        <f t="shared" si="2"/>
        <v>0.08</v>
      </c>
      <c r="E78" s="5">
        <f t="shared" si="3"/>
        <v>17635.968000000001</v>
      </c>
    </row>
    <row r="79" spans="1:5" x14ac:dyDescent="0.25">
      <c r="A79" t="s">
        <v>257</v>
      </c>
      <c r="B79" t="s">
        <v>198</v>
      </c>
      <c r="C79" s="5">
        <v>12530</v>
      </c>
      <c r="D79" s="17">
        <f t="shared" si="2"/>
        <v>0.08</v>
      </c>
      <c r="E79" s="5">
        <f t="shared" si="3"/>
        <v>13532.4</v>
      </c>
    </row>
    <row r="80" spans="1:5" x14ac:dyDescent="0.25">
      <c r="A80" t="s">
        <v>258</v>
      </c>
      <c r="B80" t="s">
        <v>183</v>
      </c>
      <c r="C80" s="5">
        <v>21159.600000000002</v>
      </c>
      <c r="D80" s="17">
        <f t="shared" si="2"/>
        <v>0.08</v>
      </c>
      <c r="E80" s="5">
        <f t="shared" si="3"/>
        <v>22852.368000000002</v>
      </c>
    </row>
    <row r="81" spans="1:5" x14ac:dyDescent="0.25">
      <c r="A81" t="s">
        <v>259</v>
      </c>
      <c r="B81" t="s">
        <v>186</v>
      </c>
      <c r="C81" s="5">
        <v>8002.8</v>
      </c>
      <c r="D81" s="17">
        <f t="shared" si="2"/>
        <v>0.05</v>
      </c>
      <c r="E81" s="5">
        <f t="shared" si="3"/>
        <v>8402.94</v>
      </c>
    </row>
    <row r="82" spans="1:5" x14ac:dyDescent="0.25">
      <c r="A82" t="s">
        <v>260</v>
      </c>
      <c r="B82" t="s">
        <v>186</v>
      </c>
      <c r="C82" s="5">
        <v>55270.8</v>
      </c>
      <c r="D82" s="17">
        <f t="shared" si="2"/>
        <v>0.12</v>
      </c>
      <c r="E82" s="5">
        <f t="shared" si="3"/>
        <v>61903.296000000002</v>
      </c>
    </row>
    <row r="83" spans="1:5" x14ac:dyDescent="0.25">
      <c r="A83" t="s">
        <v>261</v>
      </c>
      <c r="B83" t="s">
        <v>186</v>
      </c>
      <c r="C83" s="5">
        <v>12947</v>
      </c>
      <c r="D83" s="17">
        <f t="shared" si="2"/>
        <v>0.08</v>
      </c>
      <c r="E83" s="5">
        <f t="shared" si="3"/>
        <v>13982.76</v>
      </c>
    </row>
    <row r="84" spans="1:5" x14ac:dyDescent="0.25">
      <c r="A84" t="s">
        <v>262</v>
      </c>
      <c r="B84" t="s">
        <v>201</v>
      </c>
      <c r="C84" s="5">
        <v>16269.75</v>
      </c>
      <c r="D84" s="17">
        <f t="shared" si="2"/>
        <v>0.08</v>
      </c>
      <c r="E84" s="5">
        <f t="shared" si="3"/>
        <v>17571.330000000002</v>
      </c>
    </row>
    <row r="85" spans="1:5" x14ac:dyDescent="0.25">
      <c r="A85" t="s">
        <v>263</v>
      </c>
      <c r="B85" t="s">
        <v>183</v>
      </c>
      <c r="C85" s="5">
        <v>23828.2</v>
      </c>
      <c r="D85" s="17">
        <f t="shared" si="2"/>
        <v>0.08</v>
      </c>
      <c r="E85" s="5">
        <f t="shared" si="3"/>
        <v>25734.456000000002</v>
      </c>
    </row>
    <row r="86" spans="1:5" x14ac:dyDescent="0.25">
      <c r="A86" t="s">
        <v>264</v>
      </c>
      <c r="B86" t="s">
        <v>230</v>
      </c>
      <c r="C86" s="5">
        <v>8885</v>
      </c>
      <c r="D86" s="17">
        <f t="shared" si="2"/>
        <v>0.05</v>
      </c>
      <c r="E86" s="5">
        <f t="shared" si="3"/>
        <v>9329.25</v>
      </c>
    </row>
    <row r="87" spans="1:5" x14ac:dyDescent="0.25">
      <c r="A87" t="s">
        <v>265</v>
      </c>
      <c r="B87" t="s">
        <v>201</v>
      </c>
      <c r="C87" s="5">
        <v>11123.1</v>
      </c>
      <c r="D87" s="17">
        <f t="shared" si="2"/>
        <v>0.05</v>
      </c>
      <c r="E87" s="5">
        <f t="shared" si="3"/>
        <v>11679.255000000001</v>
      </c>
    </row>
    <row r="88" spans="1:5" x14ac:dyDescent="0.25">
      <c r="A88" t="s">
        <v>266</v>
      </c>
      <c r="B88" t="s">
        <v>201</v>
      </c>
      <c r="C88" s="5">
        <v>15415</v>
      </c>
      <c r="D88" s="17">
        <f t="shared" si="2"/>
        <v>0.08</v>
      </c>
      <c r="E88" s="5">
        <f t="shared" si="3"/>
        <v>16648.2</v>
      </c>
    </row>
    <row r="89" spans="1:5" x14ac:dyDescent="0.25">
      <c r="A89" t="s">
        <v>267</v>
      </c>
      <c r="B89" t="s">
        <v>186</v>
      </c>
      <c r="C89" s="5">
        <v>18797.5</v>
      </c>
      <c r="D89" s="17">
        <f t="shared" si="2"/>
        <v>0.08</v>
      </c>
      <c r="E89" s="5">
        <f t="shared" si="3"/>
        <v>20301.3</v>
      </c>
    </row>
    <row r="90" spans="1:5" x14ac:dyDescent="0.25">
      <c r="A90" t="s">
        <v>268</v>
      </c>
      <c r="B90" t="s">
        <v>230</v>
      </c>
      <c r="C90" s="5">
        <v>10675</v>
      </c>
      <c r="D90" s="17">
        <f t="shared" si="2"/>
        <v>0.05</v>
      </c>
      <c r="E90" s="5">
        <f t="shared" si="3"/>
        <v>11208.75</v>
      </c>
    </row>
    <row r="91" spans="1:5" x14ac:dyDescent="0.25">
      <c r="A91" t="s">
        <v>269</v>
      </c>
      <c r="B91" t="s">
        <v>201</v>
      </c>
      <c r="C91" s="5">
        <v>10147</v>
      </c>
      <c r="D91" s="17">
        <f t="shared" si="2"/>
        <v>0.05</v>
      </c>
      <c r="E91" s="5">
        <f t="shared" si="3"/>
        <v>10654.35</v>
      </c>
    </row>
    <row r="92" spans="1:5" x14ac:dyDescent="0.25">
      <c r="A92" t="s">
        <v>270</v>
      </c>
      <c r="B92" t="s">
        <v>201</v>
      </c>
      <c r="C92" s="5">
        <v>11106</v>
      </c>
      <c r="D92" s="17">
        <f t="shared" si="2"/>
        <v>0.05</v>
      </c>
      <c r="E92" s="5">
        <f t="shared" si="3"/>
        <v>11661.3</v>
      </c>
    </row>
    <row r="93" spans="1:5" x14ac:dyDescent="0.25">
      <c r="A93" t="s">
        <v>271</v>
      </c>
      <c r="B93" t="s">
        <v>201</v>
      </c>
      <c r="C93" s="5">
        <v>41416.200000000004</v>
      </c>
      <c r="D93" s="17">
        <f t="shared" si="2"/>
        <v>0.12</v>
      </c>
      <c r="E93" s="5">
        <f t="shared" si="3"/>
        <v>46386.144000000008</v>
      </c>
    </row>
    <row r="94" spans="1:5" x14ac:dyDescent="0.25">
      <c r="A94" t="s">
        <v>272</v>
      </c>
      <c r="B94" t="s">
        <v>186</v>
      </c>
      <c r="C94" s="5">
        <v>14261</v>
      </c>
      <c r="D94" s="17">
        <f t="shared" si="2"/>
        <v>0.08</v>
      </c>
      <c r="E94" s="5">
        <f t="shared" si="3"/>
        <v>15401.880000000001</v>
      </c>
    </row>
    <row r="95" spans="1:5" x14ac:dyDescent="0.25">
      <c r="A95" t="s">
        <v>273</v>
      </c>
      <c r="B95" t="s">
        <v>183</v>
      </c>
      <c r="C95" s="5">
        <v>10926.9</v>
      </c>
      <c r="D95" s="17">
        <f t="shared" si="2"/>
        <v>0.05</v>
      </c>
      <c r="E95" s="5">
        <f t="shared" si="3"/>
        <v>11473.244999999999</v>
      </c>
    </row>
    <row r="96" spans="1:5" x14ac:dyDescent="0.25">
      <c r="A96" t="s">
        <v>274</v>
      </c>
      <c r="B96" t="s">
        <v>186</v>
      </c>
      <c r="C96" s="5">
        <v>10289</v>
      </c>
      <c r="D96" s="17">
        <f t="shared" si="2"/>
        <v>0.05</v>
      </c>
      <c r="E96" s="5">
        <f t="shared" si="3"/>
        <v>10803.45</v>
      </c>
    </row>
    <row r="97" spans="1:5" x14ac:dyDescent="0.25">
      <c r="A97" t="s">
        <v>275</v>
      </c>
      <c r="B97" t="s">
        <v>183</v>
      </c>
      <c r="C97" s="5">
        <v>9647.1</v>
      </c>
      <c r="D97" s="17">
        <f t="shared" si="2"/>
        <v>0.05</v>
      </c>
      <c r="E97" s="5">
        <f t="shared" si="3"/>
        <v>10129.455</v>
      </c>
    </row>
    <row r="98" spans="1:5" x14ac:dyDescent="0.25">
      <c r="A98" t="s">
        <v>276</v>
      </c>
      <c r="B98" t="s">
        <v>201</v>
      </c>
      <c r="C98" s="5">
        <v>22590</v>
      </c>
      <c r="D98" s="17">
        <f t="shared" si="2"/>
        <v>0.08</v>
      </c>
      <c r="E98" s="5">
        <f t="shared" si="3"/>
        <v>24397.200000000001</v>
      </c>
    </row>
    <row r="99" spans="1:5" x14ac:dyDescent="0.25">
      <c r="A99" t="s">
        <v>277</v>
      </c>
      <c r="B99" t="s">
        <v>201</v>
      </c>
      <c r="C99" s="5">
        <v>16293</v>
      </c>
      <c r="D99" s="17">
        <f t="shared" si="2"/>
        <v>0.08</v>
      </c>
      <c r="E99" s="5">
        <f t="shared" si="3"/>
        <v>17596.439999999999</v>
      </c>
    </row>
    <row r="100" spans="1:5" x14ac:dyDescent="0.25">
      <c r="A100" t="s">
        <v>278</v>
      </c>
      <c r="B100" t="s">
        <v>244</v>
      </c>
      <c r="C100" s="5">
        <v>10615</v>
      </c>
      <c r="D100" s="17">
        <f t="shared" si="2"/>
        <v>0.05</v>
      </c>
      <c r="E100" s="5">
        <f t="shared" si="3"/>
        <v>11145.75</v>
      </c>
    </row>
    <row r="101" spans="1:5" x14ac:dyDescent="0.25">
      <c r="A101" t="s">
        <v>279</v>
      </c>
      <c r="B101" t="s">
        <v>186</v>
      </c>
      <c r="C101" s="5">
        <v>18838.8</v>
      </c>
      <c r="D101" s="17">
        <f t="shared" si="2"/>
        <v>0.08</v>
      </c>
      <c r="E101" s="5">
        <f t="shared" si="3"/>
        <v>20345.903999999999</v>
      </c>
    </row>
    <row r="102" spans="1:5" x14ac:dyDescent="0.25">
      <c r="A102" t="s">
        <v>280</v>
      </c>
      <c r="B102" t="s">
        <v>201</v>
      </c>
      <c r="C102" s="5">
        <v>8539</v>
      </c>
      <c r="D102" s="17">
        <f t="shared" si="2"/>
        <v>0.05</v>
      </c>
      <c r="E102" s="5">
        <f t="shared" si="3"/>
        <v>8965.9500000000007</v>
      </c>
    </row>
    <row r="103" spans="1:5" x14ac:dyDescent="0.25">
      <c r="A103" t="s">
        <v>281</v>
      </c>
      <c r="B103" t="s">
        <v>198</v>
      </c>
      <c r="C103" s="5">
        <v>12928</v>
      </c>
      <c r="D103" s="17">
        <f t="shared" si="2"/>
        <v>0.08</v>
      </c>
      <c r="E103" s="5">
        <f t="shared" si="3"/>
        <v>13962.24</v>
      </c>
    </row>
    <row r="104" spans="1:5" x14ac:dyDescent="0.25">
      <c r="A104" t="s">
        <v>282</v>
      </c>
      <c r="B104" t="s">
        <v>186</v>
      </c>
      <c r="C104" s="5">
        <v>14443.5</v>
      </c>
      <c r="D104" s="17">
        <f t="shared" si="2"/>
        <v>0.08</v>
      </c>
      <c r="E104" s="5">
        <f t="shared" si="3"/>
        <v>15598.98</v>
      </c>
    </row>
    <row r="105" spans="1:5" x14ac:dyDescent="0.25">
      <c r="A105" t="s">
        <v>283</v>
      </c>
      <c r="B105" t="s">
        <v>183</v>
      </c>
      <c r="C105" s="5">
        <v>98533.6</v>
      </c>
      <c r="D105" s="17">
        <f t="shared" si="2"/>
        <v>0.12</v>
      </c>
      <c r="E105" s="5">
        <f t="shared" si="3"/>
        <v>110357.63200000001</v>
      </c>
    </row>
    <row r="106" spans="1:5" x14ac:dyDescent="0.25">
      <c r="A106" t="s">
        <v>284</v>
      </c>
      <c r="B106" t="s">
        <v>244</v>
      </c>
      <c r="C106" s="5">
        <v>17358</v>
      </c>
      <c r="D106" s="17">
        <f t="shared" si="2"/>
        <v>0.08</v>
      </c>
      <c r="E106" s="5">
        <f t="shared" si="3"/>
        <v>18746.64</v>
      </c>
    </row>
    <row r="107" spans="1:5" x14ac:dyDescent="0.25">
      <c r="A107" t="s">
        <v>285</v>
      </c>
      <c r="B107" t="s">
        <v>183</v>
      </c>
      <c r="C107" s="5">
        <v>15750.900000000001</v>
      </c>
      <c r="D107" s="17">
        <f t="shared" si="2"/>
        <v>0.08</v>
      </c>
      <c r="E107" s="5">
        <f t="shared" si="3"/>
        <v>17010.972000000002</v>
      </c>
    </row>
    <row r="108" spans="1:5" x14ac:dyDescent="0.25">
      <c r="A108" t="s">
        <v>286</v>
      </c>
      <c r="B108" t="s">
        <v>186</v>
      </c>
      <c r="C108" s="5">
        <v>10658</v>
      </c>
      <c r="D108" s="17">
        <f t="shared" si="2"/>
        <v>0.05</v>
      </c>
      <c r="E108" s="5">
        <f t="shared" si="3"/>
        <v>11190.9</v>
      </c>
    </row>
    <row r="109" spans="1:5" x14ac:dyDescent="0.25">
      <c r="A109" t="s">
        <v>287</v>
      </c>
      <c r="B109" t="s">
        <v>201</v>
      </c>
      <c r="C109" s="5">
        <v>49881.700000000004</v>
      </c>
      <c r="D109" s="17">
        <f t="shared" si="2"/>
        <v>0.12</v>
      </c>
      <c r="E109" s="5">
        <f t="shared" si="3"/>
        <v>55867.504000000001</v>
      </c>
    </row>
    <row r="110" spans="1:5" x14ac:dyDescent="0.25">
      <c r="A110" t="s">
        <v>288</v>
      </c>
      <c r="B110" t="s">
        <v>186</v>
      </c>
      <c r="C110" s="5">
        <v>6621.75</v>
      </c>
      <c r="D110" s="17">
        <f t="shared" si="2"/>
        <v>0.05</v>
      </c>
      <c r="E110" s="5">
        <f t="shared" si="3"/>
        <v>6952.8374999999996</v>
      </c>
    </row>
    <row r="111" spans="1:5" x14ac:dyDescent="0.25">
      <c r="A111" t="s">
        <v>289</v>
      </c>
      <c r="B111" t="s">
        <v>201</v>
      </c>
      <c r="C111" s="5">
        <v>22278</v>
      </c>
      <c r="D111" s="17">
        <f t="shared" si="2"/>
        <v>0.08</v>
      </c>
      <c r="E111" s="5">
        <f t="shared" si="3"/>
        <v>24060.240000000002</v>
      </c>
    </row>
    <row r="112" spans="1:5" x14ac:dyDescent="0.25">
      <c r="A112" t="s">
        <v>290</v>
      </c>
      <c r="B112" t="s">
        <v>244</v>
      </c>
      <c r="C112" s="5">
        <v>15176</v>
      </c>
      <c r="D112" s="17">
        <f t="shared" si="2"/>
        <v>0.08</v>
      </c>
      <c r="E112" s="5">
        <f t="shared" si="3"/>
        <v>16390.080000000002</v>
      </c>
    </row>
    <row r="113" spans="1:5" x14ac:dyDescent="0.25">
      <c r="A113" t="s">
        <v>291</v>
      </c>
      <c r="B113" t="s">
        <v>201</v>
      </c>
      <c r="C113" s="5">
        <v>10795.5</v>
      </c>
      <c r="D113" s="17">
        <f t="shared" si="2"/>
        <v>0.05</v>
      </c>
      <c r="E113" s="5">
        <f t="shared" si="3"/>
        <v>11335.275</v>
      </c>
    </row>
    <row r="114" spans="1:5" x14ac:dyDescent="0.25">
      <c r="A114" t="s">
        <v>292</v>
      </c>
      <c r="B114" t="s">
        <v>201</v>
      </c>
      <c r="C114" s="5">
        <v>14200</v>
      </c>
      <c r="D114" s="17">
        <f t="shared" si="2"/>
        <v>0.08</v>
      </c>
      <c r="E114" s="5">
        <f t="shared" si="3"/>
        <v>15336</v>
      </c>
    </row>
    <row r="115" spans="1:5" x14ac:dyDescent="0.25">
      <c r="A115" t="s">
        <v>293</v>
      </c>
      <c r="B115" t="s">
        <v>213</v>
      </c>
      <c r="C115" s="5">
        <v>21391</v>
      </c>
      <c r="D115" s="17">
        <f t="shared" si="2"/>
        <v>0</v>
      </c>
      <c r="E115" s="5">
        <f t="shared" si="3"/>
        <v>21391</v>
      </c>
    </row>
    <row r="116" spans="1:5" x14ac:dyDescent="0.25">
      <c r="A116" t="s">
        <v>294</v>
      </c>
      <c r="B116" t="s">
        <v>186</v>
      </c>
      <c r="C116" s="5">
        <v>11691.900000000001</v>
      </c>
      <c r="D116" s="17">
        <f t="shared" si="2"/>
        <v>0.05</v>
      </c>
      <c r="E116" s="5">
        <f t="shared" si="3"/>
        <v>12276.495000000001</v>
      </c>
    </row>
    <row r="117" spans="1:5" x14ac:dyDescent="0.25">
      <c r="A117" t="s">
        <v>295</v>
      </c>
      <c r="B117" t="s">
        <v>183</v>
      </c>
      <c r="C117" s="5">
        <v>15900.500000000002</v>
      </c>
      <c r="D117" s="17">
        <f t="shared" si="2"/>
        <v>0.08</v>
      </c>
      <c r="E117" s="5">
        <f t="shared" si="3"/>
        <v>17172.54</v>
      </c>
    </row>
    <row r="118" spans="1:5" x14ac:dyDescent="0.25">
      <c r="A118" t="s">
        <v>296</v>
      </c>
      <c r="B118" t="s">
        <v>186</v>
      </c>
      <c r="C118" s="5">
        <v>20113</v>
      </c>
      <c r="D118" s="17">
        <f t="shared" si="2"/>
        <v>0.08</v>
      </c>
      <c r="E118" s="5">
        <f t="shared" si="3"/>
        <v>21722.04</v>
      </c>
    </row>
    <row r="119" spans="1:5" x14ac:dyDescent="0.25">
      <c r="A119" t="s">
        <v>297</v>
      </c>
      <c r="B119" t="s">
        <v>201</v>
      </c>
      <c r="C119" s="5">
        <v>11943</v>
      </c>
      <c r="D119" s="17">
        <f t="shared" si="2"/>
        <v>0.05</v>
      </c>
      <c r="E119" s="5">
        <f t="shared" si="3"/>
        <v>12540.15</v>
      </c>
    </row>
    <row r="120" spans="1:5" x14ac:dyDescent="0.25">
      <c r="A120" t="s">
        <v>298</v>
      </c>
      <c r="B120" t="s">
        <v>183</v>
      </c>
      <c r="C120" s="5">
        <v>12753</v>
      </c>
      <c r="D120" s="17">
        <f t="shared" si="2"/>
        <v>0.08</v>
      </c>
      <c r="E120" s="5">
        <f t="shared" si="3"/>
        <v>13773.24</v>
      </c>
    </row>
    <row r="121" spans="1:5" x14ac:dyDescent="0.25">
      <c r="A121" t="s">
        <v>299</v>
      </c>
      <c r="B121" t="s">
        <v>230</v>
      </c>
      <c r="C121" s="5">
        <v>8667.9</v>
      </c>
      <c r="D121" s="17">
        <f t="shared" si="2"/>
        <v>0.05</v>
      </c>
      <c r="E121" s="5">
        <f t="shared" si="3"/>
        <v>9101.2950000000001</v>
      </c>
    </row>
    <row r="122" spans="1:5" x14ac:dyDescent="0.25">
      <c r="A122" t="s">
        <v>300</v>
      </c>
      <c r="B122" t="s">
        <v>186</v>
      </c>
      <c r="C122" s="5">
        <v>26094.600000000002</v>
      </c>
      <c r="D122" s="17">
        <f t="shared" si="2"/>
        <v>0.12</v>
      </c>
      <c r="E122" s="5">
        <f t="shared" si="3"/>
        <v>29225.952000000001</v>
      </c>
    </row>
    <row r="123" spans="1:5" x14ac:dyDescent="0.25">
      <c r="A123" t="s">
        <v>301</v>
      </c>
      <c r="B123" t="s">
        <v>201</v>
      </c>
      <c r="C123" s="5">
        <v>27212.400000000001</v>
      </c>
      <c r="D123" s="17">
        <f t="shared" si="2"/>
        <v>0.12</v>
      </c>
      <c r="E123" s="5">
        <f t="shared" si="3"/>
        <v>30477.888000000003</v>
      </c>
    </row>
    <row r="124" spans="1:5" x14ac:dyDescent="0.25">
      <c r="A124" t="s">
        <v>302</v>
      </c>
      <c r="B124" t="s">
        <v>186</v>
      </c>
      <c r="C124" s="5">
        <v>10535</v>
      </c>
      <c r="D124" s="17">
        <f t="shared" si="2"/>
        <v>0.05</v>
      </c>
      <c r="E124" s="5">
        <f t="shared" si="3"/>
        <v>11061.75</v>
      </c>
    </row>
    <row r="125" spans="1:5" x14ac:dyDescent="0.25">
      <c r="A125" t="s">
        <v>303</v>
      </c>
      <c r="B125" t="s">
        <v>183</v>
      </c>
      <c r="C125" s="5">
        <v>16634</v>
      </c>
      <c r="D125" s="17">
        <f t="shared" si="2"/>
        <v>0.08</v>
      </c>
      <c r="E125" s="5">
        <f t="shared" si="3"/>
        <v>17964.72</v>
      </c>
    </row>
    <row r="126" spans="1:5" x14ac:dyDescent="0.25">
      <c r="A126" t="s">
        <v>304</v>
      </c>
      <c r="B126" t="s">
        <v>183</v>
      </c>
      <c r="C126" s="5">
        <v>9609.6</v>
      </c>
      <c r="D126" s="17">
        <f t="shared" si="2"/>
        <v>0.05</v>
      </c>
      <c r="E126" s="5">
        <f t="shared" si="3"/>
        <v>10090.08</v>
      </c>
    </row>
    <row r="127" spans="1:5" x14ac:dyDescent="0.25">
      <c r="A127" t="s">
        <v>305</v>
      </c>
      <c r="B127" t="s">
        <v>183</v>
      </c>
      <c r="C127" s="5">
        <v>8977.5</v>
      </c>
      <c r="D127" s="17">
        <f t="shared" si="2"/>
        <v>0.05</v>
      </c>
      <c r="E127" s="5">
        <f t="shared" si="3"/>
        <v>9426.375</v>
      </c>
    </row>
    <row r="128" spans="1:5" x14ac:dyDescent="0.25">
      <c r="A128" t="s">
        <v>306</v>
      </c>
      <c r="B128" t="s">
        <v>183</v>
      </c>
      <c r="C128" s="5">
        <v>18758.75</v>
      </c>
      <c r="D128" s="17">
        <f t="shared" si="2"/>
        <v>0.08</v>
      </c>
      <c r="E128" s="5">
        <f t="shared" si="3"/>
        <v>20259.45</v>
      </c>
    </row>
    <row r="129" spans="1:5" x14ac:dyDescent="0.25">
      <c r="A129" t="s">
        <v>307</v>
      </c>
      <c r="B129" t="s">
        <v>186</v>
      </c>
      <c r="C129" s="5">
        <v>11301</v>
      </c>
      <c r="D129" s="17">
        <f t="shared" si="2"/>
        <v>0.05</v>
      </c>
      <c r="E129" s="5">
        <f t="shared" si="3"/>
        <v>11866.05</v>
      </c>
    </row>
    <row r="130" spans="1:5" x14ac:dyDescent="0.25">
      <c r="A130" t="s">
        <v>308</v>
      </c>
      <c r="B130" t="s">
        <v>186</v>
      </c>
      <c r="C130" s="5">
        <v>12392</v>
      </c>
      <c r="D130" s="17">
        <f t="shared" si="2"/>
        <v>0.08</v>
      </c>
      <c r="E130" s="5">
        <f t="shared" si="3"/>
        <v>13383.36</v>
      </c>
    </row>
    <row r="131" spans="1:5" x14ac:dyDescent="0.25">
      <c r="A131" t="s">
        <v>309</v>
      </c>
      <c r="B131" t="s">
        <v>183</v>
      </c>
      <c r="C131" s="5">
        <v>10897</v>
      </c>
      <c r="D131" s="17">
        <f t="shared" si="2"/>
        <v>0.05</v>
      </c>
      <c r="E131" s="5">
        <f t="shared" si="3"/>
        <v>11441.85</v>
      </c>
    </row>
    <row r="132" spans="1:5" x14ac:dyDescent="0.25">
      <c r="A132" t="s">
        <v>310</v>
      </c>
      <c r="B132" t="s">
        <v>183</v>
      </c>
      <c r="C132" s="5">
        <v>22526</v>
      </c>
      <c r="D132" s="17">
        <f t="shared" si="2"/>
        <v>0.08</v>
      </c>
      <c r="E132" s="5">
        <f t="shared" si="3"/>
        <v>24328.080000000002</v>
      </c>
    </row>
    <row r="133" spans="1:5" x14ac:dyDescent="0.25">
      <c r="A133" t="s">
        <v>311</v>
      </c>
      <c r="B133" t="s">
        <v>201</v>
      </c>
      <c r="C133" s="5">
        <v>55275</v>
      </c>
      <c r="D133" s="17">
        <f t="shared" si="2"/>
        <v>0.12</v>
      </c>
      <c r="E133" s="5">
        <f t="shared" si="3"/>
        <v>61908</v>
      </c>
    </row>
    <row r="134" spans="1:5" x14ac:dyDescent="0.25">
      <c r="A134" t="s">
        <v>312</v>
      </c>
      <c r="B134" t="s">
        <v>186</v>
      </c>
      <c r="C134" s="5">
        <v>8492</v>
      </c>
      <c r="D134" s="17">
        <f t="shared" si="2"/>
        <v>0.05</v>
      </c>
      <c r="E134" s="5">
        <f t="shared" si="3"/>
        <v>8916.6</v>
      </c>
    </row>
    <row r="135" spans="1:5" x14ac:dyDescent="0.25">
      <c r="A135" t="s">
        <v>313</v>
      </c>
      <c r="B135" t="s">
        <v>210</v>
      </c>
      <c r="C135" s="5">
        <v>9250.2000000000007</v>
      </c>
      <c r="D135" s="17">
        <f t="shared" si="2"/>
        <v>0</v>
      </c>
      <c r="E135" s="5">
        <f t="shared" si="3"/>
        <v>9250.2000000000007</v>
      </c>
    </row>
    <row r="136" spans="1:5" x14ac:dyDescent="0.25">
      <c r="A136" t="s">
        <v>314</v>
      </c>
      <c r="B136" t="s">
        <v>186</v>
      </c>
      <c r="C136" s="5">
        <v>15570.500000000002</v>
      </c>
      <c r="D136" s="17">
        <f t="shared" si="2"/>
        <v>0.08</v>
      </c>
      <c r="E136" s="5">
        <f t="shared" si="3"/>
        <v>16816.140000000003</v>
      </c>
    </row>
    <row r="137" spans="1:5" x14ac:dyDescent="0.25">
      <c r="A137" t="s">
        <v>315</v>
      </c>
      <c r="B137" t="s">
        <v>230</v>
      </c>
      <c r="C137" s="5">
        <v>10468</v>
      </c>
      <c r="D137" s="17">
        <f t="shared" si="2"/>
        <v>0.05</v>
      </c>
      <c r="E137" s="5">
        <f t="shared" si="3"/>
        <v>10991.4</v>
      </c>
    </row>
    <row r="138" spans="1:5" x14ac:dyDescent="0.25">
      <c r="A138" t="s">
        <v>316</v>
      </c>
      <c r="B138" t="s">
        <v>186</v>
      </c>
      <c r="C138" s="5">
        <v>15185.500000000002</v>
      </c>
      <c r="D138" s="17">
        <f t="shared" si="2"/>
        <v>0.08</v>
      </c>
      <c r="E138" s="5">
        <f t="shared" si="3"/>
        <v>16400.340000000004</v>
      </c>
    </row>
    <row r="139" spans="1:5" x14ac:dyDescent="0.25">
      <c r="A139" t="s">
        <v>317</v>
      </c>
      <c r="B139" t="s">
        <v>201</v>
      </c>
      <c r="C139" s="5">
        <v>12634.6</v>
      </c>
      <c r="D139" s="17">
        <f t="shared" si="2"/>
        <v>0.08</v>
      </c>
      <c r="E139" s="5">
        <f t="shared" si="3"/>
        <v>13645.368</v>
      </c>
    </row>
    <row r="140" spans="1:5" x14ac:dyDescent="0.25">
      <c r="A140" t="s">
        <v>318</v>
      </c>
      <c r="B140" t="s">
        <v>186</v>
      </c>
      <c r="C140" s="5">
        <v>8331</v>
      </c>
      <c r="D140" s="17">
        <f t="shared" si="2"/>
        <v>0.05</v>
      </c>
      <c r="E140" s="5">
        <f t="shared" si="3"/>
        <v>8747.5499999999993</v>
      </c>
    </row>
    <row r="141" spans="1:5" x14ac:dyDescent="0.25">
      <c r="A141" t="s">
        <v>319</v>
      </c>
      <c r="B141" t="s">
        <v>244</v>
      </c>
      <c r="C141" s="5">
        <v>8156.7</v>
      </c>
      <c r="D141" s="17">
        <f t="shared" ref="D141:D204" si="4">IF(B141="RH",0,IF(B141="RESO",0,IF(C141&gt;$O$19,$P$19,IF(C141&gt;$O$17,$P$18,IF(C141&gt;$O$16,$P$17,IF(C141&gt;0,$P$16,0))))))</f>
        <v>0.05</v>
      </c>
      <c r="E141" s="5">
        <f t="shared" ref="E141:E204" si="5">(D141*C141)+C141</f>
        <v>8564.5349999999999</v>
      </c>
    </row>
    <row r="142" spans="1:5" x14ac:dyDescent="0.25">
      <c r="A142" t="s">
        <v>320</v>
      </c>
      <c r="B142" t="s">
        <v>201</v>
      </c>
      <c r="C142" s="5">
        <v>11223</v>
      </c>
      <c r="D142" s="17">
        <f t="shared" si="4"/>
        <v>0.05</v>
      </c>
      <c r="E142" s="5">
        <f t="shared" si="5"/>
        <v>11784.15</v>
      </c>
    </row>
    <row r="143" spans="1:5" x14ac:dyDescent="0.25">
      <c r="A143" t="s">
        <v>321</v>
      </c>
      <c r="B143" t="s">
        <v>201</v>
      </c>
      <c r="C143" s="5">
        <v>15627.7</v>
      </c>
      <c r="D143" s="17">
        <f t="shared" si="4"/>
        <v>0.08</v>
      </c>
      <c r="E143" s="5">
        <f t="shared" si="5"/>
        <v>16877.916000000001</v>
      </c>
    </row>
    <row r="144" spans="1:5" x14ac:dyDescent="0.25">
      <c r="A144" t="s">
        <v>322</v>
      </c>
      <c r="B144" t="s">
        <v>186</v>
      </c>
      <c r="C144" s="5">
        <v>14958.75</v>
      </c>
      <c r="D144" s="17">
        <f t="shared" si="4"/>
        <v>0.08</v>
      </c>
      <c r="E144" s="5">
        <f t="shared" si="5"/>
        <v>16155.45</v>
      </c>
    </row>
    <row r="145" spans="1:5" x14ac:dyDescent="0.25">
      <c r="A145" t="s">
        <v>323</v>
      </c>
      <c r="B145" t="s">
        <v>198</v>
      </c>
      <c r="C145" s="5">
        <v>9532</v>
      </c>
      <c r="D145" s="17">
        <f t="shared" si="4"/>
        <v>0.05</v>
      </c>
      <c r="E145" s="5">
        <f t="shared" si="5"/>
        <v>10008.6</v>
      </c>
    </row>
    <row r="146" spans="1:5" x14ac:dyDescent="0.25">
      <c r="A146" t="s">
        <v>324</v>
      </c>
      <c r="B146" t="s">
        <v>186</v>
      </c>
      <c r="C146" s="5">
        <v>10820.7</v>
      </c>
      <c r="D146" s="17">
        <f t="shared" si="4"/>
        <v>0.05</v>
      </c>
      <c r="E146" s="5">
        <f t="shared" si="5"/>
        <v>11361.735000000001</v>
      </c>
    </row>
    <row r="147" spans="1:5" x14ac:dyDescent="0.25">
      <c r="A147" t="s">
        <v>325</v>
      </c>
      <c r="B147" t="s">
        <v>186</v>
      </c>
      <c r="C147" s="5">
        <v>8996.9000000000015</v>
      </c>
      <c r="D147" s="17">
        <f t="shared" si="4"/>
        <v>0.05</v>
      </c>
      <c r="E147" s="5">
        <f t="shared" si="5"/>
        <v>9446.7450000000008</v>
      </c>
    </row>
    <row r="148" spans="1:5" x14ac:dyDescent="0.25">
      <c r="A148" t="s">
        <v>326</v>
      </c>
      <c r="B148" t="s">
        <v>183</v>
      </c>
      <c r="C148" s="5">
        <v>16182</v>
      </c>
      <c r="D148" s="17">
        <f t="shared" si="4"/>
        <v>0.08</v>
      </c>
      <c r="E148" s="5">
        <f t="shared" si="5"/>
        <v>17476.560000000001</v>
      </c>
    </row>
    <row r="149" spans="1:5" x14ac:dyDescent="0.25">
      <c r="A149" t="s">
        <v>327</v>
      </c>
      <c r="B149" t="s">
        <v>183</v>
      </c>
      <c r="C149" s="5">
        <v>15884.000000000002</v>
      </c>
      <c r="D149" s="17">
        <f t="shared" si="4"/>
        <v>0.08</v>
      </c>
      <c r="E149" s="5">
        <f t="shared" si="5"/>
        <v>17154.72</v>
      </c>
    </row>
    <row r="150" spans="1:5" x14ac:dyDescent="0.25">
      <c r="A150" t="s">
        <v>328</v>
      </c>
      <c r="B150" t="s">
        <v>186</v>
      </c>
      <c r="C150" s="5">
        <v>14590</v>
      </c>
      <c r="D150" s="17">
        <f t="shared" si="4"/>
        <v>0.08</v>
      </c>
      <c r="E150" s="5">
        <f t="shared" si="5"/>
        <v>15757.2</v>
      </c>
    </row>
    <row r="151" spans="1:5" x14ac:dyDescent="0.25">
      <c r="A151" t="s">
        <v>329</v>
      </c>
      <c r="B151" t="s">
        <v>210</v>
      </c>
      <c r="C151" s="5">
        <v>16127.100000000002</v>
      </c>
      <c r="D151" s="17">
        <f t="shared" si="4"/>
        <v>0</v>
      </c>
      <c r="E151" s="5">
        <f t="shared" si="5"/>
        <v>16127.100000000002</v>
      </c>
    </row>
    <row r="152" spans="1:5" x14ac:dyDescent="0.25">
      <c r="A152" t="s">
        <v>330</v>
      </c>
      <c r="B152" t="s">
        <v>183</v>
      </c>
      <c r="C152" s="5">
        <v>39321</v>
      </c>
      <c r="D152" s="17">
        <f t="shared" si="4"/>
        <v>0.12</v>
      </c>
      <c r="E152" s="5">
        <f t="shared" si="5"/>
        <v>44039.519999999997</v>
      </c>
    </row>
    <row r="153" spans="1:5" x14ac:dyDescent="0.25">
      <c r="A153" t="s">
        <v>331</v>
      </c>
      <c r="B153" t="s">
        <v>183</v>
      </c>
      <c r="C153" s="5">
        <v>20832</v>
      </c>
      <c r="D153" s="17">
        <f t="shared" si="4"/>
        <v>0.08</v>
      </c>
      <c r="E153" s="5">
        <f t="shared" si="5"/>
        <v>22498.560000000001</v>
      </c>
    </row>
    <row r="154" spans="1:5" x14ac:dyDescent="0.25">
      <c r="A154" t="s">
        <v>332</v>
      </c>
      <c r="B154" t="s">
        <v>183</v>
      </c>
      <c r="C154" s="5">
        <v>12397.5</v>
      </c>
      <c r="D154" s="17">
        <f t="shared" si="4"/>
        <v>0.08</v>
      </c>
      <c r="E154" s="5">
        <f t="shared" si="5"/>
        <v>13389.3</v>
      </c>
    </row>
    <row r="155" spans="1:5" x14ac:dyDescent="0.25">
      <c r="A155" t="s">
        <v>333</v>
      </c>
      <c r="B155" t="s">
        <v>201</v>
      </c>
      <c r="C155" s="5">
        <v>98352</v>
      </c>
      <c r="D155" s="17">
        <f t="shared" si="4"/>
        <v>0.12</v>
      </c>
      <c r="E155" s="5">
        <f t="shared" si="5"/>
        <v>110154.24000000001</v>
      </c>
    </row>
    <row r="156" spans="1:5" x14ac:dyDescent="0.25">
      <c r="A156" t="s">
        <v>334</v>
      </c>
      <c r="B156" t="s">
        <v>186</v>
      </c>
      <c r="C156" s="5">
        <v>14040</v>
      </c>
      <c r="D156" s="17">
        <f t="shared" si="4"/>
        <v>0.08</v>
      </c>
      <c r="E156" s="5">
        <f t="shared" si="5"/>
        <v>15163.2</v>
      </c>
    </row>
    <row r="157" spans="1:5" x14ac:dyDescent="0.25">
      <c r="A157" t="s">
        <v>335</v>
      </c>
      <c r="B157" t="s">
        <v>210</v>
      </c>
      <c r="C157" s="5">
        <v>10476</v>
      </c>
      <c r="D157" s="17">
        <f t="shared" si="4"/>
        <v>0</v>
      </c>
      <c r="E157" s="5">
        <f t="shared" si="5"/>
        <v>10476</v>
      </c>
    </row>
    <row r="158" spans="1:5" x14ac:dyDescent="0.25">
      <c r="A158" t="s">
        <v>336</v>
      </c>
      <c r="B158" t="s">
        <v>183</v>
      </c>
      <c r="C158" s="5">
        <v>16985.100000000002</v>
      </c>
      <c r="D158" s="17">
        <f t="shared" si="4"/>
        <v>0.08</v>
      </c>
      <c r="E158" s="5">
        <f t="shared" si="5"/>
        <v>18343.908000000003</v>
      </c>
    </row>
    <row r="159" spans="1:5" x14ac:dyDescent="0.25">
      <c r="A159" t="s">
        <v>337</v>
      </c>
      <c r="B159" t="s">
        <v>183</v>
      </c>
      <c r="C159" s="5">
        <v>23630</v>
      </c>
      <c r="D159" s="17">
        <f t="shared" si="4"/>
        <v>0.08</v>
      </c>
      <c r="E159" s="5">
        <f t="shared" si="5"/>
        <v>25520.400000000001</v>
      </c>
    </row>
    <row r="160" spans="1:5" x14ac:dyDescent="0.25">
      <c r="A160" t="s">
        <v>338</v>
      </c>
      <c r="B160" t="s">
        <v>186</v>
      </c>
      <c r="C160" s="5">
        <v>16926.800000000003</v>
      </c>
      <c r="D160" s="17">
        <f t="shared" si="4"/>
        <v>0.08</v>
      </c>
      <c r="E160" s="5">
        <f t="shared" si="5"/>
        <v>18280.944000000003</v>
      </c>
    </row>
    <row r="161" spans="1:5" x14ac:dyDescent="0.25">
      <c r="A161" t="s">
        <v>339</v>
      </c>
      <c r="B161" t="s">
        <v>186</v>
      </c>
      <c r="C161" s="5">
        <v>8747</v>
      </c>
      <c r="D161" s="17">
        <f t="shared" si="4"/>
        <v>0.05</v>
      </c>
      <c r="E161" s="5">
        <f t="shared" si="5"/>
        <v>9184.35</v>
      </c>
    </row>
    <row r="162" spans="1:5" x14ac:dyDescent="0.25">
      <c r="A162" t="s">
        <v>340</v>
      </c>
      <c r="B162" t="s">
        <v>183</v>
      </c>
      <c r="C162" s="5">
        <v>11037</v>
      </c>
      <c r="D162" s="17">
        <f t="shared" si="4"/>
        <v>0.05</v>
      </c>
      <c r="E162" s="5">
        <f t="shared" si="5"/>
        <v>11588.85</v>
      </c>
    </row>
    <row r="163" spans="1:5" x14ac:dyDescent="0.25">
      <c r="A163" t="s">
        <v>341</v>
      </c>
      <c r="B163" t="s">
        <v>186</v>
      </c>
      <c r="C163" s="5">
        <v>8273</v>
      </c>
      <c r="D163" s="17">
        <f t="shared" si="4"/>
        <v>0.05</v>
      </c>
      <c r="E163" s="5">
        <f t="shared" si="5"/>
        <v>8686.65</v>
      </c>
    </row>
    <row r="164" spans="1:5" x14ac:dyDescent="0.25">
      <c r="A164" t="s">
        <v>342</v>
      </c>
      <c r="B164" t="s">
        <v>230</v>
      </c>
      <c r="C164" s="5">
        <v>10515</v>
      </c>
      <c r="D164" s="17">
        <f t="shared" si="4"/>
        <v>0.05</v>
      </c>
      <c r="E164" s="5">
        <f t="shared" si="5"/>
        <v>11040.75</v>
      </c>
    </row>
    <row r="165" spans="1:5" x14ac:dyDescent="0.25">
      <c r="A165" t="s">
        <v>343</v>
      </c>
      <c r="B165" t="s">
        <v>186</v>
      </c>
      <c r="C165" s="5">
        <v>13676</v>
      </c>
      <c r="D165" s="17">
        <f t="shared" si="4"/>
        <v>0.08</v>
      </c>
      <c r="E165" s="5">
        <f t="shared" si="5"/>
        <v>14770.08</v>
      </c>
    </row>
    <row r="166" spans="1:5" x14ac:dyDescent="0.25">
      <c r="A166" t="s">
        <v>344</v>
      </c>
      <c r="B166" t="s">
        <v>201</v>
      </c>
      <c r="C166" s="5">
        <v>24956.800000000003</v>
      </c>
      <c r="D166" s="17">
        <f t="shared" si="4"/>
        <v>0.08</v>
      </c>
      <c r="E166" s="5">
        <f t="shared" si="5"/>
        <v>26953.344000000005</v>
      </c>
    </row>
    <row r="167" spans="1:5" x14ac:dyDescent="0.25">
      <c r="A167" t="s">
        <v>345</v>
      </c>
      <c r="B167" t="s">
        <v>183</v>
      </c>
      <c r="C167" s="5">
        <v>9225</v>
      </c>
      <c r="D167" s="17">
        <f t="shared" si="4"/>
        <v>0.05</v>
      </c>
      <c r="E167" s="5">
        <f t="shared" si="5"/>
        <v>9686.25</v>
      </c>
    </row>
    <row r="168" spans="1:5" x14ac:dyDescent="0.25">
      <c r="A168" t="s">
        <v>346</v>
      </c>
      <c r="B168" t="s">
        <v>183</v>
      </c>
      <c r="C168" s="5">
        <v>13553</v>
      </c>
      <c r="D168" s="17">
        <f t="shared" si="4"/>
        <v>0.08</v>
      </c>
      <c r="E168" s="5">
        <f t="shared" si="5"/>
        <v>14637.24</v>
      </c>
    </row>
    <row r="169" spans="1:5" x14ac:dyDescent="0.25">
      <c r="A169" t="s">
        <v>347</v>
      </c>
      <c r="B169" t="s">
        <v>183</v>
      </c>
      <c r="C169" s="5">
        <v>26614</v>
      </c>
      <c r="D169" s="17">
        <f t="shared" si="4"/>
        <v>0.12</v>
      </c>
      <c r="E169" s="5">
        <f t="shared" si="5"/>
        <v>29807.68</v>
      </c>
    </row>
    <row r="170" spans="1:5" x14ac:dyDescent="0.25">
      <c r="A170" t="s">
        <v>348</v>
      </c>
      <c r="B170" t="s">
        <v>186</v>
      </c>
      <c r="C170" s="5">
        <v>23852.7</v>
      </c>
      <c r="D170" s="17">
        <f t="shared" si="4"/>
        <v>0.08</v>
      </c>
      <c r="E170" s="5">
        <f t="shared" si="5"/>
        <v>25760.916000000001</v>
      </c>
    </row>
    <row r="171" spans="1:5" x14ac:dyDescent="0.25">
      <c r="A171" t="s">
        <v>349</v>
      </c>
      <c r="B171" t="s">
        <v>230</v>
      </c>
      <c r="C171" s="5">
        <v>17477</v>
      </c>
      <c r="D171" s="17">
        <f t="shared" si="4"/>
        <v>0.08</v>
      </c>
      <c r="E171" s="5">
        <f t="shared" si="5"/>
        <v>18875.16</v>
      </c>
    </row>
    <row r="172" spans="1:5" x14ac:dyDescent="0.25">
      <c r="A172" t="s">
        <v>350</v>
      </c>
      <c r="B172" t="s">
        <v>186</v>
      </c>
      <c r="C172" s="5">
        <v>14969.900000000001</v>
      </c>
      <c r="D172" s="17">
        <f t="shared" si="4"/>
        <v>0.08</v>
      </c>
      <c r="E172" s="5">
        <f t="shared" si="5"/>
        <v>16167.492000000002</v>
      </c>
    </row>
    <row r="173" spans="1:5" x14ac:dyDescent="0.25">
      <c r="A173" t="s">
        <v>351</v>
      </c>
      <c r="B173" t="s">
        <v>186</v>
      </c>
      <c r="C173" s="5">
        <v>10042.200000000001</v>
      </c>
      <c r="D173" s="17">
        <f t="shared" si="4"/>
        <v>0.05</v>
      </c>
      <c r="E173" s="5">
        <f t="shared" si="5"/>
        <v>10544.310000000001</v>
      </c>
    </row>
    <row r="174" spans="1:5" x14ac:dyDescent="0.25">
      <c r="A174" t="s">
        <v>352</v>
      </c>
      <c r="B174" t="s">
        <v>183</v>
      </c>
      <c r="C174" s="5">
        <v>10440</v>
      </c>
      <c r="D174" s="17">
        <f t="shared" si="4"/>
        <v>0.05</v>
      </c>
      <c r="E174" s="5">
        <f t="shared" si="5"/>
        <v>10962</v>
      </c>
    </row>
    <row r="175" spans="1:5" x14ac:dyDescent="0.25">
      <c r="A175" t="s">
        <v>353</v>
      </c>
      <c r="B175" t="s">
        <v>186</v>
      </c>
      <c r="C175" s="5">
        <v>17312</v>
      </c>
      <c r="D175" s="17">
        <f t="shared" si="4"/>
        <v>0.08</v>
      </c>
      <c r="E175" s="5">
        <f t="shared" si="5"/>
        <v>18696.96</v>
      </c>
    </row>
    <row r="176" spans="1:5" x14ac:dyDescent="0.25">
      <c r="A176" t="s">
        <v>354</v>
      </c>
      <c r="B176" t="s">
        <v>183</v>
      </c>
      <c r="C176" s="5">
        <v>30383.25</v>
      </c>
      <c r="D176" s="17">
        <f t="shared" si="4"/>
        <v>0.12</v>
      </c>
      <c r="E176" s="5">
        <f t="shared" si="5"/>
        <v>34029.24</v>
      </c>
    </row>
    <row r="177" spans="1:5" x14ac:dyDescent="0.25">
      <c r="A177" t="s">
        <v>355</v>
      </c>
      <c r="B177" t="s">
        <v>183</v>
      </c>
      <c r="C177" s="5">
        <v>11960.300000000001</v>
      </c>
      <c r="D177" s="17">
        <f t="shared" si="4"/>
        <v>0.05</v>
      </c>
      <c r="E177" s="5">
        <f t="shared" si="5"/>
        <v>12558.315000000001</v>
      </c>
    </row>
    <row r="178" spans="1:5" x14ac:dyDescent="0.25">
      <c r="A178" t="s">
        <v>356</v>
      </c>
      <c r="B178" t="s">
        <v>186</v>
      </c>
      <c r="C178" s="5">
        <v>86279.400000000009</v>
      </c>
      <c r="D178" s="17">
        <f t="shared" si="4"/>
        <v>0.12</v>
      </c>
      <c r="E178" s="5">
        <f t="shared" si="5"/>
        <v>96632.928000000014</v>
      </c>
    </row>
    <row r="179" spans="1:5" x14ac:dyDescent="0.25">
      <c r="A179" t="s">
        <v>319</v>
      </c>
      <c r="B179" t="s">
        <v>244</v>
      </c>
      <c r="C179" s="5">
        <v>11326.7</v>
      </c>
      <c r="D179" s="17">
        <f t="shared" si="4"/>
        <v>0.05</v>
      </c>
      <c r="E179" s="5">
        <f t="shared" si="5"/>
        <v>11893.035</v>
      </c>
    </row>
    <row r="180" spans="1:5" x14ac:dyDescent="0.25">
      <c r="A180" t="s">
        <v>357</v>
      </c>
      <c r="B180" t="s">
        <v>183</v>
      </c>
      <c r="C180" s="5">
        <v>10401.300000000001</v>
      </c>
      <c r="D180" s="17">
        <f t="shared" si="4"/>
        <v>0.05</v>
      </c>
      <c r="E180" s="5">
        <f t="shared" si="5"/>
        <v>10921.365000000002</v>
      </c>
    </row>
    <row r="181" spans="1:5" x14ac:dyDescent="0.25">
      <c r="A181" t="s">
        <v>358</v>
      </c>
      <c r="B181" t="s">
        <v>201</v>
      </c>
      <c r="C181" s="5">
        <v>41808</v>
      </c>
      <c r="D181" s="17">
        <f t="shared" si="4"/>
        <v>0.12</v>
      </c>
      <c r="E181" s="5">
        <f t="shared" si="5"/>
        <v>46824.959999999999</v>
      </c>
    </row>
    <row r="182" spans="1:5" x14ac:dyDescent="0.25">
      <c r="A182" t="s">
        <v>359</v>
      </c>
      <c r="B182" t="s">
        <v>210</v>
      </c>
      <c r="C182" s="5">
        <v>14857.2</v>
      </c>
      <c r="D182" s="17">
        <f t="shared" si="4"/>
        <v>0</v>
      </c>
      <c r="E182" s="5">
        <f t="shared" si="5"/>
        <v>14857.2</v>
      </c>
    </row>
    <row r="183" spans="1:5" x14ac:dyDescent="0.25">
      <c r="A183" t="s">
        <v>360</v>
      </c>
      <c r="B183" t="s">
        <v>201</v>
      </c>
      <c r="C183" s="5">
        <v>10425</v>
      </c>
      <c r="D183" s="17">
        <f t="shared" si="4"/>
        <v>0.05</v>
      </c>
      <c r="E183" s="5">
        <f t="shared" si="5"/>
        <v>10946.25</v>
      </c>
    </row>
    <row r="184" spans="1:5" x14ac:dyDescent="0.25">
      <c r="A184" t="s">
        <v>361</v>
      </c>
      <c r="B184" t="s">
        <v>186</v>
      </c>
      <c r="C184" s="5">
        <v>25520.000000000004</v>
      </c>
      <c r="D184" s="17">
        <f t="shared" si="4"/>
        <v>0.12</v>
      </c>
      <c r="E184" s="5">
        <f t="shared" si="5"/>
        <v>28582.400000000005</v>
      </c>
    </row>
    <row r="185" spans="1:5" x14ac:dyDescent="0.25">
      <c r="A185" t="s">
        <v>362</v>
      </c>
      <c r="B185" t="s">
        <v>213</v>
      </c>
      <c r="C185" s="5">
        <v>13545.9</v>
      </c>
      <c r="D185" s="17">
        <f t="shared" si="4"/>
        <v>0</v>
      </c>
      <c r="E185" s="5">
        <f t="shared" si="5"/>
        <v>13545.9</v>
      </c>
    </row>
    <row r="186" spans="1:5" x14ac:dyDescent="0.25">
      <c r="A186" t="s">
        <v>363</v>
      </c>
      <c r="B186" t="s">
        <v>201</v>
      </c>
      <c r="C186" s="5">
        <v>32240</v>
      </c>
      <c r="D186" s="17">
        <f t="shared" si="4"/>
        <v>0.12</v>
      </c>
      <c r="E186" s="5">
        <f t="shared" si="5"/>
        <v>36108.800000000003</v>
      </c>
    </row>
    <row r="187" spans="1:5" x14ac:dyDescent="0.25">
      <c r="A187" t="s">
        <v>364</v>
      </c>
      <c r="B187" t="s">
        <v>183</v>
      </c>
      <c r="C187" s="5">
        <v>12575</v>
      </c>
      <c r="D187" s="17">
        <f t="shared" si="4"/>
        <v>0.08</v>
      </c>
      <c r="E187" s="5">
        <f t="shared" si="5"/>
        <v>13581</v>
      </c>
    </row>
    <row r="188" spans="1:5" x14ac:dyDescent="0.25">
      <c r="A188" t="s">
        <v>365</v>
      </c>
      <c r="B188" t="s">
        <v>183</v>
      </c>
      <c r="C188" s="5">
        <v>20191.600000000002</v>
      </c>
      <c r="D188" s="17">
        <f t="shared" si="4"/>
        <v>0.08</v>
      </c>
      <c r="E188" s="5">
        <f t="shared" si="5"/>
        <v>21806.928000000004</v>
      </c>
    </row>
    <row r="189" spans="1:5" x14ac:dyDescent="0.25">
      <c r="A189" t="s">
        <v>366</v>
      </c>
      <c r="B189" t="s">
        <v>186</v>
      </c>
      <c r="C189" s="5">
        <v>21930</v>
      </c>
      <c r="D189" s="17">
        <f t="shared" si="4"/>
        <v>0.08</v>
      </c>
      <c r="E189" s="5">
        <f t="shared" si="5"/>
        <v>23684.400000000001</v>
      </c>
    </row>
    <row r="190" spans="1:5" x14ac:dyDescent="0.25">
      <c r="A190" t="s">
        <v>367</v>
      </c>
      <c r="B190" t="s">
        <v>213</v>
      </c>
      <c r="C190" s="5">
        <v>16553.7</v>
      </c>
      <c r="D190" s="17">
        <f t="shared" si="4"/>
        <v>0</v>
      </c>
      <c r="E190" s="5">
        <f t="shared" si="5"/>
        <v>16553.7</v>
      </c>
    </row>
    <row r="191" spans="1:5" x14ac:dyDescent="0.25">
      <c r="A191" t="s">
        <v>368</v>
      </c>
      <c r="B191" t="s">
        <v>201</v>
      </c>
      <c r="C191" s="5">
        <v>9930</v>
      </c>
      <c r="D191" s="17">
        <f t="shared" si="4"/>
        <v>0.05</v>
      </c>
      <c r="E191" s="5">
        <f t="shared" si="5"/>
        <v>10426.5</v>
      </c>
    </row>
    <row r="192" spans="1:5" x14ac:dyDescent="0.25">
      <c r="A192" t="s">
        <v>369</v>
      </c>
      <c r="B192" t="s">
        <v>183</v>
      </c>
      <c r="C192" s="5">
        <v>16826.25</v>
      </c>
      <c r="D192" s="17">
        <f t="shared" si="4"/>
        <v>0.08</v>
      </c>
      <c r="E192" s="5">
        <f t="shared" si="5"/>
        <v>18172.349999999999</v>
      </c>
    </row>
    <row r="193" spans="1:5" x14ac:dyDescent="0.25">
      <c r="A193" t="s">
        <v>370</v>
      </c>
      <c r="B193" t="s">
        <v>201</v>
      </c>
      <c r="C193" s="5">
        <v>13652</v>
      </c>
      <c r="D193" s="17">
        <f t="shared" si="4"/>
        <v>0.08</v>
      </c>
      <c r="E193" s="5">
        <f t="shared" si="5"/>
        <v>14744.16</v>
      </c>
    </row>
    <row r="194" spans="1:5" x14ac:dyDescent="0.25">
      <c r="A194" t="s">
        <v>371</v>
      </c>
      <c r="B194" t="s">
        <v>186</v>
      </c>
      <c r="C194" s="5">
        <v>59032.5</v>
      </c>
      <c r="D194" s="17">
        <f t="shared" si="4"/>
        <v>0.12</v>
      </c>
      <c r="E194" s="5">
        <f t="shared" si="5"/>
        <v>66116.399999999994</v>
      </c>
    </row>
    <row r="195" spans="1:5" x14ac:dyDescent="0.25">
      <c r="A195" t="s">
        <v>372</v>
      </c>
      <c r="B195" t="s">
        <v>244</v>
      </c>
      <c r="C195" s="5">
        <v>13656</v>
      </c>
      <c r="D195" s="17">
        <f t="shared" si="4"/>
        <v>0.08</v>
      </c>
      <c r="E195" s="5">
        <f t="shared" si="5"/>
        <v>14748.48</v>
      </c>
    </row>
    <row r="196" spans="1:5" x14ac:dyDescent="0.25">
      <c r="A196" t="s">
        <v>373</v>
      </c>
      <c r="B196" t="s">
        <v>201</v>
      </c>
      <c r="C196" s="5">
        <v>32534.700000000004</v>
      </c>
      <c r="D196" s="17">
        <f t="shared" si="4"/>
        <v>0.12</v>
      </c>
      <c r="E196" s="5">
        <f t="shared" si="5"/>
        <v>36438.864000000001</v>
      </c>
    </row>
    <row r="197" spans="1:5" x14ac:dyDescent="0.25">
      <c r="A197" t="s">
        <v>374</v>
      </c>
      <c r="B197" t="s">
        <v>244</v>
      </c>
      <c r="C197" s="5">
        <v>18022</v>
      </c>
      <c r="D197" s="17">
        <f t="shared" si="4"/>
        <v>0.08</v>
      </c>
      <c r="E197" s="5">
        <f t="shared" si="5"/>
        <v>19463.759999999998</v>
      </c>
    </row>
    <row r="198" spans="1:5" x14ac:dyDescent="0.25">
      <c r="A198" t="s">
        <v>375</v>
      </c>
      <c r="B198" t="s">
        <v>186</v>
      </c>
      <c r="C198" s="5">
        <v>30181</v>
      </c>
      <c r="D198" s="17">
        <f t="shared" si="4"/>
        <v>0.12</v>
      </c>
      <c r="E198" s="5">
        <f t="shared" si="5"/>
        <v>33802.720000000001</v>
      </c>
    </row>
    <row r="199" spans="1:5" x14ac:dyDescent="0.25">
      <c r="A199" t="s">
        <v>376</v>
      </c>
      <c r="B199" t="s">
        <v>210</v>
      </c>
      <c r="C199" s="5">
        <v>41622.300000000003</v>
      </c>
      <c r="D199" s="17">
        <f t="shared" si="4"/>
        <v>0</v>
      </c>
      <c r="E199" s="5">
        <f t="shared" si="5"/>
        <v>41622.300000000003</v>
      </c>
    </row>
    <row r="200" spans="1:5" x14ac:dyDescent="0.25">
      <c r="A200" t="s">
        <v>377</v>
      </c>
      <c r="B200" t="s">
        <v>183</v>
      </c>
      <c r="C200" s="5">
        <v>10691</v>
      </c>
      <c r="D200" s="17">
        <f t="shared" si="4"/>
        <v>0.05</v>
      </c>
      <c r="E200" s="5">
        <f t="shared" si="5"/>
        <v>11225.55</v>
      </c>
    </row>
    <row r="201" spans="1:5" x14ac:dyDescent="0.25">
      <c r="A201" t="s">
        <v>378</v>
      </c>
      <c r="B201" t="s">
        <v>201</v>
      </c>
      <c r="C201" s="5">
        <v>11225.25</v>
      </c>
      <c r="D201" s="17">
        <f t="shared" si="4"/>
        <v>0.05</v>
      </c>
      <c r="E201" s="5">
        <f t="shared" si="5"/>
        <v>11786.512500000001</v>
      </c>
    </row>
    <row r="202" spans="1:5" x14ac:dyDescent="0.25">
      <c r="A202" t="s">
        <v>379</v>
      </c>
      <c r="B202" t="s">
        <v>183</v>
      </c>
      <c r="C202" s="5">
        <v>10756</v>
      </c>
      <c r="D202" s="17">
        <f t="shared" si="4"/>
        <v>0.05</v>
      </c>
      <c r="E202" s="5">
        <f t="shared" si="5"/>
        <v>11293.8</v>
      </c>
    </row>
    <row r="203" spans="1:5" x14ac:dyDescent="0.25">
      <c r="A203" t="s">
        <v>380</v>
      </c>
      <c r="B203" t="s">
        <v>201</v>
      </c>
      <c r="C203" s="5">
        <v>116675</v>
      </c>
      <c r="D203" s="17">
        <f t="shared" si="4"/>
        <v>0.12</v>
      </c>
      <c r="E203" s="5">
        <f t="shared" si="5"/>
        <v>130676</v>
      </c>
    </row>
    <row r="204" spans="1:5" x14ac:dyDescent="0.25">
      <c r="A204" t="s">
        <v>381</v>
      </c>
      <c r="B204" t="s">
        <v>186</v>
      </c>
      <c r="C204" s="5">
        <v>10571</v>
      </c>
      <c r="D204" s="17">
        <f t="shared" si="4"/>
        <v>0.05</v>
      </c>
      <c r="E204" s="5">
        <f t="shared" si="5"/>
        <v>11099.55</v>
      </c>
    </row>
    <row r="205" spans="1:5" x14ac:dyDescent="0.25">
      <c r="A205" t="s">
        <v>382</v>
      </c>
      <c r="B205" t="s">
        <v>186</v>
      </c>
      <c r="C205" s="5">
        <v>8210.7000000000007</v>
      </c>
      <c r="D205" s="17">
        <f t="shared" ref="D205:D260" si="6">IF(B205="RH",0,IF(B205="RESO",0,IF(C205&gt;$O$19,$P$19,IF(C205&gt;$O$17,$P$18,IF(C205&gt;$O$16,$P$17,IF(C205&gt;0,$P$16,0))))))</f>
        <v>0.05</v>
      </c>
      <c r="E205" s="5">
        <f t="shared" ref="E205:E260" si="7">(D205*C205)+C205</f>
        <v>8621.2350000000006</v>
      </c>
    </row>
    <row r="206" spans="1:5" x14ac:dyDescent="0.25">
      <c r="A206" t="s">
        <v>383</v>
      </c>
      <c r="B206" t="s">
        <v>183</v>
      </c>
      <c r="C206" s="5">
        <v>28310.7</v>
      </c>
      <c r="D206" s="17">
        <f t="shared" si="6"/>
        <v>0.12</v>
      </c>
      <c r="E206" s="5">
        <f t="shared" si="7"/>
        <v>31707.984</v>
      </c>
    </row>
    <row r="207" spans="1:5" x14ac:dyDescent="0.25">
      <c r="A207" t="s">
        <v>384</v>
      </c>
      <c r="B207" t="s">
        <v>198</v>
      </c>
      <c r="C207" s="5">
        <v>15046.900000000001</v>
      </c>
      <c r="D207" s="17">
        <f t="shared" si="6"/>
        <v>0.08</v>
      </c>
      <c r="E207" s="5">
        <f t="shared" si="7"/>
        <v>16250.652000000002</v>
      </c>
    </row>
    <row r="208" spans="1:5" x14ac:dyDescent="0.25">
      <c r="A208" t="s">
        <v>385</v>
      </c>
      <c r="B208" t="s">
        <v>201</v>
      </c>
      <c r="C208" s="5">
        <v>18949</v>
      </c>
      <c r="D208" s="17">
        <f t="shared" si="6"/>
        <v>0.08</v>
      </c>
      <c r="E208" s="5">
        <f t="shared" si="7"/>
        <v>20464.919999999998</v>
      </c>
    </row>
    <row r="209" spans="1:5" x14ac:dyDescent="0.25">
      <c r="A209" t="s">
        <v>386</v>
      </c>
      <c r="B209" t="s">
        <v>210</v>
      </c>
      <c r="C209" s="5">
        <v>7354.8</v>
      </c>
      <c r="D209" s="17">
        <f t="shared" si="6"/>
        <v>0</v>
      </c>
      <c r="E209" s="5">
        <f t="shared" si="7"/>
        <v>7354.8</v>
      </c>
    </row>
    <row r="210" spans="1:5" x14ac:dyDescent="0.25">
      <c r="A210" t="s">
        <v>387</v>
      </c>
      <c r="B210" t="s">
        <v>183</v>
      </c>
      <c r="C210" s="5">
        <v>11635.2</v>
      </c>
      <c r="D210" s="17">
        <f t="shared" si="6"/>
        <v>0.05</v>
      </c>
      <c r="E210" s="5">
        <f t="shared" si="7"/>
        <v>12216.960000000001</v>
      </c>
    </row>
    <row r="211" spans="1:5" x14ac:dyDescent="0.25">
      <c r="A211" t="s">
        <v>388</v>
      </c>
      <c r="B211" t="s">
        <v>244</v>
      </c>
      <c r="C211" s="5">
        <v>9396.2000000000007</v>
      </c>
      <c r="D211" s="17">
        <f t="shared" si="6"/>
        <v>0.05</v>
      </c>
      <c r="E211" s="5">
        <f t="shared" si="7"/>
        <v>9866.01</v>
      </c>
    </row>
    <row r="212" spans="1:5" x14ac:dyDescent="0.25">
      <c r="A212" t="s">
        <v>389</v>
      </c>
      <c r="B212" t="s">
        <v>201</v>
      </c>
      <c r="C212" s="5">
        <v>8671</v>
      </c>
      <c r="D212" s="17">
        <f t="shared" si="6"/>
        <v>0.05</v>
      </c>
      <c r="E212" s="5">
        <f t="shared" si="7"/>
        <v>9104.5499999999993</v>
      </c>
    </row>
    <row r="213" spans="1:5" x14ac:dyDescent="0.25">
      <c r="A213" t="s">
        <v>390</v>
      </c>
      <c r="B213" t="s">
        <v>183</v>
      </c>
      <c r="C213" s="5">
        <v>22455.9</v>
      </c>
      <c r="D213" s="17">
        <f t="shared" si="6"/>
        <v>0.08</v>
      </c>
      <c r="E213" s="5">
        <f t="shared" si="7"/>
        <v>24252.372000000003</v>
      </c>
    </row>
    <row r="214" spans="1:5" x14ac:dyDescent="0.25">
      <c r="A214" t="s">
        <v>391</v>
      </c>
      <c r="B214" t="s">
        <v>183</v>
      </c>
      <c r="C214" s="5">
        <v>7896.6</v>
      </c>
      <c r="D214" s="17">
        <f t="shared" si="6"/>
        <v>0.05</v>
      </c>
      <c r="E214" s="5">
        <f t="shared" si="7"/>
        <v>8291.43</v>
      </c>
    </row>
    <row r="215" spans="1:5" x14ac:dyDescent="0.25">
      <c r="A215" t="s">
        <v>392</v>
      </c>
      <c r="B215" t="s">
        <v>230</v>
      </c>
      <c r="C215" s="5">
        <v>9143.1</v>
      </c>
      <c r="D215" s="17">
        <f t="shared" si="6"/>
        <v>0.05</v>
      </c>
      <c r="E215" s="5">
        <f t="shared" si="7"/>
        <v>9600.255000000001</v>
      </c>
    </row>
    <row r="216" spans="1:5" x14ac:dyDescent="0.25">
      <c r="A216" t="s">
        <v>393</v>
      </c>
      <c r="B216" t="s">
        <v>201</v>
      </c>
      <c r="C216" s="5">
        <v>16775</v>
      </c>
      <c r="D216" s="17">
        <f t="shared" si="6"/>
        <v>0.08</v>
      </c>
      <c r="E216" s="5">
        <f t="shared" si="7"/>
        <v>18117</v>
      </c>
    </row>
    <row r="217" spans="1:5" x14ac:dyDescent="0.25">
      <c r="A217" t="s">
        <v>394</v>
      </c>
      <c r="B217" t="s">
        <v>201</v>
      </c>
      <c r="C217" s="5">
        <v>13677</v>
      </c>
      <c r="D217" s="17">
        <f t="shared" si="6"/>
        <v>0.08</v>
      </c>
      <c r="E217" s="5">
        <f t="shared" si="7"/>
        <v>14771.16</v>
      </c>
    </row>
    <row r="218" spans="1:5" x14ac:dyDescent="0.25">
      <c r="A218" t="s">
        <v>395</v>
      </c>
      <c r="B218" t="s">
        <v>186</v>
      </c>
      <c r="C218" s="5">
        <v>18944</v>
      </c>
      <c r="D218" s="17">
        <f t="shared" si="6"/>
        <v>0.08</v>
      </c>
      <c r="E218" s="5">
        <f t="shared" si="7"/>
        <v>20459.52</v>
      </c>
    </row>
    <row r="219" spans="1:5" x14ac:dyDescent="0.25">
      <c r="A219" t="s">
        <v>396</v>
      </c>
      <c r="B219" t="s">
        <v>183</v>
      </c>
      <c r="C219" s="5">
        <v>27082.5</v>
      </c>
      <c r="D219" s="17">
        <f t="shared" si="6"/>
        <v>0.12</v>
      </c>
      <c r="E219" s="5">
        <f t="shared" si="7"/>
        <v>30332.400000000001</v>
      </c>
    </row>
    <row r="220" spans="1:5" x14ac:dyDescent="0.25">
      <c r="A220" t="s">
        <v>397</v>
      </c>
      <c r="B220" t="s">
        <v>201</v>
      </c>
      <c r="C220" s="5">
        <v>9772.4000000000015</v>
      </c>
      <c r="D220" s="17">
        <f t="shared" si="6"/>
        <v>0.05</v>
      </c>
      <c r="E220" s="5">
        <f t="shared" si="7"/>
        <v>10261.020000000002</v>
      </c>
    </row>
    <row r="221" spans="1:5" x14ac:dyDescent="0.25">
      <c r="A221" t="s">
        <v>398</v>
      </c>
      <c r="B221" t="s">
        <v>230</v>
      </c>
      <c r="C221" s="5">
        <v>17577</v>
      </c>
      <c r="D221" s="17">
        <f t="shared" si="6"/>
        <v>0.08</v>
      </c>
      <c r="E221" s="5">
        <f t="shared" si="7"/>
        <v>18983.16</v>
      </c>
    </row>
    <row r="222" spans="1:5" x14ac:dyDescent="0.25">
      <c r="A222" t="s">
        <v>399</v>
      </c>
      <c r="B222" t="s">
        <v>186</v>
      </c>
      <c r="C222" s="5">
        <v>13151.25</v>
      </c>
      <c r="D222" s="17">
        <f t="shared" si="6"/>
        <v>0.08</v>
      </c>
      <c r="E222" s="5">
        <f t="shared" si="7"/>
        <v>14203.35</v>
      </c>
    </row>
    <row r="223" spans="1:5" x14ac:dyDescent="0.25">
      <c r="A223" t="s">
        <v>400</v>
      </c>
      <c r="B223" t="s">
        <v>201</v>
      </c>
      <c r="C223" s="5">
        <v>7447.5</v>
      </c>
      <c r="D223" s="17">
        <f t="shared" si="6"/>
        <v>0.05</v>
      </c>
      <c r="E223" s="5">
        <f t="shared" si="7"/>
        <v>7819.875</v>
      </c>
    </row>
    <row r="224" spans="1:5" x14ac:dyDescent="0.25">
      <c r="A224" t="s">
        <v>272</v>
      </c>
      <c r="B224" t="s">
        <v>210</v>
      </c>
      <c r="C224" s="5">
        <v>27836.600000000002</v>
      </c>
      <c r="D224" s="17">
        <f t="shared" si="6"/>
        <v>0</v>
      </c>
      <c r="E224" s="5">
        <f t="shared" si="7"/>
        <v>27836.600000000002</v>
      </c>
    </row>
    <row r="225" spans="1:5" x14ac:dyDescent="0.25">
      <c r="A225" t="s">
        <v>401</v>
      </c>
      <c r="B225" t="s">
        <v>183</v>
      </c>
      <c r="C225" s="5">
        <v>10877.4</v>
      </c>
      <c r="D225" s="17">
        <f t="shared" si="6"/>
        <v>0.05</v>
      </c>
      <c r="E225" s="5">
        <f t="shared" si="7"/>
        <v>11421.27</v>
      </c>
    </row>
    <row r="226" spans="1:5" x14ac:dyDescent="0.25">
      <c r="A226" t="s">
        <v>402</v>
      </c>
      <c r="B226" t="s">
        <v>183</v>
      </c>
      <c r="C226" s="5">
        <v>16012.5</v>
      </c>
      <c r="D226" s="17">
        <f t="shared" si="6"/>
        <v>0.08</v>
      </c>
      <c r="E226" s="5">
        <f t="shared" si="7"/>
        <v>17293.5</v>
      </c>
    </row>
    <row r="227" spans="1:5" x14ac:dyDescent="0.25">
      <c r="A227" t="s">
        <v>403</v>
      </c>
      <c r="B227" t="s">
        <v>186</v>
      </c>
      <c r="C227" s="5">
        <v>16328.7</v>
      </c>
      <c r="D227" s="17">
        <f t="shared" si="6"/>
        <v>0.08</v>
      </c>
      <c r="E227" s="5">
        <f t="shared" si="7"/>
        <v>17634.995999999999</v>
      </c>
    </row>
    <row r="228" spans="1:5" x14ac:dyDescent="0.25">
      <c r="A228" t="s">
        <v>404</v>
      </c>
      <c r="B228" t="s">
        <v>183</v>
      </c>
      <c r="C228" s="5">
        <v>9399</v>
      </c>
      <c r="D228" s="17">
        <f t="shared" si="6"/>
        <v>0.05</v>
      </c>
      <c r="E228" s="5">
        <f t="shared" si="7"/>
        <v>9868.9500000000007</v>
      </c>
    </row>
    <row r="229" spans="1:5" x14ac:dyDescent="0.25">
      <c r="A229" t="s">
        <v>405</v>
      </c>
      <c r="B229" t="s">
        <v>201</v>
      </c>
      <c r="C229" s="5">
        <v>20132.100000000002</v>
      </c>
      <c r="D229" s="17">
        <f t="shared" si="6"/>
        <v>0.08</v>
      </c>
      <c r="E229" s="5">
        <f t="shared" si="7"/>
        <v>21742.668000000001</v>
      </c>
    </row>
    <row r="230" spans="1:5" x14ac:dyDescent="0.25">
      <c r="A230" t="s">
        <v>406</v>
      </c>
      <c r="B230" t="s">
        <v>201</v>
      </c>
      <c r="C230" s="5">
        <v>11957</v>
      </c>
      <c r="D230" s="17">
        <f t="shared" si="6"/>
        <v>0.05</v>
      </c>
      <c r="E230" s="5">
        <f t="shared" si="7"/>
        <v>12554.85</v>
      </c>
    </row>
    <row r="231" spans="1:5" x14ac:dyDescent="0.25">
      <c r="A231" t="s">
        <v>407</v>
      </c>
      <c r="B231" t="s">
        <v>201</v>
      </c>
      <c r="C231" s="5">
        <v>7819.2</v>
      </c>
      <c r="D231" s="17">
        <f t="shared" si="6"/>
        <v>0.05</v>
      </c>
      <c r="E231" s="5">
        <f t="shared" si="7"/>
        <v>8210.16</v>
      </c>
    </row>
    <row r="232" spans="1:5" x14ac:dyDescent="0.25">
      <c r="A232" t="s">
        <v>408</v>
      </c>
      <c r="B232" t="s">
        <v>186</v>
      </c>
      <c r="C232" s="5">
        <v>23126</v>
      </c>
      <c r="D232" s="17">
        <f t="shared" si="6"/>
        <v>0.08</v>
      </c>
      <c r="E232" s="5">
        <f t="shared" si="7"/>
        <v>24976.080000000002</v>
      </c>
    </row>
    <row r="233" spans="1:5" x14ac:dyDescent="0.25">
      <c r="A233" t="s">
        <v>409</v>
      </c>
      <c r="B233" t="s">
        <v>183</v>
      </c>
      <c r="C233" s="5">
        <v>9159</v>
      </c>
      <c r="D233" s="17">
        <f t="shared" si="6"/>
        <v>0.05</v>
      </c>
      <c r="E233" s="5">
        <f t="shared" si="7"/>
        <v>9616.9500000000007</v>
      </c>
    </row>
    <row r="234" spans="1:5" x14ac:dyDescent="0.25">
      <c r="A234" t="s">
        <v>410</v>
      </c>
      <c r="B234" t="s">
        <v>201</v>
      </c>
      <c r="C234" s="5">
        <v>17627</v>
      </c>
      <c r="D234" s="17">
        <f t="shared" si="6"/>
        <v>0.08</v>
      </c>
      <c r="E234" s="5">
        <f t="shared" si="7"/>
        <v>19037.16</v>
      </c>
    </row>
    <row r="235" spans="1:5" x14ac:dyDescent="0.25">
      <c r="A235" t="s">
        <v>411</v>
      </c>
      <c r="B235" t="s">
        <v>183</v>
      </c>
      <c r="C235" s="5">
        <v>15008.4</v>
      </c>
      <c r="D235" s="17">
        <f t="shared" si="6"/>
        <v>0.08</v>
      </c>
      <c r="E235" s="5">
        <f t="shared" si="7"/>
        <v>16209.072</v>
      </c>
    </row>
    <row r="236" spans="1:5" x14ac:dyDescent="0.25">
      <c r="A236" t="s">
        <v>412</v>
      </c>
      <c r="B236" t="s">
        <v>201</v>
      </c>
      <c r="C236" s="5">
        <v>8252.1</v>
      </c>
      <c r="D236" s="17">
        <f t="shared" si="6"/>
        <v>0.05</v>
      </c>
      <c r="E236" s="5">
        <f t="shared" si="7"/>
        <v>8664.7049999999999</v>
      </c>
    </row>
    <row r="237" spans="1:5" x14ac:dyDescent="0.25">
      <c r="A237" t="s">
        <v>413</v>
      </c>
      <c r="B237" t="s">
        <v>186</v>
      </c>
      <c r="C237" s="5">
        <v>14236</v>
      </c>
      <c r="D237" s="17">
        <f t="shared" si="6"/>
        <v>0.08</v>
      </c>
      <c r="E237" s="5">
        <f t="shared" si="7"/>
        <v>15374.880000000001</v>
      </c>
    </row>
    <row r="238" spans="1:5" x14ac:dyDescent="0.25">
      <c r="A238" t="s">
        <v>284</v>
      </c>
      <c r="B238" t="s">
        <v>201</v>
      </c>
      <c r="C238" s="5">
        <v>8552.7000000000007</v>
      </c>
      <c r="D238" s="17">
        <f t="shared" si="6"/>
        <v>0.05</v>
      </c>
      <c r="E238" s="5">
        <f t="shared" si="7"/>
        <v>8980.3350000000009</v>
      </c>
    </row>
    <row r="239" spans="1:5" x14ac:dyDescent="0.25">
      <c r="A239" t="s">
        <v>414</v>
      </c>
      <c r="B239" t="s">
        <v>183</v>
      </c>
      <c r="C239" s="5">
        <v>25374</v>
      </c>
      <c r="D239" s="17">
        <f t="shared" si="6"/>
        <v>0.12</v>
      </c>
      <c r="E239" s="5">
        <f t="shared" si="7"/>
        <v>28418.880000000001</v>
      </c>
    </row>
    <row r="240" spans="1:5" x14ac:dyDescent="0.25">
      <c r="A240" t="s">
        <v>415</v>
      </c>
      <c r="B240" t="s">
        <v>201</v>
      </c>
      <c r="C240" s="5">
        <v>24586.25</v>
      </c>
      <c r="D240" s="17">
        <f t="shared" si="6"/>
        <v>0.08</v>
      </c>
      <c r="E240" s="5">
        <f t="shared" si="7"/>
        <v>26553.15</v>
      </c>
    </row>
    <row r="241" spans="1:5" x14ac:dyDescent="0.25">
      <c r="A241" t="s">
        <v>416</v>
      </c>
      <c r="B241" t="s">
        <v>230</v>
      </c>
      <c r="C241" s="5">
        <v>38324.700000000004</v>
      </c>
      <c r="D241" s="17">
        <f t="shared" si="6"/>
        <v>0.12</v>
      </c>
      <c r="E241" s="5">
        <f t="shared" si="7"/>
        <v>42923.664000000004</v>
      </c>
    </row>
    <row r="242" spans="1:5" x14ac:dyDescent="0.25">
      <c r="A242" t="s">
        <v>417</v>
      </c>
      <c r="B242" t="s">
        <v>201</v>
      </c>
      <c r="C242" s="5">
        <v>16841</v>
      </c>
      <c r="D242" s="17">
        <f t="shared" si="6"/>
        <v>0.08</v>
      </c>
      <c r="E242" s="5">
        <f t="shared" si="7"/>
        <v>18188.28</v>
      </c>
    </row>
    <row r="243" spans="1:5" x14ac:dyDescent="0.25">
      <c r="A243" t="s">
        <v>418</v>
      </c>
      <c r="B243" t="s">
        <v>183</v>
      </c>
      <c r="C243" s="5">
        <v>30627.300000000003</v>
      </c>
      <c r="D243" s="17">
        <f t="shared" si="6"/>
        <v>0.12</v>
      </c>
      <c r="E243" s="5">
        <f t="shared" si="7"/>
        <v>34302.576000000001</v>
      </c>
    </row>
    <row r="244" spans="1:5" x14ac:dyDescent="0.25">
      <c r="A244" t="s">
        <v>419</v>
      </c>
      <c r="B244" t="s">
        <v>186</v>
      </c>
      <c r="C244" s="5">
        <v>11583.9</v>
      </c>
      <c r="D244" s="17">
        <f t="shared" si="6"/>
        <v>0.05</v>
      </c>
      <c r="E244" s="5">
        <f t="shared" si="7"/>
        <v>12163.094999999999</v>
      </c>
    </row>
    <row r="245" spans="1:5" x14ac:dyDescent="0.25">
      <c r="A245" t="s">
        <v>420</v>
      </c>
      <c r="B245" t="s">
        <v>230</v>
      </c>
      <c r="C245" s="5">
        <v>32205</v>
      </c>
      <c r="D245" s="17">
        <f t="shared" si="6"/>
        <v>0.12</v>
      </c>
      <c r="E245" s="5">
        <f t="shared" si="7"/>
        <v>36069.599999999999</v>
      </c>
    </row>
    <row r="246" spans="1:5" x14ac:dyDescent="0.25">
      <c r="A246" t="s">
        <v>421</v>
      </c>
      <c r="B246" t="s">
        <v>183</v>
      </c>
      <c r="C246" s="5">
        <v>72135.8</v>
      </c>
      <c r="D246" s="17">
        <f t="shared" si="6"/>
        <v>0.12</v>
      </c>
      <c r="E246" s="5">
        <f t="shared" si="7"/>
        <v>80792.096000000005</v>
      </c>
    </row>
    <row r="247" spans="1:5" x14ac:dyDescent="0.25">
      <c r="A247" t="s">
        <v>422</v>
      </c>
      <c r="B247" t="s">
        <v>186</v>
      </c>
      <c r="C247" s="5">
        <v>11228</v>
      </c>
      <c r="D247" s="17">
        <f t="shared" si="6"/>
        <v>0.05</v>
      </c>
      <c r="E247" s="5">
        <f t="shared" si="7"/>
        <v>11789.4</v>
      </c>
    </row>
    <row r="248" spans="1:5" x14ac:dyDescent="0.25">
      <c r="A248" t="s">
        <v>423</v>
      </c>
      <c r="B248" t="s">
        <v>186</v>
      </c>
      <c r="C248" s="5">
        <v>11483</v>
      </c>
      <c r="D248" s="17">
        <f t="shared" si="6"/>
        <v>0.05</v>
      </c>
      <c r="E248" s="5">
        <f t="shared" si="7"/>
        <v>12057.15</v>
      </c>
    </row>
    <row r="249" spans="1:5" x14ac:dyDescent="0.25">
      <c r="A249" t="s">
        <v>424</v>
      </c>
      <c r="B249" t="s">
        <v>183</v>
      </c>
      <c r="C249" s="5">
        <v>11388.6</v>
      </c>
      <c r="D249" s="17">
        <f t="shared" si="6"/>
        <v>0.05</v>
      </c>
      <c r="E249" s="5">
        <f t="shared" si="7"/>
        <v>11958.03</v>
      </c>
    </row>
    <row r="250" spans="1:5" x14ac:dyDescent="0.25">
      <c r="A250" t="s">
        <v>425</v>
      </c>
      <c r="B250" t="s">
        <v>201</v>
      </c>
      <c r="C250" s="5">
        <v>20410</v>
      </c>
      <c r="D250" s="17">
        <f t="shared" si="6"/>
        <v>0.08</v>
      </c>
      <c r="E250" s="5">
        <f t="shared" si="7"/>
        <v>22042.799999999999</v>
      </c>
    </row>
    <row r="251" spans="1:5" x14ac:dyDescent="0.25">
      <c r="A251" t="s">
        <v>426</v>
      </c>
      <c r="B251" t="s">
        <v>183</v>
      </c>
      <c r="C251" s="5">
        <v>9275</v>
      </c>
      <c r="D251" s="17">
        <f t="shared" si="6"/>
        <v>0.05</v>
      </c>
      <c r="E251" s="5">
        <f t="shared" si="7"/>
        <v>9738.75</v>
      </c>
    </row>
    <row r="252" spans="1:5" x14ac:dyDescent="0.25">
      <c r="A252" t="s">
        <v>427</v>
      </c>
      <c r="B252" t="s">
        <v>201</v>
      </c>
      <c r="C252" s="5">
        <v>28218</v>
      </c>
      <c r="D252" s="17">
        <f t="shared" si="6"/>
        <v>0.12</v>
      </c>
      <c r="E252" s="5">
        <f t="shared" si="7"/>
        <v>31604.16</v>
      </c>
    </row>
    <row r="253" spans="1:5" x14ac:dyDescent="0.25">
      <c r="A253" t="s">
        <v>428</v>
      </c>
      <c r="B253" t="s">
        <v>201</v>
      </c>
      <c r="C253" s="5">
        <v>45104</v>
      </c>
      <c r="D253" s="17">
        <f t="shared" si="6"/>
        <v>0.12</v>
      </c>
      <c r="E253" s="5">
        <f t="shared" si="7"/>
        <v>50516.479999999996</v>
      </c>
    </row>
    <row r="254" spans="1:5" x14ac:dyDescent="0.25">
      <c r="A254" t="s">
        <v>429</v>
      </c>
      <c r="B254" t="s">
        <v>183</v>
      </c>
      <c r="C254" s="5">
        <v>16636</v>
      </c>
      <c r="D254" s="17">
        <f t="shared" si="6"/>
        <v>0.08</v>
      </c>
      <c r="E254" s="5">
        <f t="shared" si="7"/>
        <v>17966.88</v>
      </c>
    </row>
    <row r="255" spans="1:5" x14ac:dyDescent="0.25">
      <c r="A255" t="s">
        <v>430</v>
      </c>
      <c r="B255" t="s">
        <v>201</v>
      </c>
      <c r="C255" s="5">
        <v>56291</v>
      </c>
      <c r="D255" s="17">
        <f t="shared" si="6"/>
        <v>0.12</v>
      </c>
      <c r="E255" s="5">
        <f t="shared" si="7"/>
        <v>63045.919999999998</v>
      </c>
    </row>
    <row r="256" spans="1:5" x14ac:dyDescent="0.25">
      <c r="A256" t="s">
        <v>431</v>
      </c>
      <c r="B256" t="s">
        <v>183</v>
      </c>
      <c r="C256" s="5">
        <v>16945.2</v>
      </c>
      <c r="D256" s="17">
        <f t="shared" si="6"/>
        <v>0.08</v>
      </c>
      <c r="E256" s="5">
        <f t="shared" si="7"/>
        <v>18300.815999999999</v>
      </c>
    </row>
    <row r="257" spans="1:5" x14ac:dyDescent="0.25">
      <c r="A257" t="s">
        <v>432</v>
      </c>
      <c r="B257" t="s">
        <v>201</v>
      </c>
      <c r="C257" s="5">
        <v>49434.000000000007</v>
      </c>
      <c r="D257" s="17">
        <f t="shared" si="6"/>
        <v>0.12</v>
      </c>
      <c r="E257" s="5">
        <f t="shared" si="7"/>
        <v>55366.080000000009</v>
      </c>
    </row>
    <row r="258" spans="1:5" x14ac:dyDescent="0.25">
      <c r="A258" t="s">
        <v>433</v>
      </c>
      <c r="B258" t="s">
        <v>198</v>
      </c>
      <c r="C258" s="5">
        <v>10084.5</v>
      </c>
      <c r="D258" s="17">
        <f t="shared" si="6"/>
        <v>0.05</v>
      </c>
      <c r="E258" s="5">
        <f t="shared" si="7"/>
        <v>10588.725</v>
      </c>
    </row>
    <row r="259" spans="1:5" x14ac:dyDescent="0.25">
      <c r="A259" t="s">
        <v>434</v>
      </c>
      <c r="B259" t="s">
        <v>183</v>
      </c>
      <c r="C259" s="5">
        <v>56680</v>
      </c>
      <c r="D259" s="17">
        <f t="shared" si="6"/>
        <v>0.12</v>
      </c>
      <c r="E259" s="5">
        <f t="shared" si="7"/>
        <v>63481.599999999999</v>
      </c>
    </row>
    <row r="260" spans="1:5" x14ac:dyDescent="0.25">
      <c r="A260" t="s">
        <v>435</v>
      </c>
      <c r="B260" t="s">
        <v>198</v>
      </c>
      <c r="C260" s="5">
        <v>12780.9</v>
      </c>
      <c r="D260" s="17">
        <f t="shared" si="6"/>
        <v>0.08</v>
      </c>
      <c r="E260" s="5">
        <f t="shared" si="7"/>
        <v>13803.371999999999</v>
      </c>
    </row>
  </sheetData>
  <autoFilter ref="A11:C260" xr:uid="{95FB3274-1628-45BD-978C-D53B4BDC5D12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C6FC-4BD8-4863-AFD8-442B4B8E0FCC}">
  <dimension ref="A10:M1139"/>
  <sheetViews>
    <sheetView showGridLines="0" topLeftCell="I1" workbookViewId="0">
      <selection activeCell="L71" sqref="L71"/>
    </sheetView>
  </sheetViews>
  <sheetFormatPr baseColWidth="10" defaultColWidth="9.140625" defaultRowHeight="15" x14ac:dyDescent="0.25"/>
  <cols>
    <col min="1" max="1" width="10.140625" bestFit="1" customWidth="1"/>
    <col min="3" max="3" width="10.7109375" bestFit="1" customWidth="1"/>
    <col min="4" max="4" width="12.7109375" bestFit="1" customWidth="1"/>
    <col min="7" max="7" width="17.5703125" bestFit="1" customWidth="1"/>
    <col min="8" max="8" width="14.28515625" bestFit="1" customWidth="1"/>
    <col min="11" max="11" width="26.42578125" customWidth="1"/>
    <col min="12" max="12" width="14.28515625" bestFit="1" customWidth="1"/>
    <col min="13" max="13" width="9.85546875" bestFit="1" customWidth="1"/>
  </cols>
  <sheetData>
    <row r="10" spans="1:12" x14ac:dyDescent="0.25">
      <c r="C10" s="14"/>
    </row>
    <row r="11" spans="1:12" x14ac:dyDescent="0.25">
      <c r="C11" s="14"/>
    </row>
    <row r="12" spans="1:12" x14ac:dyDescent="0.25">
      <c r="D12" s="5">
        <f>SUM(C15:C1139)</f>
        <v>1501960</v>
      </c>
    </row>
    <row r="14" spans="1:12" x14ac:dyDescent="0.25">
      <c r="A14" t="s">
        <v>1</v>
      </c>
      <c r="B14" t="s">
        <v>442</v>
      </c>
      <c r="C14" t="s">
        <v>583</v>
      </c>
      <c r="D14" t="s">
        <v>584</v>
      </c>
      <c r="I14" t="s">
        <v>443</v>
      </c>
      <c r="J14" t="s">
        <v>442</v>
      </c>
      <c r="K14" s="5" t="s">
        <v>444</v>
      </c>
      <c r="L14" t="s">
        <v>4</v>
      </c>
    </row>
    <row r="15" spans="1:12" x14ac:dyDescent="0.25">
      <c r="A15" s="1">
        <v>43022</v>
      </c>
      <c r="B15" t="s">
        <v>506</v>
      </c>
      <c r="C15" s="5">
        <f>VLOOKUP(B15,$J$14:$K$64,2,0)</f>
        <v>1230</v>
      </c>
      <c r="D15" t="str">
        <f>VLOOKUP(B15,$J$14:$L$64,3,0)</f>
        <v>Deportivos</v>
      </c>
      <c r="I15" t="s">
        <v>447</v>
      </c>
      <c r="J15" t="s">
        <v>445</v>
      </c>
      <c r="K15" s="5">
        <v>1680</v>
      </c>
      <c r="L15" t="s">
        <v>446</v>
      </c>
    </row>
    <row r="16" spans="1:12" x14ac:dyDescent="0.25">
      <c r="A16" s="1">
        <v>42760</v>
      </c>
      <c r="B16" t="s">
        <v>516</v>
      </c>
      <c r="C16" s="5">
        <f>VLOOKUP(B16,$J$14:$K$64,2,0)</f>
        <v>979.99999999999989</v>
      </c>
      <c r="D16" t="str">
        <f t="shared" ref="D16:D79" si="0">VLOOKUP(B16,$J$14:$L$64,3,0)</f>
        <v>Casuales</v>
      </c>
      <c r="I16" t="s">
        <v>450</v>
      </c>
      <c r="J16" t="s">
        <v>448</v>
      </c>
      <c r="K16" s="5">
        <v>2260</v>
      </c>
      <c r="L16" t="s">
        <v>449</v>
      </c>
    </row>
    <row r="17" spans="1:12" x14ac:dyDescent="0.25">
      <c r="A17" s="1">
        <v>43059</v>
      </c>
      <c r="B17" t="s">
        <v>459</v>
      </c>
      <c r="C17" s="5">
        <f>VLOOKUP(B17,$J$14:$K$64,2,0)</f>
        <v>1640.0000000000002</v>
      </c>
      <c r="D17" t="str">
        <f t="shared" si="0"/>
        <v>Botas</v>
      </c>
      <c r="I17" t="s">
        <v>453</v>
      </c>
      <c r="J17" t="s">
        <v>451</v>
      </c>
      <c r="K17" s="5">
        <v>350</v>
      </c>
      <c r="L17" t="s">
        <v>452</v>
      </c>
    </row>
    <row r="18" spans="1:12" x14ac:dyDescent="0.25">
      <c r="A18" s="1">
        <v>42766</v>
      </c>
      <c r="B18" t="s">
        <v>506</v>
      </c>
      <c r="C18" s="5">
        <f>VLOOKUP(B18,$J$14:$K$64,2,0)</f>
        <v>1230</v>
      </c>
      <c r="D18" t="str">
        <f t="shared" si="0"/>
        <v>Deportivos</v>
      </c>
      <c r="I18" t="s">
        <v>455</v>
      </c>
      <c r="J18" t="s">
        <v>454</v>
      </c>
      <c r="K18" s="5">
        <v>690</v>
      </c>
      <c r="L18" t="s">
        <v>452</v>
      </c>
    </row>
    <row r="19" spans="1:12" x14ac:dyDescent="0.25">
      <c r="A19" s="1">
        <v>43043</v>
      </c>
      <c r="B19" t="s">
        <v>547</v>
      </c>
      <c r="C19" s="5">
        <f>VLOOKUP(B19,$J$14:$K$64,2,0)</f>
        <v>1170</v>
      </c>
      <c r="D19" t="str">
        <f t="shared" si="0"/>
        <v>Formales</v>
      </c>
      <c r="I19" t="s">
        <v>458</v>
      </c>
      <c r="J19" t="s">
        <v>456</v>
      </c>
      <c r="K19" s="5">
        <v>1780</v>
      </c>
      <c r="L19" t="s">
        <v>457</v>
      </c>
    </row>
    <row r="20" spans="1:12" x14ac:dyDescent="0.25">
      <c r="A20" s="1">
        <v>43064</v>
      </c>
      <c r="B20" t="s">
        <v>478</v>
      </c>
      <c r="C20" s="5">
        <f>VLOOKUP(B20,$J$14:$K$64,2,0)</f>
        <v>2130</v>
      </c>
      <c r="D20" t="str">
        <f t="shared" si="0"/>
        <v>Botas</v>
      </c>
      <c r="I20" t="s">
        <v>460</v>
      </c>
      <c r="J20" t="s">
        <v>459</v>
      </c>
      <c r="K20" s="5">
        <v>1640.0000000000002</v>
      </c>
      <c r="L20" t="s">
        <v>449</v>
      </c>
    </row>
    <row r="21" spans="1:12" x14ac:dyDescent="0.25">
      <c r="A21" s="1">
        <v>42980</v>
      </c>
      <c r="B21" t="s">
        <v>448</v>
      </c>
      <c r="C21" s="5">
        <f>VLOOKUP(B21,$J$14:$K$64,2,0)</f>
        <v>2260</v>
      </c>
      <c r="D21" t="str">
        <f t="shared" si="0"/>
        <v>Botas</v>
      </c>
      <c r="I21" t="s">
        <v>462</v>
      </c>
      <c r="J21" t="s">
        <v>461</v>
      </c>
      <c r="K21" s="5">
        <v>619.99999999999989</v>
      </c>
      <c r="L21" t="s">
        <v>452</v>
      </c>
    </row>
    <row r="22" spans="1:12" x14ac:dyDescent="0.25">
      <c r="A22" s="1">
        <v>43068</v>
      </c>
      <c r="B22" t="s">
        <v>535</v>
      </c>
      <c r="C22" s="5">
        <f>VLOOKUP(B22,$J$14:$K$64,2,0)</f>
        <v>1740.0000000000002</v>
      </c>
      <c r="D22" t="str">
        <f t="shared" si="0"/>
        <v>Formales</v>
      </c>
      <c r="I22" t="s">
        <v>464</v>
      </c>
      <c r="J22" t="s">
        <v>463</v>
      </c>
      <c r="K22" s="5">
        <v>940</v>
      </c>
      <c r="L22" t="s">
        <v>457</v>
      </c>
    </row>
    <row r="23" spans="1:12" x14ac:dyDescent="0.25">
      <c r="A23" s="1">
        <v>42965</v>
      </c>
      <c r="B23" t="s">
        <v>445</v>
      </c>
      <c r="C23" s="5">
        <f>VLOOKUP(B23,$J$14:$K$64,2,0)</f>
        <v>1680</v>
      </c>
      <c r="D23" t="str">
        <f t="shared" si="0"/>
        <v>Deportivos</v>
      </c>
      <c r="I23" t="s">
        <v>466</v>
      </c>
      <c r="J23" t="s">
        <v>465</v>
      </c>
      <c r="K23" s="5">
        <v>1560</v>
      </c>
      <c r="L23" t="s">
        <v>449</v>
      </c>
    </row>
    <row r="24" spans="1:12" x14ac:dyDescent="0.25">
      <c r="A24" s="1">
        <v>42745</v>
      </c>
      <c r="B24" t="s">
        <v>484</v>
      </c>
      <c r="C24" s="5">
        <f>VLOOKUP(B24,$J$14:$K$64,2,0)</f>
        <v>1530</v>
      </c>
      <c r="D24" t="str">
        <f t="shared" si="0"/>
        <v>Formales</v>
      </c>
      <c r="I24" t="s">
        <v>469</v>
      </c>
      <c r="J24" t="s">
        <v>467</v>
      </c>
      <c r="K24" s="5">
        <v>1130</v>
      </c>
      <c r="L24" t="s">
        <v>468</v>
      </c>
    </row>
    <row r="25" spans="1:12" x14ac:dyDescent="0.25">
      <c r="A25" s="1">
        <v>42848</v>
      </c>
      <c r="B25" t="s">
        <v>543</v>
      </c>
      <c r="C25" s="5">
        <f>VLOOKUP(B25,$J$14:$K$64,2,0)</f>
        <v>1710.0000000000002</v>
      </c>
      <c r="D25" t="str">
        <f t="shared" si="0"/>
        <v>Deportivos</v>
      </c>
      <c r="I25" t="s">
        <v>471</v>
      </c>
      <c r="J25" t="s">
        <v>470</v>
      </c>
      <c r="K25" s="5">
        <v>300</v>
      </c>
      <c r="L25" t="s">
        <v>452</v>
      </c>
    </row>
    <row r="26" spans="1:12" x14ac:dyDescent="0.25">
      <c r="A26" s="1">
        <v>42966</v>
      </c>
      <c r="B26" t="s">
        <v>523</v>
      </c>
      <c r="C26" s="5">
        <f>VLOOKUP(B26,$J$14:$K$64,2,0)</f>
        <v>1050</v>
      </c>
      <c r="D26" t="str">
        <f t="shared" si="0"/>
        <v>Formales</v>
      </c>
      <c r="I26" t="s">
        <v>473</v>
      </c>
      <c r="J26" t="s">
        <v>472</v>
      </c>
      <c r="K26" s="5">
        <v>1710.0000000000002</v>
      </c>
      <c r="L26" t="s">
        <v>457</v>
      </c>
    </row>
    <row r="27" spans="1:12" x14ac:dyDescent="0.25">
      <c r="A27" s="1">
        <v>43017</v>
      </c>
      <c r="B27" t="s">
        <v>490</v>
      </c>
      <c r="C27" s="5">
        <f>VLOOKUP(B27,$J$14:$K$64,2,0)</f>
        <v>560</v>
      </c>
      <c r="D27" t="str">
        <f t="shared" si="0"/>
        <v>Sandalias</v>
      </c>
      <c r="I27" t="s">
        <v>475</v>
      </c>
      <c r="J27" t="s">
        <v>474</v>
      </c>
      <c r="K27" s="5">
        <v>1620.0000000000002</v>
      </c>
      <c r="L27" t="s">
        <v>457</v>
      </c>
    </row>
    <row r="28" spans="1:12" x14ac:dyDescent="0.25">
      <c r="A28" s="1">
        <v>42944</v>
      </c>
      <c r="B28" t="s">
        <v>486</v>
      </c>
      <c r="C28" s="5">
        <f>VLOOKUP(B28,$J$14:$K$64,2,0)</f>
        <v>2110</v>
      </c>
      <c r="D28" t="str">
        <f t="shared" si="0"/>
        <v>Botas</v>
      </c>
      <c r="I28" t="s">
        <v>477</v>
      </c>
      <c r="J28" t="s">
        <v>476</v>
      </c>
      <c r="K28" s="5">
        <v>1590</v>
      </c>
      <c r="L28" t="s">
        <v>449</v>
      </c>
    </row>
    <row r="29" spans="1:12" x14ac:dyDescent="0.25">
      <c r="A29" s="1">
        <v>42902</v>
      </c>
      <c r="B29" t="s">
        <v>470</v>
      </c>
      <c r="C29" s="5">
        <f>VLOOKUP(B29,$J$14:$K$64,2,0)</f>
        <v>300</v>
      </c>
      <c r="D29" t="str">
        <f t="shared" si="0"/>
        <v>Sandalias</v>
      </c>
      <c r="I29" t="s">
        <v>479</v>
      </c>
      <c r="J29" t="s">
        <v>478</v>
      </c>
      <c r="K29" s="5">
        <v>2130</v>
      </c>
      <c r="L29" t="s">
        <v>449</v>
      </c>
    </row>
    <row r="30" spans="1:12" x14ac:dyDescent="0.25">
      <c r="A30" s="1">
        <v>43064</v>
      </c>
      <c r="B30" t="s">
        <v>478</v>
      </c>
      <c r="C30" s="5">
        <f>VLOOKUP(B30,$J$14:$K$64,2,0)</f>
        <v>2130</v>
      </c>
      <c r="D30" t="str">
        <f t="shared" si="0"/>
        <v>Botas</v>
      </c>
      <c r="I30" t="s">
        <v>481</v>
      </c>
      <c r="J30" t="s">
        <v>480</v>
      </c>
      <c r="K30" s="5">
        <v>1750</v>
      </c>
      <c r="L30" t="s">
        <v>446</v>
      </c>
    </row>
    <row r="31" spans="1:12" x14ac:dyDescent="0.25">
      <c r="A31" s="1">
        <v>42979</v>
      </c>
      <c r="B31" t="s">
        <v>504</v>
      </c>
      <c r="C31" s="5">
        <f>VLOOKUP(B31,$J$14:$K$64,2,0)</f>
        <v>1700</v>
      </c>
      <c r="D31" t="str">
        <f t="shared" si="0"/>
        <v>Deportivos</v>
      </c>
      <c r="I31" t="s">
        <v>483</v>
      </c>
      <c r="J31" t="s">
        <v>482</v>
      </c>
      <c r="K31" s="5">
        <v>1490</v>
      </c>
      <c r="L31" t="s">
        <v>457</v>
      </c>
    </row>
    <row r="32" spans="1:12" x14ac:dyDescent="0.25">
      <c r="A32" s="1">
        <v>42845</v>
      </c>
      <c r="B32" t="s">
        <v>510</v>
      </c>
      <c r="C32" s="5">
        <f>VLOOKUP(B32,$J$14:$K$64,2,0)</f>
        <v>969.99999999999989</v>
      </c>
      <c r="D32" t="str">
        <f t="shared" si="0"/>
        <v>Formales</v>
      </c>
      <c r="I32" t="s">
        <v>485</v>
      </c>
      <c r="J32" t="s">
        <v>484</v>
      </c>
      <c r="K32" s="5">
        <v>1530</v>
      </c>
      <c r="L32" t="s">
        <v>457</v>
      </c>
    </row>
    <row r="33" spans="1:12" x14ac:dyDescent="0.25">
      <c r="A33" s="1">
        <v>42983</v>
      </c>
      <c r="B33" t="s">
        <v>474</v>
      </c>
      <c r="C33" s="5">
        <f>VLOOKUP(B33,$J$14:$K$64,2,0)</f>
        <v>1620.0000000000002</v>
      </c>
      <c r="D33" t="str">
        <f t="shared" si="0"/>
        <v>Formales</v>
      </c>
      <c r="I33" t="s">
        <v>487</v>
      </c>
      <c r="J33" t="s">
        <v>486</v>
      </c>
      <c r="K33" s="5">
        <v>2110</v>
      </c>
      <c r="L33" t="s">
        <v>449</v>
      </c>
    </row>
    <row r="34" spans="1:12" x14ac:dyDescent="0.25">
      <c r="A34" s="1">
        <v>42906</v>
      </c>
      <c r="B34" t="s">
        <v>508</v>
      </c>
      <c r="C34" s="5">
        <f>VLOOKUP(B34,$J$14:$K$64,2,0)</f>
        <v>1100</v>
      </c>
      <c r="D34" t="str">
        <f t="shared" si="0"/>
        <v>Deportivos</v>
      </c>
      <c r="I34" t="s">
        <v>489</v>
      </c>
      <c r="J34" t="s">
        <v>488</v>
      </c>
      <c r="K34" s="5">
        <v>819.99999999999989</v>
      </c>
      <c r="L34" t="s">
        <v>468</v>
      </c>
    </row>
    <row r="35" spans="1:12" x14ac:dyDescent="0.25">
      <c r="A35" s="1">
        <v>42759</v>
      </c>
      <c r="B35" t="s">
        <v>543</v>
      </c>
      <c r="C35" s="5">
        <f>VLOOKUP(B35,$J$14:$K$64,2,0)</f>
        <v>1710.0000000000002</v>
      </c>
      <c r="D35" t="str">
        <f t="shared" si="0"/>
        <v>Deportivos</v>
      </c>
      <c r="I35" t="s">
        <v>491</v>
      </c>
      <c r="J35" t="s">
        <v>490</v>
      </c>
      <c r="K35" s="5">
        <v>560</v>
      </c>
      <c r="L35" t="s">
        <v>452</v>
      </c>
    </row>
    <row r="36" spans="1:12" x14ac:dyDescent="0.25">
      <c r="A36" s="1">
        <v>43046</v>
      </c>
      <c r="B36" t="s">
        <v>535</v>
      </c>
      <c r="C36" s="5">
        <f>VLOOKUP(B36,$J$14:$K$64,2,0)</f>
        <v>1740.0000000000002</v>
      </c>
      <c r="D36" t="str">
        <f t="shared" si="0"/>
        <v>Formales</v>
      </c>
      <c r="I36" t="s">
        <v>493</v>
      </c>
      <c r="J36" t="s">
        <v>492</v>
      </c>
      <c r="K36" s="5">
        <v>1500</v>
      </c>
      <c r="L36" t="s">
        <v>446</v>
      </c>
    </row>
    <row r="37" spans="1:12" x14ac:dyDescent="0.25">
      <c r="A37" s="1">
        <v>42764</v>
      </c>
      <c r="B37" t="s">
        <v>496</v>
      </c>
      <c r="C37" s="5">
        <f>VLOOKUP(B37,$J$14:$K$64,2,0)</f>
        <v>1040</v>
      </c>
      <c r="D37" t="str">
        <f t="shared" si="0"/>
        <v>Deportivos</v>
      </c>
      <c r="I37" t="s">
        <v>495</v>
      </c>
      <c r="J37" t="s">
        <v>494</v>
      </c>
      <c r="K37" s="5">
        <v>1480</v>
      </c>
      <c r="L37" t="s">
        <v>446</v>
      </c>
    </row>
    <row r="38" spans="1:12" x14ac:dyDescent="0.25">
      <c r="A38" s="1">
        <v>42937</v>
      </c>
      <c r="B38" t="s">
        <v>474</v>
      </c>
      <c r="C38" s="5">
        <f>VLOOKUP(B38,$J$14:$K$64,2,0)</f>
        <v>1620.0000000000002</v>
      </c>
      <c r="D38" t="str">
        <f t="shared" si="0"/>
        <v>Formales</v>
      </c>
      <c r="I38" t="s">
        <v>497</v>
      </c>
      <c r="J38" t="s">
        <v>496</v>
      </c>
      <c r="K38" s="5">
        <v>1040</v>
      </c>
      <c r="L38" t="s">
        <v>446</v>
      </c>
    </row>
    <row r="39" spans="1:12" x14ac:dyDescent="0.25">
      <c r="A39" s="1">
        <v>42762</v>
      </c>
      <c r="B39" t="s">
        <v>533</v>
      </c>
      <c r="C39" s="5">
        <f>VLOOKUP(B39,$J$14:$K$64,2,0)</f>
        <v>1120</v>
      </c>
      <c r="D39" t="str">
        <f t="shared" si="0"/>
        <v>Formales</v>
      </c>
      <c r="I39" t="s">
        <v>499</v>
      </c>
      <c r="J39" t="s">
        <v>498</v>
      </c>
      <c r="K39" s="5">
        <v>840</v>
      </c>
      <c r="L39" t="s">
        <v>446</v>
      </c>
    </row>
    <row r="40" spans="1:12" x14ac:dyDescent="0.25">
      <c r="A40" s="1">
        <v>43066</v>
      </c>
      <c r="B40" t="s">
        <v>529</v>
      </c>
      <c r="C40" s="5">
        <f>VLOOKUP(B40,$J$14:$K$64,2,0)</f>
        <v>2480</v>
      </c>
      <c r="D40" t="str">
        <f t="shared" si="0"/>
        <v>Botas</v>
      </c>
      <c r="I40" t="s">
        <v>501</v>
      </c>
      <c r="J40" t="s">
        <v>500</v>
      </c>
      <c r="K40" s="5">
        <v>1019.9999999999999</v>
      </c>
      <c r="L40" t="s">
        <v>468</v>
      </c>
    </row>
    <row r="41" spans="1:12" x14ac:dyDescent="0.25">
      <c r="A41" s="1">
        <v>42822</v>
      </c>
      <c r="B41" t="s">
        <v>500</v>
      </c>
      <c r="C41" s="5">
        <f>VLOOKUP(B41,$J$14:$K$64,2,0)</f>
        <v>1019.9999999999999</v>
      </c>
      <c r="D41" t="str">
        <f t="shared" si="0"/>
        <v>Casuales</v>
      </c>
      <c r="I41" t="s">
        <v>503</v>
      </c>
      <c r="J41" t="s">
        <v>502</v>
      </c>
      <c r="K41" s="5">
        <v>869.99999999999989</v>
      </c>
      <c r="L41" t="s">
        <v>468</v>
      </c>
    </row>
    <row r="42" spans="1:12" x14ac:dyDescent="0.25">
      <c r="A42" s="1">
        <v>42874</v>
      </c>
      <c r="B42" t="s">
        <v>523</v>
      </c>
      <c r="C42" s="5">
        <f>VLOOKUP(B42,$J$14:$K$64,2,0)</f>
        <v>1050</v>
      </c>
      <c r="D42" t="str">
        <f t="shared" si="0"/>
        <v>Formales</v>
      </c>
      <c r="I42" t="s">
        <v>505</v>
      </c>
      <c r="J42" t="s">
        <v>504</v>
      </c>
      <c r="K42" s="5">
        <v>1700</v>
      </c>
      <c r="L42" t="s">
        <v>446</v>
      </c>
    </row>
    <row r="43" spans="1:12" x14ac:dyDescent="0.25">
      <c r="A43" s="1">
        <v>43018</v>
      </c>
      <c r="B43" t="s">
        <v>543</v>
      </c>
      <c r="C43" s="5">
        <f>VLOOKUP(B43,$J$14:$K$64,2,0)</f>
        <v>1710.0000000000002</v>
      </c>
      <c r="D43" t="str">
        <f t="shared" si="0"/>
        <v>Deportivos</v>
      </c>
      <c r="I43" t="s">
        <v>507</v>
      </c>
      <c r="J43" t="s">
        <v>506</v>
      </c>
      <c r="K43" s="5">
        <v>1230</v>
      </c>
      <c r="L43" t="s">
        <v>446</v>
      </c>
    </row>
    <row r="44" spans="1:12" x14ac:dyDescent="0.25">
      <c r="A44" s="1">
        <v>43072</v>
      </c>
      <c r="B44" t="s">
        <v>543</v>
      </c>
      <c r="C44" s="5">
        <f>VLOOKUP(B44,$J$14:$K$64,2,0)</f>
        <v>1710.0000000000002</v>
      </c>
      <c r="D44" t="str">
        <f t="shared" si="0"/>
        <v>Deportivos</v>
      </c>
      <c r="I44" t="s">
        <v>509</v>
      </c>
      <c r="J44" t="s">
        <v>508</v>
      </c>
      <c r="K44" s="5">
        <v>1100</v>
      </c>
      <c r="L44" t="s">
        <v>446</v>
      </c>
    </row>
    <row r="45" spans="1:12" x14ac:dyDescent="0.25">
      <c r="A45" s="1">
        <v>42915</v>
      </c>
      <c r="B45" t="s">
        <v>533</v>
      </c>
      <c r="C45" s="5">
        <f>VLOOKUP(B45,$J$14:$K$64,2,0)</f>
        <v>1120</v>
      </c>
      <c r="D45" t="str">
        <f t="shared" si="0"/>
        <v>Formales</v>
      </c>
      <c r="I45" t="s">
        <v>511</v>
      </c>
      <c r="J45" t="s">
        <v>510</v>
      </c>
      <c r="K45" s="5">
        <v>969.99999999999989</v>
      </c>
      <c r="L45" t="s">
        <v>457</v>
      </c>
    </row>
    <row r="46" spans="1:12" x14ac:dyDescent="0.25">
      <c r="A46" s="1">
        <v>43081</v>
      </c>
      <c r="B46" t="s">
        <v>529</v>
      </c>
      <c r="C46" s="5">
        <f>VLOOKUP(B46,$J$14:$K$64,2,0)</f>
        <v>2480</v>
      </c>
      <c r="D46" t="str">
        <f t="shared" si="0"/>
        <v>Botas</v>
      </c>
      <c r="I46" t="s">
        <v>513</v>
      </c>
      <c r="J46" t="s">
        <v>512</v>
      </c>
      <c r="K46" s="5">
        <v>1050</v>
      </c>
      <c r="L46" t="s">
        <v>457</v>
      </c>
    </row>
    <row r="47" spans="1:12" x14ac:dyDescent="0.25">
      <c r="A47" s="1">
        <v>42811</v>
      </c>
      <c r="B47" t="s">
        <v>541</v>
      </c>
      <c r="C47" s="5">
        <f>VLOOKUP(B47,$J$14:$K$64,2,0)</f>
        <v>1240</v>
      </c>
      <c r="D47" t="str">
        <f t="shared" si="0"/>
        <v>Formales</v>
      </c>
      <c r="I47" t="s">
        <v>515</v>
      </c>
      <c r="J47" t="s">
        <v>514</v>
      </c>
      <c r="K47" s="5">
        <v>960</v>
      </c>
      <c r="L47" t="s">
        <v>468</v>
      </c>
    </row>
    <row r="48" spans="1:12" x14ac:dyDescent="0.25">
      <c r="A48" s="1">
        <v>43062</v>
      </c>
      <c r="B48" t="s">
        <v>521</v>
      </c>
      <c r="C48" s="5">
        <f>VLOOKUP(B48,$J$14:$K$64,2,0)</f>
        <v>1160</v>
      </c>
      <c r="D48" t="str">
        <f t="shared" si="0"/>
        <v>Casuales</v>
      </c>
      <c r="I48" t="s">
        <v>517</v>
      </c>
      <c r="J48" t="s">
        <v>516</v>
      </c>
      <c r="K48" s="5">
        <v>979.99999999999989</v>
      </c>
      <c r="L48" t="s">
        <v>468</v>
      </c>
    </row>
    <row r="49" spans="1:12" x14ac:dyDescent="0.25">
      <c r="A49" s="1">
        <v>43039</v>
      </c>
      <c r="B49" t="s">
        <v>521</v>
      </c>
      <c r="C49" s="5">
        <f>VLOOKUP(B49,$J$14:$K$64,2,0)</f>
        <v>1160</v>
      </c>
      <c r="D49" t="str">
        <f t="shared" si="0"/>
        <v>Casuales</v>
      </c>
      <c r="I49" t="s">
        <v>519</v>
      </c>
      <c r="J49" t="s">
        <v>518</v>
      </c>
      <c r="K49" s="5">
        <v>1090</v>
      </c>
      <c r="L49" t="s">
        <v>468</v>
      </c>
    </row>
    <row r="50" spans="1:12" x14ac:dyDescent="0.25">
      <c r="A50" s="1">
        <v>42784</v>
      </c>
      <c r="B50" t="s">
        <v>494</v>
      </c>
      <c r="C50" s="5">
        <f>VLOOKUP(B50,$J$14:$K$64,2,0)</f>
        <v>1480</v>
      </c>
      <c r="D50" t="str">
        <f t="shared" si="0"/>
        <v>Deportivos</v>
      </c>
      <c r="I50" t="s">
        <v>520</v>
      </c>
      <c r="J50" t="s">
        <v>488</v>
      </c>
      <c r="K50" s="5">
        <v>1240</v>
      </c>
      <c r="L50" t="s">
        <v>468</v>
      </c>
    </row>
    <row r="51" spans="1:12" x14ac:dyDescent="0.25">
      <c r="A51" s="1">
        <v>42816</v>
      </c>
      <c r="B51" t="s">
        <v>461</v>
      </c>
      <c r="C51" s="5">
        <f>VLOOKUP(B51,$J$14:$K$64,2,0)</f>
        <v>619.99999999999989</v>
      </c>
      <c r="D51" t="str">
        <f t="shared" si="0"/>
        <v>Sandalias</v>
      </c>
      <c r="I51" t="s">
        <v>522</v>
      </c>
      <c r="J51" t="s">
        <v>521</v>
      </c>
      <c r="K51" s="5">
        <v>1160</v>
      </c>
      <c r="L51" t="s">
        <v>468</v>
      </c>
    </row>
    <row r="52" spans="1:12" x14ac:dyDescent="0.25">
      <c r="A52" s="1">
        <v>42845</v>
      </c>
      <c r="B52" t="s">
        <v>451</v>
      </c>
      <c r="C52" s="5">
        <f>VLOOKUP(B52,$J$14:$K$64,2,0)</f>
        <v>350</v>
      </c>
      <c r="D52" t="str">
        <f t="shared" si="0"/>
        <v>Sandalias</v>
      </c>
      <c r="I52" t="s">
        <v>524</v>
      </c>
      <c r="J52" t="s">
        <v>523</v>
      </c>
      <c r="K52" s="5">
        <v>1050</v>
      </c>
      <c r="L52" t="s">
        <v>457</v>
      </c>
    </row>
    <row r="53" spans="1:12" x14ac:dyDescent="0.25">
      <c r="A53" s="1">
        <v>42865</v>
      </c>
      <c r="B53" t="s">
        <v>494</v>
      </c>
      <c r="C53" s="5">
        <f>VLOOKUP(B53,$J$14:$K$64,2,0)</f>
        <v>1480</v>
      </c>
      <c r="D53" t="str">
        <f t="shared" si="0"/>
        <v>Deportivos</v>
      </c>
      <c r="I53" t="s">
        <v>526</v>
      </c>
      <c r="J53" t="s">
        <v>525</v>
      </c>
      <c r="K53" s="5">
        <v>2130</v>
      </c>
      <c r="L53" t="s">
        <v>449</v>
      </c>
    </row>
    <row r="54" spans="1:12" x14ac:dyDescent="0.25">
      <c r="A54" s="1">
        <v>43083</v>
      </c>
      <c r="B54" t="s">
        <v>516</v>
      </c>
      <c r="C54" s="5">
        <f>VLOOKUP(B54,$J$14:$K$64,2,0)</f>
        <v>979.99999999999989</v>
      </c>
      <c r="D54" t="str">
        <f t="shared" si="0"/>
        <v>Casuales</v>
      </c>
      <c r="I54" t="s">
        <v>528</v>
      </c>
      <c r="J54" t="s">
        <v>527</v>
      </c>
      <c r="K54" s="5">
        <v>1180</v>
      </c>
      <c r="L54" t="s">
        <v>457</v>
      </c>
    </row>
    <row r="55" spans="1:12" x14ac:dyDescent="0.25">
      <c r="A55" s="1">
        <v>42849</v>
      </c>
      <c r="B55" t="s">
        <v>525</v>
      </c>
      <c r="C55" s="5">
        <f>VLOOKUP(B55,$J$14:$K$64,2,0)</f>
        <v>2130</v>
      </c>
      <c r="D55" t="str">
        <f t="shared" si="0"/>
        <v>Botas</v>
      </c>
      <c r="I55" t="s">
        <v>530</v>
      </c>
      <c r="J55" t="s">
        <v>529</v>
      </c>
      <c r="K55" s="5">
        <v>2480</v>
      </c>
      <c r="L55" t="s">
        <v>449</v>
      </c>
    </row>
    <row r="56" spans="1:12" x14ac:dyDescent="0.25">
      <c r="A56" s="1">
        <v>43042</v>
      </c>
      <c r="B56" t="s">
        <v>494</v>
      </c>
      <c r="C56" s="5">
        <f>VLOOKUP(B56,$J$14:$K$64,2,0)</f>
        <v>1480</v>
      </c>
      <c r="D56" t="str">
        <f t="shared" si="0"/>
        <v>Deportivos</v>
      </c>
      <c r="I56" t="s">
        <v>532</v>
      </c>
      <c r="J56" t="s">
        <v>531</v>
      </c>
      <c r="K56" s="5">
        <v>1300</v>
      </c>
      <c r="L56" t="s">
        <v>468</v>
      </c>
    </row>
    <row r="57" spans="1:12" x14ac:dyDescent="0.25">
      <c r="A57" s="1">
        <v>43077</v>
      </c>
      <c r="B57" t="s">
        <v>472</v>
      </c>
      <c r="C57" s="5">
        <f>VLOOKUP(B57,$J$14:$K$64,2,0)</f>
        <v>1710.0000000000002</v>
      </c>
      <c r="D57" t="str">
        <f t="shared" si="0"/>
        <v>Formales</v>
      </c>
      <c r="I57" t="s">
        <v>534</v>
      </c>
      <c r="J57" t="s">
        <v>533</v>
      </c>
      <c r="K57" s="5">
        <v>1120</v>
      </c>
      <c r="L57" t="s">
        <v>457</v>
      </c>
    </row>
    <row r="58" spans="1:12" x14ac:dyDescent="0.25">
      <c r="A58" s="1">
        <v>43064</v>
      </c>
      <c r="B58" t="s">
        <v>494</v>
      </c>
      <c r="C58" s="5">
        <f>VLOOKUP(B58,$J$14:$K$64,2,0)</f>
        <v>1480</v>
      </c>
      <c r="D58" t="str">
        <f t="shared" si="0"/>
        <v>Deportivos</v>
      </c>
      <c r="I58" t="s">
        <v>536</v>
      </c>
      <c r="J58" t="s">
        <v>535</v>
      </c>
      <c r="K58" s="5">
        <v>1740.0000000000002</v>
      </c>
      <c r="L58" t="s">
        <v>457</v>
      </c>
    </row>
    <row r="59" spans="1:12" x14ac:dyDescent="0.25">
      <c r="A59" s="1">
        <v>42965</v>
      </c>
      <c r="B59" t="s">
        <v>529</v>
      </c>
      <c r="C59" s="5">
        <f>VLOOKUP(B59,$J$14:$K$64,2,0)</f>
        <v>2480</v>
      </c>
      <c r="D59" t="str">
        <f t="shared" si="0"/>
        <v>Botas</v>
      </c>
      <c r="I59" t="s">
        <v>538</v>
      </c>
      <c r="J59" t="s">
        <v>537</v>
      </c>
      <c r="K59" s="5">
        <v>840</v>
      </c>
      <c r="L59" t="s">
        <v>457</v>
      </c>
    </row>
    <row r="60" spans="1:12" x14ac:dyDescent="0.25">
      <c r="A60" s="1">
        <v>43070</v>
      </c>
      <c r="B60" t="s">
        <v>500</v>
      </c>
      <c r="C60" s="5">
        <f>VLOOKUP(B60,$J$14:$K$64,2,0)</f>
        <v>1019.9999999999999</v>
      </c>
      <c r="D60" t="str">
        <f t="shared" si="0"/>
        <v>Casuales</v>
      </c>
      <c r="I60" t="s">
        <v>540</v>
      </c>
      <c r="J60" t="s">
        <v>539</v>
      </c>
      <c r="K60" s="5">
        <v>950</v>
      </c>
      <c r="L60" t="s">
        <v>468</v>
      </c>
    </row>
    <row r="61" spans="1:12" x14ac:dyDescent="0.25">
      <c r="A61" s="1">
        <v>42740</v>
      </c>
      <c r="B61" t="s">
        <v>474</v>
      </c>
      <c r="C61" s="5">
        <f>VLOOKUP(B61,$J$14:$K$64,2,0)</f>
        <v>1620.0000000000002</v>
      </c>
      <c r="D61" t="str">
        <f t="shared" si="0"/>
        <v>Formales</v>
      </c>
      <c r="I61" t="s">
        <v>542</v>
      </c>
      <c r="J61" t="s">
        <v>541</v>
      </c>
      <c r="K61" s="5">
        <v>1240</v>
      </c>
      <c r="L61" t="s">
        <v>457</v>
      </c>
    </row>
    <row r="62" spans="1:12" x14ac:dyDescent="0.25">
      <c r="A62" s="1">
        <v>43065</v>
      </c>
      <c r="B62" t="s">
        <v>512</v>
      </c>
      <c r="C62" s="5">
        <f>VLOOKUP(B62,$J$14:$K$64,2,0)</f>
        <v>1050</v>
      </c>
      <c r="D62" t="str">
        <f t="shared" si="0"/>
        <v>Formales</v>
      </c>
      <c r="I62" t="s">
        <v>544</v>
      </c>
      <c r="J62" t="s">
        <v>543</v>
      </c>
      <c r="K62" s="5">
        <v>1710.0000000000002</v>
      </c>
      <c r="L62" t="s">
        <v>446</v>
      </c>
    </row>
    <row r="63" spans="1:12" x14ac:dyDescent="0.25">
      <c r="A63" s="1">
        <v>42925</v>
      </c>
      <c r="B63" t="s">
        <v>492</v>
      </c>
      <c r="C63" s="5">
        <f>VLOOKUP(B63,$J$14:$K$64,2,0)</f>
        <v>1500</v>
      </c>
      <c r="D63" t="str">
        <f t="shared" si="0"/>
        <v>Deportivos</v>
      </c>
      <c r="I63" t="s">
        <v>546</v>
      </c>
      <c r="J63" t="s">
        <v>545</v>
      </c>
      <c r="K63" s="5">
        <v>1840.0000000000002</v>
      </c>
      <c r="L63" t="s">
        <v>449</v>
      </c>
    </row>
    <row r="64" spans="1:12" x14ac:dyDescent="0.25">
      <c r="A64" s="1">
        <v>42778</v>
      </c>
      <c r="B64" t="s">
        <v>492</v>
      </c>
      <c r="C64" s="5">
        <f>VLOOKUP(B64,$J$14:$K$64,2,0)</f>
        <v>1500</v>
      </c>
      <c r="D64" t="str">
        <f t="shared" si="0"/>
        <v>Deportivos</v>
      </c>
      <c r="I64" t="s">
        <v>548</v>
      </c>
      <c r="J64" t="s">
        <v>547</v>
      </c>
      <c r="K64" s="5">
        <v>1170</v>
      </c>
      <c r="L64" t="s">
        <v>457</v>
      </c>
    </row>
    <row r="65" spans="1:13" x14ac:dyDescent="0.25">
      <c r="A65" s="1">
        <v>42876</v>
      </c>
      <c r="B65" t="s">
        <v>500</v>
      </c>
      <c r="C65" s="5">
        <f>VLOOKUP(B65,$J$14:$K$64,2,0)</f>
        <v>1019.9999999999999</v>
      </c>
      <c r="D65" t="str">
        <f t="shared" si="0"/>
        <v>Casuales</v>
      </c>
    </row>
    <row r="66" spans="1:13" x14ac:dyDescent="0.25">
      <c r="A66" s="1">
        <v>42745</v>
      </c>
      <c r="B66" t="s">
        <v>521</v>
      </c>
      <c r="C66" s="5">
        <f>VLOOKUP(B66,$J$14:$K$64,2,0)</f>
        <v>1160</v>
      </c>
      <c r="D66" t="str">
        <f t="shared" si="0"/>
        <v>Casuales</v>
      </c>
    </row>
    <row r="67" spans="1:13" x14ac:dyDescent="0.25">
      <c r="A67" s="1">
        <v>42794</v>
      </c>
      <c r="B67" t="s">
        <v>482</v>
      </c>
      <c r="C67" s="5">
        <f>VLOOKUP(B67,$J$14:$K$64,2,0)</f>
        <v>1490</v>
      </c>
      <c r="D67" t="str">
        <f t="shared" si="0"/>
        <v>Formales</v>
      </c>
    </row>
    <row r="68" spans="1:13" x14ac:dyDescent="0.25">
      <c r="A68" s="1">
        <v>42749</v>
      </c>
      <c r="B68" t="s">
        <v>474</v>
      </c>
      <c r="C68" s="5">
        <f>VLOOKUP(B68,$J$14:$K$64,2,0)</f>
        <v>1620.0000000000002</v>
      </c>
      <c r="D68" t="str">
        <f t="shared" si="0"/>
        <v>Formales</v>
      </c>
    </row>
    <row r="69" spans="1:13" x14ac:dyDescent="0.25">
      <c r="A69" s="1">
        <v>43031</v>
      </c>
      <c r="B69" t="s">
        <v>478</v>
      </c>
      <c r="C69" s="5">
        <f>VLOOKUP(B69,$J$14:$K$64,2,0)</f>
        <v>2130</v>
      </c>
      <c r="D69" t="str">
        <f t="shared" si="0"/>
        <v>Botas</v>
      </c>
    </row>
    <row r="70" spans="1:13" x14ac:dyDescent="0.25">
      <c r="A70" s="1">
        <v>42874</v>
      </c>
      <c r="B70" t="s">
        <v>539</v>
      </c>
      <c r="C70" s="5">
        <f>VLOOKUP(B70,$J$14:$K$64,2,0)</f>
        <v>950</v>
      </c>
      <c r="D70" t="str">
        <f t="shared" si="0"/>
        <v>Casuales</v>
      </c>
    </row>
    <row r="71" spans="1:13" x14ac:dyDescent="0.25">
      <c r="A71" s="1">
        <v>42918</v>
      </c>
      <c r="B71" t="s">
        <v>506</v>
      </c>
      <c r="C71" s="5">
        <f>VLOOKUP(B71,$J$14:$K$64,2,0)</f>
        <v>1230</v>
      </c>
      <c r="D71" t="str">
        <f t="shared" si="0"/>
        <v>Deportivos</v>
      </c>
      <c r="L71" s="24" t="s">
        <v>584</v>
      </c>
      <c r="M71" t="s">
        <v>571</v>
      </c>
    </row>
    <row r="72" spans="1:13" x14ac:dyDescent="0.25">
      <c r="A72" s="1">
        <v>43015</v>
      </c>
      <c r="B72" t="s">
        <v>456</v>
      </c>
      <c r="C72" s="5">
        <f>VLOOKUP(B72,$J$14:$K$64,2,0)</f>
        <v>1780</v>
      </c>
      <c r="D72" t="str">
        <f t="shared" si="0"/>
        <v>Formales</v>
      </c>
    </row>
    <row r="73" spans="1:13" x14ac:dyDescent="0.25">
      <c r="A73" s="1">
        <v>42958</v>
      </c>
      <c r="B73" t="s">
        <v>533</v>
      </c>
      <c r="C73" s="5">
        <f>VLOOKUP(B73,$J$14:$K$64,2,0)</f>
        <v>1120</v>
      </c>
      <c r="D73" t="str">
        <f t="shared" si="0"/>
        <v>Formales</v>
      </c>
      <c r="L73" t="s">
        <v>585</v>
      </c>
    </row>
    <row r="74" spans="1:13" x14ac:dyDescent="0.25">
      <c r="A74" s="1">
        <v>42774</v>
      </c>
      <c r="B74" t="s">
        <v>543</v>
      </c>
      <c r="C74" s="5">
        <f>VLOOKUP(B74,$J$14:$K$64,2,0)</f>
        <v>1710.0000000000002</v>
      </c>
      <c r="D74" t="str">
        <f t="shared" si="0"/>
        <v>Deportivos</v>
      </c>
      <c r="G74" s="24" t="s">
        <v>551</v>
      </c>
      <c r="H74" t="s">
        <v>585</v>
      </c>
      <c r="L74" s="23">
        <v>1501960</v>
      </c>
    </row>
    <row r="75" spans="1:13" x14ac:dyDescent="0.25">
      <c r="A75" s="1">
        <v>42949</v>
      </c>
      <c r="B75" t="s">
        <v>486</v>
      </c>
      <c r="C75" s="5">
        <f>VLOOKUP(B75,$J$14:$K$64,2,0)</f>
        <v>2110</v>
      </c>
      <c r="D75" t="str">
        <f t="shared" si="0"/>
        <v>Botas</v>
      </c>
      <c r="G75" s="19" t="s">
        <v>449</v>
      </c>
      <c r="H75" s="5">
        <v>430110</v>
      </c>
    </row>
    <row r="76" spans="1:13" x14ac:dyDescent="0.25">
      <c r="A76" s="1">
        <v>43019</v>
      </c>
      <c r="B76" t="s">
        <v>504</v>
      </c>
      <c r="C76" s="5">
        <f>VLOOKUP(B76,$J$14:$K$64,2,0)</f>
        <v>1700</v>
      </c>
      <c r="D76" t="str">
        <f t="shared" si="0"/>
        <v>Deportivos</v>
      </c>
      <c r="G76" s="19" t="s">
        <v>468</v>
      </c>
      <c r="H76" s="5">
        <v>221660</v>
      </c>
    </row>
    <row r="77" spans="1:13" x14ac:dyDescent="0.25">
      <c r="A77" s="1">
        <v>42992</v>
      </c>
      <c r="B77" t="s">
        <v>463</v>
      </c>
      <c r="C77" s="5">
        <f>VLOOKUP(B77,$J$14:$K$64,2,0)</f>
        <v>940</v>
      </c>
      <c r="D77" t="str">
        <f t="shared" si="0"/>
        <v>Formales</v>
      </c>
      <c r="G77" s="19" t="s">
        <v>446</v>
      </c>
      <c r="H77" s="5">
        <v>364510</v>
      </c>
    </row>
    <row r="78" spans="1:13" x14ac:dyDescent="0.25">
      <c r="A78" s="1">
        <v>43051</v>
      </c>
      <c r="B78" t="s">
        <v>451</v>
      </c>
      <c r="C78" s="5">
        <f>VLOOKUP(B78,$J$14:$K$64,2,0)</f>
        <v>350</v>
      </c>
      <c r="D78" t="str">
        <f t="shared" si="0"/>
        <v>Sandalias</v>
      </c>
      <c r="G78" s="19" t="s">
        <v>457</v>
      </c>
      <c r="H78" s="5">
        <v>433130</v>
      </c>
    </row>
    <row r="79" spans="1:13" x14ac:dyDescent="0.25">
      <c r="A79" s="1">
        <v>43049</v>
      </c>
      <c r="B79" t="s">
        <v>512</v>
      </c>
      <c r="C79" s="5">
        <f>VLOOKUP(B79,$J$14:$K$64,2,0)</f>
        <v>1050</v>
      </c>
      <c r="D79" t="str">
        <f t="shared" si="0"/>
        <v>Formales</v>
      </c>
      <c r="G79" s="19" t="s">
        <v>452</v>
      </c>
      <c r="H79" s="5">
        <v>52550</v>
      </c>
    </row>
    <row r="80" spans="1:13" x14ac:dyDescent="0.25">
      <c r="A80" s="1">
        <v>42802</v>
      </c>
      <c r="B80" t="s">
        <v>472</v>
      </c>
      <c r="C80" s="5">
        <f>VLOOKUP(B80,$J$14:$K$64,2,0)</f>
        <v>1710.0000000000002</v>
      </c>
      <c r="D80" t="str">
        <f t="shared" ref="D80:D143" si="1">VLOOKUP(B80,$J$14:$L$64,3,0)</f>
        <v>Formales</v>
      </c>
      <c r="G80" s="19" t="s">
        <v>552</v>
      </c>
      <c r="H80" s="5">
        <v>1501960</v>
      </c>
    </row>
    <row r="81" spans="1:4" x14ac:dyDescent="0.25">
      <c r="A81" s="1">
        <v>42909</v>
      </c>
      <c r="B81" t="s">
        <v>521</v>
      </c>
      <c r="C81" s="5">
        <f>VLOOKUP(B81,$J$14:$K$64,2,0)</f>
        <v>1160</v>
      </c>
      <c r="D81" t="str">
        <f t="shared" si="1"/>
        <v>Casuales</v>
      </c>
    </row>
    <row r="82" spans="1:4" x14ac:dyDescent="0.25">
      <c r="A82" s="1">
        <v>42914</v>
      </c>
      <c r="B82" t="s">
        <v>459</v>
      </c>
      <c r="C82" s="5">
        <f>VLOOKUP(B82,$J$14:$K$64,2,0)</f>
        <v>1640.0000000000002</v>
      </c>
      <c r="D82" t="str">
        <f t="shared" si="1"/>
        <v>Botas</v>
      </c>
    </row>
    <row r="83" spans="1:4" x14ac:dyDescent="0.25">
      <c r="A83" s="1">
        <v>42950</v>
      </c>
      <c r="B83" t="s">
        <v>531</v>
      </c>
      <c r="C83" s="5">
        <f>VLOOKUP(B83,$J$14:$K$64,2,0)</f>
        <v>1300</v>
      </c>
      <c r="D83" t="str">
        <f t="shared" si="1"/>
        <v>Casuales</v>
      </c>
    </row>
    <row r="84" spans="1:4" x14ac:dyDescent="0.25">
      <c r="A84" s="1">
        <v>42813</v>
      </c>
      <c r="B84" t="s">
        <v>474</v>
      </c>
      <c r="C84" s="5">
        <f>VLOOKUP(B84,$J$14:$K$64,2,0)</f>
        <v>1620.0000000000002</v>
      </c>
      <c r="D84" t="str">
        <f t="shared" si="1"/>
        <v>Formales</v>
      </c>
    </row>
    <row r="85" spans="1:4" x14ac:dyDescent="0.25">
      <c r="A85" s="1">
        <v>42897</v>
      </c>
      <c r="B85" t="s">
        <v>456</v>
      </c>
      <c r="C85" s="5">
        <f>VLOOKUP(B85,$J$14:$K$64,2,0)</f>
        <v>1780</v>
      </c>
      <c r="D85" t="str">
        <f t="shared" si="1"/>
        <v>Formales</v>
      </c>
    </row>
    <row r="86" spans="1:4" x14ac:dyDescent="0.25">
      <c r="A86" s="1">
        <v>42768</v>
      </c>
      <c r="B86" t="s">
        <v>478</v>
      </c>
      <c r="C86" s="5">
        <f>VLOOKUP(B86,$J$14:$K$64,2,0)</f>
        <v>2130</v>
      </c>
      <c r="D86" t="str">
        <f t="shared" si="1"/>
        <v>Botas</v>
      </c>
    </row>
    <row r="87" spans="1:4" x14ac:dyDescent="0.25">
      <c r="A87" s="1">
        <v>42842</v>
      </c>
      <c r="B87" t="s">
        <v>492</v>
      </c>
      <c r="C87" s="5">
        <f>VLOOKUP(B87,$J$14:$K$64,2,0)</f>
        <v>1500</v>
      </c>
      <c r="D87" t="str">
        <f t="shared" si="1"/>
        <v>Deportivos</v>
      </c>
    </row>
    <row r="88" spans="1:4" x14ac:dyDescent="0.25">
      <c r="A88" s="1">
        <v>42859</v>
      </c>
      <c r="B88" t="s">
        <v>498</v>
      </c>
      <c r="C88" s="5">
        <f>VLOOKUP(B88,$J$14:$K$64,2,0)</f>
        <v>840</v>
      </c>
      <c r="D88" t="str">
        <f t="shared" si="1"/>
        <v>Deportivos</v>
      </c>
    </row>
    <row r="89" spans="1:4" x14ac:dyDescent="0.25">
      <c r="A89" s="1">
        <v>42836</v>
      </c>
      <c r="B89" t="s">
        <v>461</v>
      </c>
      <c r="C89" s="5">
        <f>VLOOKUP(B89,$J$14:$K$64,2,0)</f>
        <v>619.99999999999989</v>
      </c>
      <c r="D89" t="str">
        <f t="shared" si="1"/>
        <v>Sandalias</v>
      </c>
    </row>
    <row r="90" spans="1:4" x14ac:dyDescent="0.25">
      <c r="A90" s="1">
        <v>43039</v>
      </c>
      <c r="B90" t="s">
        <v>514</v>
      </c>
      <c r="C90" s="5">
        <f>VLOOKUP(B90,$J$14:$K$64,2,0)</f>
        <v>960</v>
      </c>
      <c r="D90" t="str">
        <f t="shared" si="1"/>
        <v>Casuales</v>
      </c>
    </row>
    <row r="91" spans="1:4" x14ac:dyDescent="0.25">
      <c r="A91" s="1">
        <v>42758</v>
      </c>
      <c r="B91" t="s">
        <v>521</v>
      </c>
      <c r="C91" s="5">
        <f>VLOOKUP(B91,$J$14:$K$64,2,0)</f>
        <v>1160</v>
      </c>
      <c r="D91" t="str">
        <f t="shared" si="1"/>
        <v>Casuales</v>
      </c>
    </row>
    <row r="92" spans="1:4" x14ac:dyDescent="0.25">
      <c r="A92" s="1">
        <v>42783</v>
      </c>
      <c r="B92" t="s">
        <v>531</v>
      </c>
      <c r="C92" s="5">
        <f>VLOOKUP(B92,$J$14:$K$64,2,0)</f>
        <v>1300</v>
      </c>
      <c r="D92" t="str">
        <f t="shared" si="1"/>
        <v>Casuales</v>
      </c>
    </row>
    <row r="93" spans="1:4" x14ac:dyDescent="0.25">
      <c r="A93" s="1">
        <v>42764</v>
      </c>
      <c r="B93" t="s">
        <v>488</v>
      </c>
      <c r="C93" s="5">
        <f>VLOOKUP(B93,$J$14:$K$64,2,0)</f>
        <v>819.99999999999989</v>
      </c>
      <c r="D93" t="str">
        <f t="shared" si="1"/>
        <v>Casuales</v>
      </c>
    </row>
    <row r="94" spans="1:4" x14ac:dyDescent="0.25">
      <c r="A94" s="1">
        <v>42847</v>
      </c>
      <c r="B94" t="s">
        <v>518</v>
      </c>
      <c r="C94" s="5">
        <f>VLOOKUP(B94,$J$14:$K$64,2,0)</f>
        <v>1090</v>
      </c>
      <c r="D94" t="str">
        <f t="shared" si="1"/>
        <v>Casuales</v>
      </c>
    </row>
    <row r="95" spans="1:4" x14ac:dyDescent="0.25">
      <c r="A95" s="1">
        <v>42779</v>
      </c>
      <c r="B95" t="s">
        <v>504</v>
      </c>
      <c r="C95" s="5">
        <f>VLOOKUP(B95,$J$14:$K$64,2,0)</f>
        <v>1700</v>
      </c>
      <c r="D95" t="str">
        <f t="shared" si="1"/>
        <v>Deportivos</v>
      </c>
    </row>
    <row r="96" spans="1:4" x14ac:dyDescent="0.25">
      <c r="A96" s="1">
        <v>42770</v>
      </c>
      <c r="B96" t="s">
        <v>541</v>
      </c>
      <c r="C96" s="5">
        <f>VLOOKUP(B96,$J$14:$K$64,2,0)</f>
        <v>1240</v>
      </c>
      <c r="D96" t="str">
        <f t="shared" si="1"/>
        <v>Formales</v>
      </c>
    </row>
    <row r="97" spans="1:4" x14ac:dyDescent="0.25">
      <c r="A97" s="1">
        <v>42748</v>
      </c>
      <c r="B97" t="s">
        <v>523</v>
      </c>
      <c r="C97" s="5">
        <f>VLOOKUP(B97,$J$14:$K$64,2,0)</f>
        <v>1050</v>
      </c>
      <c r="D97" t="str">
        <f t="shared" si="1"/>
        <v>Formales</v>
      </c>
    </row>
    <row r="98" spans="1:4" x14ac:dyDescent="0.25">
      <c r="A98" s="1">
        <v>43020</v>
      </c>
      <c r="B98" t="s">
        <v>537</v>
      </c>
      <c r="C98" s="5">
        <f>VLOOKUP(B98,$J$14:$K$64,2,0)</f>
        <v>840</v>
      </c>
      <c r="D98" t="str">
        <f t="shared" si="1"/>
        <v>Formales</v>
      </c>
    </row>
    <row r="99" spans="1:4" x14ac:dyDescent="0.25">
      <c r="A99" s="1">
        <v>42985</v>
      </c>
      <c r="B99" t="s">
        <v>535</v>
      </c>
      <c r="C99" s="5">
        <f>VLOOKUP(B99,$J$14:$K$64,2,0)</f>
        <v>1740.0000000000002</v>
      </c>
      <c r="D99" t="str">
        <f t="shared" si="1"/>
        <v>Formales</v>
      </c>
    </row>
    <row r="100" spans="1:4" x14ac:dyDescent="0.25">
      <c r="A100" s="1">
        <v>42965</v>
      </c>
      <c r="B100" t="s">
        <v>476</v>
      </c>
      <c r="C100" s="5">
        <f>VLOOKUP(B100,$J$14:$K$64,2,0)</f>
        <v>1590</v>
      </c>
      <c r="D100" t="str">
        <f t="shared" si="1"/>
        <v>Botas</v>
      </c>
    </row>
    <row r="101" spans="1:4" x14ac:dyDescent="0.25">
      <c r="A101" s="1">
        <v>42739</v>
      </c>
      <c r="B101" t="s">
        <v>492</v>
      </c>
      <c r="C101" s="5">
        <f>VLOOKUP(B101,$J$14:$K$64,2,0)</f>
        <v>1500</v>
      </c>
      <c r="D101" t="str">
        <f t="shared" si="1"/>
        <v>Deportivos</v>
      </c>
    </row>
    <row r="102" spans="1:4" x14ac:dyDescent="0.25">
      <c r="A102" s="1">
        <v>42977</v>
      </c>
      <c r="B102" t="s">
        <v>527</v>
      </c>
      <c r="C102" s="5">
        <f>VLOOKUP(B102,$J$14:$K$64,2,0)</f>
        <v>1180</v>
      </c>
      <c r="D102" t="str">
        <f t="shared" si="1"/>
        <v>Formales</v>
      </c>
    </row>
    <row r="103" spans="1:4" x14ac:dyDescent="0.25">
      <c r="A103" s="1">
        <v>43006</v>
      </c>
      <c r="B103" t="s">
        <v>461</v>
      </c>
      <c r="C103" s="5">
        <f>VLOOKUP(B103,$J$14:$K$64,2,0)</f>
        <v>619.99999999999989</v>
      </c>
      <c r="D103" t="str">
        <f t="shared" si="1"/>
        <v>Sandalias</v>
      </c>
    </row>
    <row r="104" spans="1:4" x14ac:dyDescent="0.25">
      <c r="A104" s="1">
        <v>42798</v>
      </c>
      <c r="B104" t="s">
        <v>510</v>
      </c>
      <c r="C104" s="5">
        <f>VLOOKUP(B104,$J$14:$K$64,2,0)</f>
        <v>969.99999999999989</v>
      </c>
      <c r="D104" t="str">
        <f t="shared" si="1"/>
        <v>Formales</v>
      </c>
    </row>
    <row r="105" spans="1:4" x14ac:dyDescent="0.25">
      <c r="A105" s="1">
        <v>42982</v>
      </c>
      <c r="B105" t="s">
        <v>521</v>
      </c>
      <c r="C105" s="5">
        <f>VLOOKUP(B105,$J$14:$K$64,2,0)</f>
        <v>1160</v>
      </c>
      <c r="D105" t="str">
        <f t="shared" si="1"/>
        <v>Casuales</v>
      </c>
    </row>
    <row r="106" spans="1:4" x14ac:dyDescent="0.25">
      <c r="A106" s="1">
        <v>43087</v>
      </c>
      <c r="B106" t="s">
        <v>461</v>
      </c>
      <c r="C106" s="5">
        <f>VLOOKUP(B106,$J$14:$K$64,2,0)</f>
        <v>619.99999999999989</v>
      </c>
      <c r="D106" t="str">
        <f t="shared" si="1"/>
        <v>Sandalias</v>
      </c>
    </row>
    <row r="107" spans="1:4" x14ac:dyDescent="0.25">
      <c r="A107" s="1">
        <v>42940</v>
      </c>
      <c r="B107" t="s">
        <v>488</v>
      </c>
      <c r="C107" s="5">
        <f>VLOOKUP(B107,$J$14:$K$64,2,0)</f>
        <v>819.99999999999989</v>
      </c>
      <c r="D107" t="str">
        <f t="shared" si="1"/>
        <v>Casuales</v>
      </c>
    </row>
    <row r="108" spans="1:4" x14ac:dyDescent="0.25">
      <c r="A108" s="1">
        <v>43094</v>
      </c>
      <c r="B108" t="s">
        <v>459</v>
      </c>
      <c r="C108" s="5">
        <f>VLOOKUP(B108,$J$14:$K$64,2,0)</f>
        <v>1640.0000000000002</v>
      </c>
      <c r="D108" t="str">
        <f t="shared" si="1"/>
        <v>Botas</v>
      </c>
    </row>
    <row r="109" spans="1:4" x14ac:dyDescent="0.25">
      <c r="A109" s="1">
        <v>42915</v>
      </c>
      <c r="B109" t="s">
        <v>456</v>
      </c>
      <c r="C109" s="5">
        <f>VLOOKUP(B109,$J$14:$K$64,2,0)</f>
        <v>1780</v>
      </c>
      <c r="D109" t="str">
        <f t="shared" si="1"/>
        <v>Formales</v>
      </c>
    </row>
    <row r="110" spans="1:4" x14ac:dyDescent="0.25">
      <c r="A110" s="1">
        <v>42908</v>
      </c>
      <c r="B110" t="s">
        <v>533</v>
      </c>
      <c r="C110" s="5">
        <f>VLOOKUP(B110,$J$14:$K$64,2,0)</f>
        <v>1120</v>
      </c>
      <c r="D110" t="str">
        <f t="shared" si="1"/>
        <v>Formales</v>
      </c>
    </row>
    <row r="111" spans="1:4" x14ac:dyDescent="0.25">
      <c r="A111" s="1">
        <v>42842</v>
      </c>
      <c r="B111" t="s">
        <v>541</v>
      </c>
      <c r="C111" s="5">
        <f>VLOOKUP(B111,$J$14:$K$64,2,0)</f>
        <v>1240</v>
      </c>
      <c r="D111" t="str">
        <f t="shared" si="1"/>
        <v>Formales</v>
      </c>
    </row>
    <row r="112" spans="1:4" x14ac:dyDescent="0.25">
      <c r="A112" s="1">
        <v>43036</v>
      </c>
      <c r="B112" t="s">
        <v>518</v>
      </c>
      <c r="C112" s="5">
        <f>VLOOKUP(B112,$J$14:$K$64,2,0)</f>
        <v>1090</v>
      </c>
      <c r="D112" t="str">
        <f t="shared" si="1"/>
        <v>Casuales</v>
      </c>
    </row>
    <row r="113" spans="1:4" x14ac:dyDescent="0.25">
      <c r="A113" s="1">
        <v>42913</v>
      </c>
      <c r="B113" t="s">
        <v>472</v>
      </c>
      <c r="C113" s="5">
        <f>VLOOKUP(B113,$J$14:$K$64,2,0)</f>
        <v>1710.0000000000002</v>
      </c>
      <c r="D113" t="str">
        <f t="shared" si="1"/>
        <v>Formales</v>
      </c>
    </row>
    <row r="114" spans="1:4" x14ac:dyDescent="0.25">
      <c r="A114" s="1">
        <v>42920</v>
      </c>
      <c r="B114" t="s">
        <v>467</v>
      </c>
      <c r="C114" s="5">
        <f>VLOOKUP(B114,$J$14:$K$64,2,0)</f>
        <v>1130</v>
      </c>
      <c r="D114" t="str">
        <f t="shared" si="1"/>
        <v>Casuales</v>
      </c>
    </row>
    <row r="115" spans="1:4" x14ac:dyDescent="0.25">
      <c r="A115" s="1">
        <v>42919</v>
      </c>
      <c r="B115" t="s">
        <v>502</v>
      </c>
      <c r="C115" s="5">
        <f>VLOOKUP(B115,$J$14:$K$64,2,0)</f>
        <v>869.99999999999989</v>
      </c>
      <c r="D115" t="str">
        <f t="shared" si="1"/>
        <v>Casuales</v>
      </c>
    </row>
    <row r="116" spans="1:4" x14ac:dyDescent="0.25">
      <c r="A116" s="1">
        <v>42849</v>
      </c>
      <c r="B116" t="s">
        <v>510</v>
      </c>
      <c r="C116" s="5">
        <f>VLOOKUP(B116,$J$14:$K$64,2,0)</f>
        <v>969.99999999999989</v>
      </c>
      <c r="D116" t="str">
        <f t="shared" si="1"/>
        <v>Formales</v>
      </c>
    </row>
    <row r="117" spans="1:4" x14ac:dyDescent="0.25">
      <c r="A117" s="1">
        <v>43045</v>
      </c>
      <c r="B117" t="s">
        <v>445</v>
      </c>
      <c r="C117" s="5">
        <f>VLOOKUP(B117,$J$14:$K$64,2,0)</f>
        <v>1680</v>
      </c>
      <c r="D117" t="str">
        <f t="shared" si="1"/>
        <v>Deportivos</v>
      </c>
    </row>
    <row r="118" spans="1:4" x14ac:dyDescent="0.25">
      <c r="A118" s="1">
        <v>43045</v>
      </c>
      <c r="B118" t="s">
        <v>541</v>
      </c>
      <c r="C118" s="5">
        <f>VLOOKUP(B118,$J$14:$K$64,2,0)</f>
        <v>1240</v>
      </c>
      <c r="D118" t="str">
        <f t="shared" si="1"/>
        <v>Formales</v>
      </c>
    </row>
    <row r="119" spans="1:4" x14ac:dyDescent="0.25">
      <c r="A119" s="1">
        <v>42850</v>
      </c>
      <c r="B119" t="s">
        <v>488</v>
      </c>
      <c r="C119" s="5">
        <f>VLOOKUP(B119,$J$14:$K$64,2,0)</f>
        <v>819.99999999999989</v>
      </c>
      <c r="D119" t="str">
        <f t="shared" si="1"/>
        <v>Casuales</v>
      </c>
    </row>
    <row r="120" spans="1:4" x14ac:dyDescent="0.25">
      <c r="A120" s="1">
        <v>42846</v>
      </c>
      <c r="B120" t="s">
        <v>508</v>
      </c>
      <c r="C120" s="5">
        <f>VLOOKUP(B120,$J$14:$K$64,2,0)</f>
        <v>1100</v>
      </c>
      <c r="D120" t="str">
        <f t="shared" si="1"/>
        <v>Deportivos</v>
      </c>
    </row>
    <row r="121" spans="1:4" x14ac:dyDescent="0.25">
      <c r="A121" s="1">
        <v>43005</v>
      </c>
      <c r="B121" t="s">
        <v>527</v>
      </c>
      <c r="C121" s="5">
        <f>VLOOKUP(B121,$J$14:$K$64,2,0)</f>
        <v>1180</v>
      </c>
      <c r="D121" t="str">
        <f t="shared" si="1"/>
        <v>Formales</v>
      </c>
    </row>
    <row r="122" spans="1:4" x14ac:dyDescent="0.25">
      <c r="A122" s="1">
        <v>42891</v>
      </c>
      <c r="B122" t="s">
        <v>465</v>
      </c>
      <c r="C122" s="5">
        <f>VLOOKUP(B122,$J$14:$K$64,2,0)</f>
        <v>1560</v>
      </c>
      <c r="D122" t="str">
        <f t="shared" si="1"/>
        <v>Botas</v>
      </c>
    </row>
    <row r="123" spans="1:4" x14ac:dyDescent="0.25">
      <c r="A123" s="1">
        <v>42923</v>
      </c>
      <c r="B123" t="s">
        <v>454</v>
      </c>
      <c r="C123" s="5">
        <f>VLOOKUP(B123,$J$14:$K$64,2,0)</f>
        <v>690</v>
      </c>
      <c r="D123" t="str">
        <f t="shared" si="1"/>
        <v>Sandalias</v>
      </c>
    </row>
    <row r="124" spans="1:4" x14ac:dyDescent="0.25">
      <c r="A124" s="1">
        <v>42907</v>
      </c>
      <c r="B124" t="s">
        <v>539</v>
      </c>
      <c r="C124" s="5">
        <f>VLOOKUP(B124,$J$14:$K$64,2,0)</f>
        <v>950</v>
      </c>
      <c r="D124" t="str">
        <f t="shared" si="1"/>
        <v>Casuales</v>
      </c>
    </row>
    <row r="125" spans="1:4" x14ac:dyDescent="0.25">
      <c r="A125" s="1">
        <v>42934</v>
      </c>
      <c r="B125" t="s">
        <v>512</v>
      </c>
      <c r="C125" s="5">
        <f>VLOOKUP(B125,$J$14:$K$64,2,0)</f>
        <v>1050</v>
      </c>
      <c r="D125" t="str">
        <f t="shared" si="1"/>
        <v>Formales</v>
      </c>
    </row>
    <row r="126" spans="1:4" x14ac:dyDescent="0.25">
      <c r="A126" s="1">
        <v>42804</v>
      </c>
      <c r="B126" t="s">
        <v>459</v>
      </c>
      <c r="C126" s="5">
        <f>VLOOKUP(B126,$J$14:$K$64,2,0)</f>
        <v>1640.0000000000002</v>
      </c>
      <c r="D126" t="str">
        <f t="shared" si="1"/>
        <v>Botas</v>
      </c>
    </row>
    <row r="127" spans="1:4" x14ac:dyDescent="0.25">
      <c r="A127" s="1">
        <v>43044</v>
      </c>
      <c r="B127" t="s">
        <v>459</v>
      </c>
      <c r="C127" s="5">
        <f>VLOOKUP(B127,$J$14:$K$64,2,0)</f>
        <v>1640.0000000000002</v>
      </c>
      <c r="D127" t="str">
        <f t="shared" si="1"/>
        <v>Botas</v>
      </c>
    </row>
    <row r="128" spans="1:4" x14ac:dyDescent="0.25">
      <c r="A128" s="1">
        <v>43043</v>
      </c>
      <c r="B128" t="s">
        <v>472</v>
      </c>
      <c r="C128" s="5">
        <f>VLOOKUP(B128,$J$14:$K$64,2,0)</f>
        <v>1710.0000000000002</v>
      </c>
      <c r="D128" t="str">
        <f t="shared" si="1"/>
        <v>Formales</v>
      </c>
    </row>
    <row r="129" spans="1:4" x14ac:dyDescent="0.25">
      <c r="A129" s="1">
        <v>42851</v>
      </c>
      <c r="B129" t="s">
        <v>490</v>
      </c>
      <c r="C129" s="5">
        <f>VLOOKUP(B129,$J$14:$K$64,2,0)</f>
        <v>560</v>
      </c>
      <c r="D129" t="str">
        <f t="shared" si="1"/>
        <v>Sandalias</v>
      </c>
    </row>
    <row r="130" spans="1:4" x14ac:dyDescent="0.25">
      <c r="A130" s="1">
        <v>42888</v>
      </c>
      <c r="B130" t="s">
        <v>539</v>
      </c>
      <c r="C130" s="5">
        <f>VLOOKUP(B130,$J$14:$K$64,2,0)</f>
        <v>950</v>
      </c>
      <c r="D130" t="str">
        <f t="shared" si="1"/>
        <v>Casuales</v>
      </c>
    </row>
    <row r="131" spans="1:4" x14ac:dyDescent="0.25">
      <c r="A131" s="1">
        <v>42978</v>
      </c>
      <c r="B131" t="s">
        <v>523</v>
      </c>
      <c r="C131" s="5">
        <f>VLOOKUP(B131,$J$14:$K$64,2,0)</f>
        <v>1050</v>
      </c>
      <c r="D131" t="str">
        <f t="shared" si="1"/>
        <v>Formales</v>
      </c>
    </row>
    <row r="132" spans="1:4" x14ac:dyDescent="0.25">
      <c r="A132" s="1">
        <v>42947</v>
      </c>
      <c r="B132" t="s">
        <v>518</v>
      </c>
      <c r="C132" s="5">
        <f>VLOOKUP(B132,$J$14:$K$64,2,0)</f>
        <v>1090</v>
      </c>
      <c r="D132" t="str">
        <f t="shared" si="1"/>
        <v>Casuales</v>
      </c>
    </row>
    <row r="133" spans="1:4" x14ac:dyDescent="0.25">
      <c r="A133" s="1">
        <v>42875</v>
      </c>
      <c r="B133" t="s">
        <v>467</v>
      </c>
      <c r="C133" s="5">
        <f>VLOOKUP(B133,$J$14:$K$64,2,0)</f>
        <v>1130</v>
      </c>
      <c r="D133" t="str">
        <f t="shared" si="1"/>
        <v>Casuales</v>
      </c>
    </row>
    <row r="134" spans="1:4" x14ac:dyDescent="0.25">
      <c r="A134" s="1">
        <v>42891</v>
      </c>
      <c r="B134" t="s">
        <v>514</v>
      </c>
      <c r="C134" s="5">
        <f>VLOOKUP(B134,$J$14:$K$64,2,0)</f>
        <v>960</v>
      </c>
      <c r="D134" t="str">
        <f t="shared" si="1"/>
        <v>Casuales</v>
      </c>
    </row>
    <row r="135" spans="1:4" x14ac:dyDescent="0.25">
      <c r="A135" s="1">
        <v>42990</v>
      </c>
      <c r="B135" t="s">
        <v>476</v>
      </c>
      <c r="C135" s="5">
        <f>VLOOKUP(B135,$J$14:$K$64,2,0)</f>
        <v>1590</v>
      </c>
      <c r="D135" t="str">
        <f t="shared" si="1"/>
        <v>Botas</v>
      </c>
    </row>
    <row r="136" spans="1:4" x14ac:dyDescent="0.25">
      <c r="A136" s="1">
        <v>42790</v>
      </c>
      <c r="B136" t="s">
        <v>535</v>
      </c>
      <c r="C136" s="5">
        <f>VLOOKUP(B136,$J$14:$K$64,2,0)</f>
        <v>1740.0000000000002</v>
      </c>
      <c r="D136" t="str">
        <f t="shared" si="1"/>
        <v>Formales</v>
      </c>
    </row>
    <row r="137" spans="1:4" x14ac:dyDescent="0.25">
      <c r="A137" s="1">
        <v>42736</v>
      </c>
      <c r="B137" t="s">
        <v>490</v>
      </c>
      <c r="C137" s="5">
        <f>VLOOKUP(B137,$J$14:$K$64,2,0)</f>
        <v>560</v>
      </c>
      <c r="D137" t="str">
        <f t="shared" si="1"/>
        <v>Sandalias</v>
      </c>
    </row>
    <row r="138" spans="1:4" x14ac:dyDescent="0.25">
      <c r="A138" s="1">
        <v>42998</v>
      </c>
      <c r="B138" t="s">
        <v>539</v>
      </c>
      <c r="C138" s="5">
        <f>VLOOKUP(B138,$J$14:$K$64,2,0)</f>
        <v>950</v>
      </c>
      <c r="D138" t="str">
        <f t="shared" si="1"/>
        <v>Casuales</v>
      </c>
    </row>
    <row r="139" spans="1:4" x14ac:dyDescent="0.25">
      <c r="A139" s="1">
        <v>42981</v>
      </c>
      <c r="B139" t="s">
        <v>463</v>
      </c>
      <c r="C139" s="5">
        <f>VLOOKUP(B139,$J$14:$K$64,2,0)</f>
        <v>940</v>
      </c>
      <c r="D139" t="str">
        <f t="shared" si="1"/>
        <v>Formales</v>
      </c>
    </row>
    <row r="140" spans="1:4" x14ac:dyDescent="0.25">
      <c r="A140" s="1">
        <v>43056</v>
      </c>
      <c r="B140" t="s">
        <v>478</v>
      </c>
      <c r="C140" s="5">
        <f>VLOOKUP(B140,$J$14:$K$64,2,0)</f>
        <v>2130</v>
      </c>
      <c r="D140" t="str">
        <f t="shared" si="1"/>
        <v>Botas</v>
      </c>
    </row>
    <row r="141" spans="1:4" x14ac:dyDescent="0.25">
      <c r="A141" s="1">
        <v>42880</v>
      </c>
      <c r="B141" t="s">
        <v>543</v>
      </c>
      <c r="C141" s="5">
        <f>VLOOKUP(B141,$J$14:$K$64,2,0)</f>
        <v>1710.0000000000002</v>
      </c>
      <c r="D141" t="str">
        <f t="shared" si="1"/>
        <v>Deportivos</v>
      </c>
    </row>
    <row r="142" spans="1:4" x14ac:dyDescent="0.25">
      <c r="A142" s="1">
        <v>43082</v>
      </c>
      <c r="B142" t="s">
        <v>476</v>
      </c>
      <c r="C142" s="5">
        <f>VLOOKUP(B142,$J$14:$K$64,2,0)</f>
        <v>1590</v>
      </c>
      <c r="D142" t="str">
        <f t="shared" si="1"/>
        <v>Botas</v>
      </c>
    </row>
    <row r="143" spans="1:4" x14ac:dyDescent="0.25">
      <c r="A143" s="1">
        <v>43049</v>
      </c>
      <c r="B143" t="s">
        <v>514</v>
      </c>
      <c r="C143" s="5">
        <f>VLOOKUP(B143,$J$14:$K$64,2,0)</f>
        <v>960</v>
      </c>
      <c r="D143" t="str">
        <f t="shared" si="1"/>
        <v>Casuales</v>
      </c>
    </row>
    <row r="144" spans="1:4" x14ac:dyDescent="0.25">
      <c r="A144" s="1">
        <v>42924</v>
      </c>
      <c r="B144" t="s">
        <v>498</v>
      </c>
      <c r="C144" s="5">
        <f>VLOOKUP(B144,$J$14:$K$64,2,0)</f>
        <v>840</v>
      </c>
      <c r="D144" t="str">
        <f t="shared" ref="D144:D207" si="2">VLOOKUP(B144,$J$14:$L$64,3,0)</f>
        <v>Deportivos</v>
      </c>
    </row>
    <row r="145" spans="1:4" x14ac:dyDescent="0.25">
      <c r="A145" s="1">
        <v>42916</v>
      </c>
      <c r="B145" t="s">
        <v>545</v>
      </c>
      <c r="C145" s="5">
        <f>VLOOKUP(B145,$J$14:$K$64,2,0)</f>
        <v>1840.0000000000002</v>
      </c>
      <c r="D145" t="str">
        <f t="shared" si="2"/>
        <v>Botas</v>
      </c>
    </row>
    <row r="146" spans="1:4" x14ac:dyDescent="0.25">
      <c r="A146" s="1">
        <v>42764</v>
      </c>
      <c r="B146" t="s">
        <v>480</v>
      </c>
      <c r="C146" s="5">
        <f>VLOOKUP(B146,$J$14:$K$64,2,0)</f>
        <v>1750</v>
      </c>
      <c r="D146" t="str">
        <f t="shared" si="2"/>
        <v>Deportivos</v>
      </c>
    </row>
    <row r="147" spans="1:4" x14ac:dyDescent="0.25">
      <c r="A147" s="1">
        <v>42832</v>
      </c>
      <c r="B147" t="s">
        <v>525</v>
      </c>
      <c r="C147" s="5">
        <f>VLOOKUP(B147,$J$14:$K$64,2,0)</f>
        <v>2130</v>
      </c>
      <c r="D147" t="str">
        <f t="shared" si="2"/>
        <v>Botas</v>
      </c>
    </row>
    <row r="148" spans="1:4" x14ac:dyDescent="0.25">
      <c r="A148" s="1">
        <v>42766</v>
      </c>
      <c r="B148" t="s">
        <v>492</v>
      </c>
      <c r="C148" s="5">
        <f>VLOOKUP(B148,$J$14:$K$64,2,0)</f>
        <v>1500</v>
      </c>
      <c r="D148" t="str">
        <f t="shared" si="2"/>
        <v>Deportivos</v>
      </c>
    </row>
    <row r="149" spans="1:4" x14ac:dyDescent="0.25">
      <c r="A149" s="1">
        <v>42754</v>
      </c>
      <c r="B149" t="s">
        <v>484</v>
      </c>
      <c r="C149" s="5">
        <f>VLOOKUP(B149,$J$14:$K$64,2,0)</f>
        <v>1530</v>
      </c>
      <c r="D149" t="str">
        <f t="shared" si="2"/>
        <v>Formales</v>
      </c>
    </row>
    <row r="150" spans="1:4" x14ac:dyDescent="0.25">
      <c r="A150" s="1">
        <v>42769</v>
      </c>
      <c r="B150" t="s">
        <v>467</v>
      </c>
      <c r="C150" s="5">
        <f>VLOOKUP(B150,$J$14:$K$64,2,0)</f>
        <v>1130</v>
      </c>
      <c r="D150" t="str">
        <f t="shared" si="2"/>
        <v>Casuales</v>
      </c>
    </row>
    <row r="151" spans="1:4" x14ac:dyDescent="0.25">
      <c r="A151" s="1">
        <v>42928</v>
      </c>
      <c r="B151" t="s">
        <v>541</v>
      </c>
      <c r="C151" s="5">
        <f>VLOOKUP(B151,$J$14:$K$64,2,0)</f>
        <v>1240</v>
      </c>
      <c r="D151" t="str">
        <f t="shared" si="2"/>
        <v>Formales</v>
      </c>
    </row>
    <row r="152" spans="1:4" x14ac:dyDescent="0.25">
      <c r="A152" s="1">
        <v>42745</v>
      </c>
      <c r="B152" t="s">
        <v>465</v>
      </c>
      <c r="C152" s="5">
        <f>VLOOKUP(B152,$J$14:$K$64,2,0)</f>
        <v>1560</v>
      </c>
      <c r="D152" t="str">
        <f t="shared" si="2"/>
        <v>Botas</v>
      </c>
    </row>
    <row r="153" spans="1:4" x14ac:dyDescent="0.25">
      <c r="A153" s="1">
        <v>42947</v>
      </c>
      <c r="B153" t="s">
        <v>508</v>
      </c>
      <c r="C153" s="5">
        <f>VLOOKUP(B153,$J$14:$K$64,2,0)</f>
        <v>1100</v>
      </c>
      <c r="D153" t="str">
        <f t="shared" si="2"/>
        <v>Deportivos</v>
      </c>
    </row>
    <row r="154" spans="1:4" x14ac:dyDescent="0.25">
      <c r="A154" s="1">
        <v>42948</v>
      </c>
      <c r="B154" t="s">
        <v>482</v>
      </c>
      <c r="C154" s="5">
        <f>VLOOKUP(B154,$J$14:$K$64,2,0)</f>
        <v>1490</v>
      </c>
      <c r="D154" t="str">
        <f t="shared" si="2"/>
        <v>Formales</v>
      </c>
    </row>
    <row r="155" spans="1:4" x14ac:dyDescent="0.25">
      <c r="A155" s="1">
        <v>42794</v>
      </c>
      <c r="B155" t="s">
        <v>463</v>
      </c>
      <c r="C155" s="5">
        <f>VLOOKUP(B155,$J$14:$K$64,2,0)</f>
        <v>940</v>
      </c>
      <c r="D155" t="str">
        <f t="shared" si="2"/>
        <v>Formales</v>
      </c>
    </row>
    <row r="156" spans="1:4" x14ac:dyDescent="0.25">
      <c r="A156" s="1">
        <v>43056</v>
      </c>
      <c r="B156" t="s">
        <v>459</v>
      </c>
      <c r="C156" s="5">
        <f>VLOOKUP(B156,$J$14:$K$64,2,0)</f>
        <v>1640.0000000000002</v>
      </c>
      <c r="D156" t="str">
        <f t="shared" si="2"/>
        <v>Botas</v>
      </c>
    </row>
    <row r="157" spans="1:4" x14ac:dyDescent="0.25">
      <c r="A157" s="1">
        <v>43052</v>
      </c>
      <c r="B157" t="s">
        <v>512</v>
      </c>
      <c r="C157" s="5">
        <f>VLOOKUP(B157,$J$14:$K$64,2,0)</f>
        <v>1050</v>
      </c>
      <c r="D157" t="str">
        <f t="shared" si="2"/>
        <v>Formales</v>
      </c>
    </row>
    <row r="158" spans="1:4" x14ac:dyDescent="0.25">
      <c r="A158" s="1">
        <v>42802</v>
      </c>
      <c r="B158" t="s">
        <v>445</v>
      </c>
      <c r="C158" s="5">
        <f>VLOOKUP(B158,$J$14:$K$64,2,0)</f>
        <v>1680</v>
      </c>
      <c r="D158" t="str">
        <f t="shared" si="2"/>
        <v>Deportivos</v>
      </c>
    </row>
    <row r="159" spans="1:4" x14ac:dyDescent="0.25">
      <c r="A159" s="1">
        <v>43056</v>
      </c>
      <c r="B159" t="s">
        <v>510</v>
      </c>
      <c r="C159" s="5">
        <f>VLOOKUP(B159,$J$14:$K$64,2,0)</f>
        <v>969.99999999999989</v>
      </c>
      <c r="D159" t="str">
        <f t="shared" si="2"/>
        <v>Formales</v>
      </c>
    </row>
    <row r="160" spans="1:4" x14ac:dyDescent="0.25">
      <c r="A160" s="1">
        <v>42987</v>
      </c>
      <c r="B160" t="s">
        <v>498</v>
      </c>
      <c r="C160" s="5">
        <f>VLOOKUP(B160,$J$14:$K$64,2,0)</f>
        <v>840</v>
      </c>
      <c r="D160" t="str">
        <f t="shared" si="2"/>
        <v>Deportivos</v>
      </c>
    </row>
    <row r="161" spans="1:4" x14ac:dyDescent="0.25">
      <c r="A161" s="1">
        <v>42754</v>
      </c>
      <c r="B161" t="s">
        <v>500</v>
      </c>
      <c r="C161" s="5">
        <f>VLOOKUP(B161,$J$14:$K$64,2,0)</f>
        <v>1019.9999999999999</v>
      </c>
      <c r="D161" t="str">
        <f t="shared" si="2"/>
        <v>Casuales</v>
      </c>
    </row>
    <row r="162" spans="1:4" x14ac:dyDescent="0.25">
      <c r="A162" s="1">
        <v>42777</v>
      </c>
      <c r="B162" t="s">
        <v>541</v>
      </c>
      <c r="C162" s="5">
        <f>VLOOKUP(B162,$J$14:$K$64,2,0)</f>
        <v>1240</v>
      </c>
      <c r="D162" t="str">
        <f t="shared" si="2"/>
        <v>Formales</v>
      </c>
    </row>
    <row r="163" spans="1:4" x14ac:dyDescent="0.25">
      <c r="A163" s="1">
        <v>43014</v>
      </c>
      <c r="B163" t="s">
        <v>459</v>
      </c>
      <c r="C163" s="5">
        <f>VLOOKUP(B163,$J$14:$K$64,2,0)</f>
        <v>1640.0000000000002</v>
      </c>
      <c r="D163" t="str">
        <f t="shared" si="2"/>
        <v>Botas</v>
      </c>
    </row>
    <row r="164" spans="1:4" x14ac:dyDescent="0.25">
      <c r="A164" s="1">
        <v>43078</v>
      </c>
      <c r="B164" t="s">
        <v>456</v>
      </c>
      <c r="C164" s="5">
        <f>VLOOKUP(B164,$J$14:$K$64,2,0)</f>
        <v>1780</v>
      </c>
      <c r="D164" t="str">
        <f t="shared" si="2"/>
        <v>Formales</v>
      </c>
    </row>
    <row r="165" spans="1:4" x14ac:dyDescent="0.25">
      <c r="A165" s="1">
        <v>42862</v>
      </c>
      <c r="B165" t="s">
        <v>482</v>
      </c>
      <c r="C165" s="5">
        <f>VLOOKUP(B165,$J$14:$K$64,2,0)</f>
        <v>1490</v>
      </c>
      <c r="D165" t="str">
        <f t="shared" si="2"/>
        <v>Formales</v>
      </c>
    </row>
    <row r="166" spans="1:4" x14ac:dyDescent="0.25">
      <c r="A166" s="1">
        <v>42811</v>
      </c>
      <c r="B166" t="s">
        <v>476</v>
      </c>
      <c r="C166" s="5">
        <f>VLOOKUP(B166,$J$14:$K$64,2,0)</f>
        <v>1590</v>
      </c>
      <c r="D166" t="str">
        <f t="shared" si="2"/>
        <v>Botas</v>
      </c>
    </row>
    <row r="167" spans="1:4" x14ac:dyDescent="0.25">
      <c r="A167" s="1">
        <v>42804</v>
      </c>
      <c r="B167" t="s">
        <v>451</v>
      </c>
      <c r="C167" s="5">
        <f>VLOOKUP(B167,$J$14:$K$64,2,0)</f>
        <v>350</v>
      </c>
      <c r="D167" t="str">
        <f t="shared" si="2"/>
        <v>Sandalias</v>
      </c>
    </row>
    <row r="168" spans="1:4" x14ac:dyDescent="0.25">
      <c r="A168" s="1">
        <v>43076</v>
      </c>
      <c r="B168" t="s">
        <v>451</v>
      </c>
      <c r="C168" s="5">
        <f>VLOOKUP(B168,$J$14:$K$64,2,0)</f>
        <v>350</v>
      </c>
      <c r="D168" t="str">
        <f t="shared" si="2"/>
        <v>Sandalias</v>
      </c>
    </row>
    <row r="169" spans="1:4" x14ac:dyDescent="0.25">
      <c r="A169" s="1">
        <v>42751</v>
      </c>
      <c r="B169" t="s">
        <v>482</v>
      </c>
      <c r="C169" s="5">
        <f>VLOOKUP(B169,$J$14:$K$64,2,0)</f>
        <v>1490</v>
      </c>
      <c r="D169" t="str">
        <f t="shared" si="2"/>
        <v>Formales</v>
      </c>
    </row>
    <row r="170" spans="1:4" x14ac:dyDescent="0.25">
      <c r="A170" s="1">
        <v>42990</v>
      </c>
      <c r="B170" t="s">
        <v>523</v>
      </c>
      <c r="C170" s="5">
        <f>VLOOKUP(B170,$J$14:$K$64,2,0)</f>
        <v>1050</v>
      </c>
      <c r="D170" t="str">
        <f t="shared" si="2"/>
        <v>Formales</v>
      </c>
    </row>
    <row r="171" spans="1:4" x14ac:dyDescent="0.25">
      <c r="A171" s="1">
        <v>42922</v>
      </c>
      <c r="B171" t="s">
        <v>516</v>
      </c>
      <c r="C171" s="5">
        <f>VLOOKUP(B171,$J$14:$K$64,2,0)</f>
        <v>979.99999999999989</v>
      </c>
      <c r="D171" t="str">
        <f t="shared" si="2"/>
        <v>Casuales</v>
      </c>
    </row>
    <row r="172" spans="1:4" x14ac:dyDescent="0.25">
      <c r="A172" s="1">
        <v>43074</v>
      </c>
      <c r="B172" t="s">
        <v>474</v>
      </c>
      <c r="C172" s="5">
        <f>VLOOKUP(B172,$J$14:$K$64,2,0)</f>
        <v>1620.0000000000002</v>
      </c>
      <c r="D172" t="str">
        <f t="shared" si="2"/>
        <v>Formales</v>
      </c>
    </row>
    <row r="173" spans="1:4" x14ac:dyDescent="0.25">
      <c r="A173" s="1">
        <v>42746</v>
      </c>
      <c r="B173" t="s">
        <v>508</v>
      </c>
      <c r="C173" s="5">
        <f>VLOOKUP(B173,$J$14:$K$64,2,0)</f>
        <v>1100</v>
      </c>
      <c r="D173" t="str">
        <f t="shared" si="2"/>
        <v>Deportivos</v>
      </c>
    </row>
    <row r="174" spans="1:4" x14ac:dyDescent="0.25">
      <c r="A174" s="1">
        <v>43048</v>
      </c>
      <c r="B174" t="s">
        <v>488</v>
      </c>
      <c r="C174" s="5">
        <f>VLOOKUP(B174,$J$14:$K$64,2,0)</f>
        <v>819.99999999999989</v>
      </c>
      <c r="D174" t="str">
        <f t="shared" si="2"/>
        <v>Casuales</v>
      </c>
    </row>
    <row r="175" spans="1:4" x14ac:dyDescent="0.25">
      <c r="A175" s="1">
        <v>42842</v>
      </c>
      <c r="B175" t="s">
        <v>537</v>
      </c>
      <c r="C175" s="5">
        <f>VLOOKUP(B175,$J$14:$K$64,2,0)</f>
        <v>840</v>
      </c>
      <c r="D175" t="str">
        <f t="shared" si="2"/>
        <v>Formales</v>
      </c>
    </row>
    <row r="176" spans="1:4" x14ac:dyDescent="0.25">
      <c r="A176" s="1">
        <v>42954</v>
      </c>
      <c r="B176" t="s">
        <v>480</v>
      </c>
      <c r="C176" s="5">
        <f>VLOOKUP(B176,$J$14:$K$64,2,0)</f>
        <v>1750</v>
      </c>
      <c r="D176" t="str">
        <f t="shared" si="2"/>
        <v>Deportivos</v>
      </c>
    </row>
    <row r="177" spans="1:4" x14ac:dyDescent="0.25">
      <c r="A177" s="1">
        <v>43009</v>
      </c>
      <c r="B177" t="s">
        <v>467</v>
      </c>
      <c r="C177" s="5">
        <f>VLOOKUP(B177,$J$14:$K$64,2,0)</f>
        <v>1130</v>
      </c>
      <c r="D177" t="str">
        <f t="shared" si="2"/>
        <v>Casuales</v>
      </c>
    </row>
    <row r="178" spans="1:4" x14ac:dyDescent="0.25">
      <c r="A178" s="1">
        <v>43075</v>
      </c>
      <c r="B178" t="s">
        <v>484</v>
      </c>
      <c r="C178" s="5">
        <f>VLOOKUP(B178,$J$14:$K$64,2,0)</f>
        <v>1530</v>
      </c>
      <c r="D178" t="str">
        <f t="shared" si="2"/>
        <v>Formales</v>
      </c>
    </row>
    <row r="179" spans="1:4" x14ac:dyDescent="0.25">
      <c r="A179" s="1">
        <v>42939</v>
      </c>
      <c r="B179" t="s">
        <v>531</v>
      </c>
      <c r="C179" s="5">
        <f>VLOOKUP(B179,$J$14:$K$64,2,0)</f>
        <v>1300</v>
      </c>
      <c r="D179" t="str">
        <f t="shared" si="2"/>
        <v>Casuales</v>
      </c>
    </row>
    <row r="180" spans="1:4" x14ac:dyDescent="0.25">
      <c r="A180" s="1">
        <v>43084</v>
      </c>
      <c r="B180" t="s">
        <v>448</v>
      </c>
      <c r="C180" s="5">
        <f>VLOOKUP(B180,$J$14:$K$64,2,0)</f>
        <v>2260</v>
      </c>
      <c r="D180" t="str">
        <f t="shared" si="2"/>
        <v>Botas</v>
      </c>
    </row>
    <row r="181" spans="1:4" x14ac:dyDescent="0.25">
      <c r="A181" s="1">
        <v>42921</v>
      </c>
      <c r="B181" t="s">
        <v>472</v>
      </c>
      <c r="C181" s="5">
        <f>VLOOKUP(B181,$J$14:$K$64,2,0)</f>
        <v>1710.0000000000002</v>
      </c>
      <c r="D181" t="str">
        <f t="shared" si="2"/>
        <v>Formales</v>
      </c>
    </row>
    <row r="182" spans="1:4" x14ac:dyDescent="0.25">
      <c r="A182" s="1">
        <v>42750</v>
      </c>
      <c r="B182" t="s">
        <v>474</v>
      </c>
      <c r="C182" s="5">
        <f>VLOOKUP(B182,$J$14:$K$64,2,0)</f>
        <v>1620.0000000000002</v>
      </c>
      <c r="D182" t="str">
        <f t="shared" si="2"/>
        <v>Formales</v>
      </c>
    </row>
    <row r="183" spans="1:4" x14ac:dyDescent="0.25">
      <c r="A183" s="1">
        <v>42763</v>
      </c>
      <c r="B183" t="s">
        <v>547</v>
      </c>
      <c r="C183" s="5">
        <f>VLOOKUP(B183,$J$14:$K$64,2,0)</f>
        <v>1170</v>
      </c>
      <c r="D183" t="str">
        <f t="shared" si="2"/>
        <v>Formales</v>
      </c>
    </row>
    <row r="184" spans="1:4" x14ac:dyDescent="0.25">
      <c r="A184" s="1">
        <v>42927</v>
      </c>
      <c r="B184" t="s">
        <v>482</v>
      </c>
      <c r="C184" s="5">
        <f>VLOOKUP(B184,$J$14:$K$64,2,0)</f>
        <v>1490</v>
      </c>
      <c r="D184" t="str">
        <f t="shared" si="2"/>
        <v>Formales</v>
      </c>
    </row>
    <row r="185" spans="1:4" x14ac:dyDescent="0.25">
      <c r="A185" s="1">
        <v>42974</v>
      </c>
      <c r="B185" t="s">
        <v>521</v>
      </c>
      <c r="C185" s="5">
        <f>VLOOKUP(B185,$J$14:$K$64,2,0)</f>
        <v>1160</v>
      </c>
      <c r="D185" t="str">
        <f t="shared" si="2"/>
        <v>Casuales</v>
      </c>
    </row>
    <row r="186" spans="1:4" x14ac:dyDescent="0.25">
      <c r="A186" s="1">
        <v>43015</v>
      </c>
      <c r="B186" t="s">
        <v>486</v>
      </c>
      <c r="C186" s="5">
        <f>VLOOKUP(B186,$J$14:$K$64,2,0)</f>
        <v>2110</v>
      </c>
      <c r="D186" t="str">
        <f t="shared" si="2"/>
        <v>Botas</v>
      </c>
    </row>
    <row r="187" spans="1:4" x14ac:dyDescent="0.25">
      <c r="A187" s="1">
        <v>42862</v>
      </c>
      <c r="B187" t="s">
        <v>448</v>
      </c>
      <c r="C187" s="5">
        <f>VLOOKUP(B187,$J$14:$K$64,2,0)</f>
        <v>2260</v>
      </c>
      <c r="D187" t="str">
        <f t="shared" si="2"/>
        <v>Botas</v>
      </c>
    </row>
    <row r="188" spans="1:4" x14ac:dyDescent="0.25">
      <c r="A188" s="1">
        <v>42951</v>
      </c>
      <c r="B188" t="s">
        <v>467</v>
      </c>
      <c r="C188" s="5">
        <f>VLOOKUP(B188,$J$14:$K$64,2,0)</f>
        <v>1130</v>
      </c>
      <c r="D188" t="str">
        <f t="shared" si="2"/>
        <v>Casuales</v>
      </c>
    </row>
    <row r="189" spans="1:4" x14ac:dyDescent="0.25">
      <c r="A189" s="1">
        <v>42835</v>
      </c>
      <c r="B189" t="s">
        <v>492</v>
      </c>
      <c r="C189" s="5">
        <f>VLOOKUP(B189,$J$14:$K$64,2,0)</f>
        <v>1500</v>
      </c>
      <c r="D189" t="str">
        <f t="shared" si="2"/>
        <v>Deportivos</v>
      </c>
    </row>
    <row r="190" spans="1:4" x14ac:dyDescent="0.25">
      <c r="A190" s="1">
        <v>43079</v>
      </c>
      <c r="B190" t="s">
        <v>543</v>
      </c>
      <c r="C190" s="5">
        <f>VLOOKUP(B190,$J$14:$K$64,2,0)</f>
        <v>1710.0000000000002</v>
      </c>
      <c r="D190" t="str">
        <f t="shared" si="2"/>
        <v>Deportivos</v>
      </c>
    </row>
    <row r="191" spans="1:4" x14ac:dyDescent="0.25">
      <c r="A191" s="1">
        <v>42807</v>
      </c>
      <c r="B191" t="s">
        <v>472</v>
      </c>
      <c r="C191" s="5">
        <f>VLOOKUP(B191,$J$14:$K$64,2,0)</f>
        <v>1710.0000000000002</v>
      </c>
      <c r="D191" t="str">
        <f t="shared" si="2"/>
        <v>Formales</v>
      </c>
    </row>
    <row r="192" spans="1:4" x14ac:dyDescent="0.25">
      <c r="A192" s="1">
        <v>43015</v>
      </c>
      <c r="B192" t="s">
        <v>516</v>
      </c>
      <c r="C192" s="5">
        <f>VLOOKUP(B192,$J$14:$K$64,2,0)</f>
        <v>979.99999999999989</v>
      </c>
      <c r="D192" t="str">
        <f t="shared" si="2"/>
        <v>Casuales</v>
      </c>
    </row>
    <row r="193" spans="1:4" x14ac:dyDescent="0.25">
      <c r="A193" s="1">
        <v>42939</v>
      </c>
      <c r="B193" t="s">
        <v>467</v>
      </c>
      <c r="C193" s="5">
        <f>VLOOKUP(B193,$J$14:$K$64,2,0)</f>
        <v>1130</v>
      </c>
      <c r="D193" t="str">
        <f t="shared" si="2"/>
        <v>Casuales</v>
      </c>
    </row>
    <row r="194" spans="1:4" x14ac:dyDescent="0.25">
      <c r="A194" s="1">
        <v>42921</v>
      </c>
      <c r="B194" t="s">
        <v>480</v>
      </c>
      <c r="C194" s="5">
        <f>VLOOKUP(B194,$J$14:$K$64,2,0)</f>
        <v>1750</v>
      </c>
      <c r="D194" t="str">
        <f t="shared" si="2"/>
        <v>Deportivos</v>
      </c>
    </row>
    <row r="195" spans="1:4" x14ac:dyDescent="0.25">
      <c r="A195" s="1">
        <v>42886</v>
      </c>
      <c r="B195" t="s">
        <v>529</v>
      </c>
      <c r="C195" s="5">
        <f>VLOOKUP(B195,$J$14:$K$64,2,0)</f>
        <v>2480</v>
      </c>
      <c r="D195" t="str">
        <f t="shared" si="2"/>
        <v>Botas</v>
      </c>
    </row>
    <row r="196" spans="1:4" x14ac:dyDescent="0.25">
      <c r="A196" s="1">
        <v>42842</v>
      </c>
      <c r="B196" t="s">
        <v>498</v>
      </c>
      <c r="C196" s="5">
        <f>VLOOKUP(B196,$J$14:$K$64,2,0)</f>
        <v>840</v>
      </c>
      <c r="D196" t="str">
        <f t="shared" si="2"/>
        <v>Deportivos</v>
      </c>
    </row>
    <row r="197" spans="1:4" x14ac:dyDescent="0.25">
      <c r="A197" s="1">
        <v>42788</v>
      </c>
      <c r="B197" t="s">
        <v>498</v>
      </c>
      <c r="C197" s="5">
        <f>VLOOKUP(B197,$J$14:$K$64,2,0)</f>
        <v>840</v>
      </c>
      <c r="D197" t="str">
        <f t="shared" si="2"/>
        <v>Deportivos</v>
      </c>
    </row>
    <row r="198" spans="1:4" x14ac:dyDescent="0.25">
      <c r="A198" s="1">
        <v>42810</v>
      </c>
      <c r="B198" t="s">
        <v>456</v>
      </c>
      <c r="C198" s="5">
        <f>VLOOKUP(B198,$J$14:$K$64,2,0)</f>
        <v>1780</v>
      </c>
      <c r="D198" t="str">
        <f t="shared" si="2"/>
        <v>Formales</v>
      </c>
    </row>
    <row r="199" spans="1:4" x14ac:dyDescent="0.25">
      <c r="A199" s="1">
        <v>42776</v>
      </c>
      <c r="B199" t="s">
        <v>496</v>
      </c>
      <c r="C199" s="5">
        <f>VLOOKUP(B199,$J$14:$K$64,2,0)</f>
        <v>1040</v>
      </c>
      <c r="D199" t="str">
        <f t="shared" si="2"/>
        <v>Deportivos</v>
      </c>
    </row>
    <row r="200" spans="1:4" x14ac:dyDescent="0.25">
      <c r="A200" s="1">
        <v>42774</v>
      </c>
      <c r="B200" t="s">
        <v>476</v>
      </c>
      <c r="C200" s="5">
        <f>VLOOKUP(B200,$J$14:$K$64,2,0)</f>
        <v>1590</v>
      </c>
      <c r="D200" t="str">
        <f t="shared" si="2"/>
        <v>Botas</v>
      </c>
    </row>
    <row r="201" spans="1:4" x14ac:dyDescent="0.25">
      <c r="A201" s="1">
        <v>43008</v>
      </c>
      <c r="B201" t="s">
        <v>498</v>
      </c>
      <c r="C201" s="5">
        <f>VLOOKUP(B201,$J$14:$K$64,2,0)</f>
        <v>840</v>
      </c>
      <c r="D201" t="str">
        <f t="shared" si="2"/>
        <v>Deportivos</v>
      </c>
    </row>
    <row r="202" spans="1:4" x14ac:dyDescent="0.25">
      <c r="A202" s="1">
        <v>42939</v>
      </c>
      <c r="B202" t="s">
        <v>482</v>
      </c>
      <c r="C202" s="5">
        <f>VLOOKUP(B202,$J$14:$K$64,2,0)</f>
        <v>1490</v>
      </c>
      <c r="D202" t="str">
        <f t="shared" si="2"/>
        <v>Formales</v>
      </c>
    </row>
    <row r="203" spans="1:4" x14ac:dyDescent="0.25">
      <c r="A203" s="1">
        <v>43017</v>
      </c>
      <c r="B203" t="s">
        <v>504</v>
      </c>
      <c r="C203" s="5">
        <f>VLOOKUP(B203,$J$14:$K$64,2,0)</f>
        <v>1700</v>
      </c>
      <c r="D203" t="str">
        <f t="shared" si="2"/>
        <v>Deportivos</v>
      </c>
    </row>
    <row r="204" spans="1:4" x14ac:dyDescent="0.25">
      <c r="A204" s="1">
        <v>43009</v>
      </c>
      <c r="B204" t="s">
        <v>476</v>
      </c>
      <c r="C204" s="5">
        <f>VLOOKUP(B204,$J$14:$K$64,2,0)</f>
        <v>1590</v>
      </c>
      <c r="D204" t="str">
        <f t="shared" si="2"/>
        <v>Botas</v>
      </c>
    </row>
    <row r="205" spans="1:4" x14ac:dyDescent="0.25">
      <c r="A205" s="1">
        <v>42822</v>
      </c>
      <c r="B205" t="s">
        <v>463</v>
      </c>
      <c r="C205" s="5">
        <f>VLOOKUP(B205,$J$14:$K$64,2,0)</f>
        <v>940</v>
      </c>
      <c r="D205" t="str">
        <f t="shared" si="2"/>
        <v>Formales</v>
      </c>
    </row>
    <row r="206" spans="1:4" x14ac:dyDescent="0.25">
      <c r="A206" s="1">
        <v>42986</v>
      </c>
      <c r="B206" t="s">
        <v>527</v>
      </c>
      <c r="C206" s="5">
        <f>VLOOKUP(B206,$J$14:$K$64,2,0)</f>
        <v>1180</v>
      </c>
      <c r="D206" t="str">
        <f t="shared" si="2"/>
        <v>Formales</v>
      </c>
    </row>
    <row r="207" spans="1:4" x14ac:dyDescent="0.25">
      <c r="A207" s="1">
        <v>42931</v>
      </c>
      <c r="B207" t="s">
        <v>523</v>
      </c>
      <c r="C207" s="5">
        <f>VLOOKUP(B207,$J$14:$K$64,2,0)</f>
        <v>1050</v>
      </c>
      <c r="D207" t="str">
        <f t="shared" si="2"/>
        <v>Formales</v>
      </c>
    </row>
    <row r="208" spans="1:4" x14ac:dyDescent="0.25">
      <c r="A208" s="1">
        <v>43019</v>
      </c>
      <c r="B208" t="s">
        <v>521</v>
      </c>
      <c r="C208" s="5">
        <f>VLOOKUP(B208,$J$14:$K$64,2,0)</f>
        <v>1160</v>
      </c>
      <c r="D208" t="str">
        <f t="shared" ref="D208:D271" si="3">VLOOKUP(B208,$J$14:$L$64,3,0)</f>
        <v>Casuales</v>
      </c>
    </row>
    <row r="209" spans="1:4" x14ac:dyDescent="0.25">
      <c r="A209" s="1">
        <v>43016</v>
      </c>
      <c r="B209" t="s">
        <v>539</v>
      </c>
      <c r="C209" s="5">
        <f>VLOOKUP(B209,$J$14:$K$64,2,0)</f>
        <v>950</v>
      </c>
      <c r="D209" t="str">
        <f t="shared" si="3"/>
        <v>Casuales</v>
      </c>
    </row>
    <row r="210" spans="1:4" x14ac:dyDescent="0.25">
      <c r="A210" s="1">
        <v>42989</v>
      </c>
      <c r="B210" t="s">
        <v>539</v>
      </c>
      <c r="C210" s="5">
        <f>VLOOKUP(B210,$J$14:$K$64,2,0)</f>
        <v>950</v>
      </c>
      <c r="D210" t="str">
        <f t="shared" si="3"/>
        <v>Casuales</v>
      </c>
    </row>
    <row r="211" spans="1:4" x14ac:dyDescent="0.25">
      <c r="A211" s="1">
        <v>43027</v>
      </c>
      <c r="B211" t="s">
        <v>547</v>
      </c>
      <c r="C211" s="5">
        <f>VLOOKUP(B211,$J$14:$K$64,2,0)</f>
        <v>1170</v>
      </c>
      <c r="D211" t="str">
        <f t="shared" si="3"/>
        <v>Formales</v>
      </c>
    </row>
    <row r="212" spans="1:4" x14ac:dyDescent="0.25">
      <c r="A212" s="1">
        <v>42805</v>
      </c>
      <c r="B212" t="s">
        <v>472</v>
      </c>
      <c r="C212" s="5">
        <f>VLOOKUP(B212,$J$14:$K$64,2,0)</f>
        <v>1710.0000000000002</v>
      </c>
      <c r="D212" t="str">
        <f t="shared" si="3"/>
        <v>Formales</v>
      </c>
    </row>
    <row r="213" spans="1:4" x14ac:dyDescent="0.25">
      <c r="A213" s="1">
        <v>43074</v>
      </c>
      <c r="B213" t="s">
        <v>531</v>
      </c>
      <c r="C213" s="5">
        <f>VLOOKUP(B213,$J$14:$K$64,2,0)</f>
        <v>1300</v>
      </c>
      <c r="D213" t="str">
        <f t="shared" si="3"/>
        <v>Casuales</v>
      </c>
    </row>
    <row r="214" spans="1:4" x14ac:dyDescent="0.25">
      <c r="A214" s="1">
        <v>42932</v>
      </c>
      <c r="B214" t="s">
        <v>445</v>
      </c>
      <c r="C214" s="5">
        <f>VLOOKUP(B214,$J$14:$K$64,2,0)</f>
        <v>1680</v>
      </c>
      <c r="D214" t="str">
        <f t="shared" si="3"/>
        <v>Deportivos</v>
      </c>
    </row>
    <row r="215" spans="1:4" x14ac:dyDescent="0.25">
      <c r="A215" s="1">
        <v>42833</v>
      </c>
      <c r="B215" t="s">
        <v>474</v>
      </c>
      <c r="C215" s="5">
        <f>VLOOKUP(B215,$J$14:$K$64,2,0)</f>
        <v>1620.0000000000002</v>
      </c>
      <c r="D215" t="str">
        <f t="shared" si="3"/>
        <v>Formales</v>
      </c>
    </row>
    <row r="216" spans="1:4" x14ac:dyDescent="0.25">
      <c r="A216" s="1">
        <v>42990</v>
      </c>
      <c r="B216" t="s">
        <v>498</v>
      </c>
      <c r="C216" s="5">
        <f>VLOOKUP(B216,$J$14:$K$64,2,0)</f>
        <v>840</v>
      </c>
      <c r="D216" t="str">
        <f t="shared" si="3"/>
        <v>Deportivos</v>
      </c>
    </row>
    <row r="217" spans="1:4" x14ac:dyDescent="0.25">
      <c r="A217" s="1">
        <v>42988</v>
      </c>
      <c r="B217" t="s">
        <v>541</v>
      </c>
      <c r="C217" s="5">
        <f>VLOOKUP(B217,$J$14:$K$64,2,0)</f>
        <v>1240</v>
      </c>
      <c r="D217" t="str">
        <f t="shared" si="3"/>
        <v>Formales</v>
      </c>
    </row>
    <row r="218" spans="1:4" x14ac:dyDescent="0.25">
      <c r="A218" s="1">
        <v>42760</v>
      </c>
      <c r="B218" t="s">
        <v>470</v>
      </c>
      <c r="C218" s="5">
        <f>VLOOKUP(B218,$J$14:$K$64,2,0)</f>
        <v>300</v>
      </c>
      <c r="D218" t="str">
        <f t="shared" si="3"/>
        <v>Sandalias</v>
      </c>
    </row>
    <row r="219" spans="1:4" x14ac:dyDescent="0.25">
      <c r="A219" s="1">
        <v>42939</v>
      </c>
      <c r="B219" t="s">
        <v>456</v>
      </c>
      <c r="C219" s="5">
        <f>VLOOKUP(B219,$J$14:$K$64,2,0)</f>
        <v>1780</v>
      </c>
      <c r="D219" t="str">
        <f t="shared" si="3"/>
        <v>Formales</v>
      </c>
    </row>
    <row r="220" spans="1:4" x14ac:dyDescent="0.25">
      <c r="A220" s="1">
        <v>42989</v>
      </c>
      <c r="B220" t="s">
        <v>508</v>
      </c>
      <c r="C220" s="5">
        <f>VLOOKUP(B220,$J$14:$K$64,2,0)</f>
        <v>1100</v>
      </c>
      <c r="D220" t="str">
        <f t="shared" si="3"/>
        <v>Deportivos</v>
      </c>
    </row>
    <row r="221" spans="1:4" x14ac:dyDescent="0.25">
      <c r="A221" s="1">
        <v>42900</v>
      </c>
      <c r="B221" t="s">
        <v>516</v>
      </c>
      <c r="C221" s="5">
        <f>VLOOKUP(B221,$J$14:$K$64,2,0)</f>
        <v>979.99999999999989</v>
      </c>
      <c r="D221" t="str">
        <f t="shared" si="3"/>
        <v>Casuales</v>
      </c>
    </row>
    <row r="222" spans="1:4" x14ac:dyDescent="0.25">
      <c r="A222" s="1">
        <v>42756</v>
      </c>
      <c r="B222" t="s">
        <v>496</v>
      </c>
      <c r="C222" s="5">
        <f>VLOOKUP(B222,$J$14:$K$64,2,0)</f>
        <v>1040</v>
      </c>
      <c r="D222" t="str">
        <f t="shared" si="3"/>
        <v>Deportivos</v>
      </c>
    </row>
    <row r="223" spans="1:4" x14ac:dyDescent="0.25">
      <c r="A223" s="1">
        <v>42756</v>
      </c>
      <c r="B223" t="s">
        <v>484</v>
      </c>
      <c r="C223" s="5">
        <f>VLOOKUP(B223,$J$14:$K$64,2,0)</f>
        <v>1530</v>
      </c>
      <c r="D223" t="str">
        <f t="shared" si="3"/>
        <v>Formales</v>
      </c>
    </row>
    <row r="224" spans="1:4" x14ac:dyDescent="0.25">
      <c r="A224" s="1">
        <v>42823</v>
      </c>
      <c r="B224" t="s">
        <v>492</v>
      </c>
      <c r="C224" s="5">
        <f>VLOOKUP(B224,$J$14:$K$64,2,0)</f>
        <v>1500</v>
      </c>
      <c r="D224" t="str">
        <f t="shared" si="3"/>
        <v>Deportivos</v>
      </c>
    </row>
    <row r="225" spans="1:4" x14ac:dyDescent="0.25">
      <c r="A225" s="1">
        <v>42919</v>
      </c>
      <c r="B225" t="s">
        <v>454</v>
      </c>
      <c r="C225" s="5">
        <f>VLOOKUP(B225,$J$14:$K$64,2,0)</f>
        <v>690</v>
      </c>
      <c r="D225" t="str">
        <f t="shared" si="3"/>
        <v>Sandalias</v>
      </c>
    </row>
    <row r="226" spans="1:4" x14ac:dyDescent="0.25">
      <c r="A226" s="1">
        <v>42929</v>
      </c>
      <c r="B226" t="s">
        <v>476</v>
      </c>
      <c r="C226" s="5">
        <f>VLOOKUP(B226,$J$14:$K$64,2,0)</f>
        <v>1590</v>
      </c>
      <c r="D226" t="str">
        <f t="shared" si="3"/>
        <v>Botas</v>
      </c>
    </row>
    <row r="227" spans="1:4" x14ac:dyDescent="0.25">
      <c r="A227" s="1">
        <v>42870</v>
      </c>
      <c r="B227" t="s">
        <v>488</v>
      </c>
      <c r="C227" s="5">
        <f>VLOOKUP(B227,$J$14:$K$64,2,0)</f>
        <v>819.99999999999989</v>
      </c>
      <c r="D227" t="str">
        <f t="shared" si="3"/>
        <v>Casuales</v>
      </c>
    </row>
    <row r="228" spans="1:4" x14ac:dyDescent="0.25">
      <c r="A228" s="1">
        <v>42768</v>
      </c>
      <c r="B228" t="s">
        <v>478</v>
      </c>
      <c r="C228" s="5">
        <f>VLOOKUP(B228,$J$14:$K$64,2,0)</f>
        <v>2130</v>
      </c>
      <c r="D228" t="str">
        <f t="shared" si="3"/>
        <v>Botas</v>
      </c>
    </row>
    <row r="229" spans="1:4" x14ac:dyDescent="0.25">
      <c r="A229" s="1">
        <v>43043</v>
      </c>
      <c r="B229" t="s">
        <v>476</v>
      </c>
      <c r="C229" s="5">
        <f>VLOOKUP(B229,$J$14:$K$64,2,0)</f>
        <v>1590</v>
      </c>
      <c r="D229" t="str">
        <f t="shared" si="3"/>
        <v>Botas</v>
      </c>
    </row>
    <row r="230" spans="1:4" x14ac:dyDescent="0.25">
      <c r="A230" s="1">
        <v>42949</v>
      </c>
      <c r="B230" t="s">
        <v>488</v>
      </c>
      <c r="C230" s="5">
        <f>VLOOKUP(B230,$J$14:$K$64,2,0)</f>
        <v>819.99999999999989</v>
      </c>
      <c r="D230" t="str">
        <f t="shared" si="3"/>
        <v>Casuales</v>
      </c>
    </row>
    <row r="231" spans="1:4" x14ac:dyDescent="0.25">
      <c r="A231" s="1">
        <v>43080</v>
      </c>
      <c r="B231" t="s">
        <v>516</v>
      </c>
      <c r="C231" s="5">
        <f>VLOOKUP(B231,$J$14:$K$64,2,0)</f>
        <v>979.99999999999989</v>
      </c>
      <c r="D231" t="str">
        <f t="shared" si="3"/>
        <v>Casuales</v>
      </c>
    </row>
    <row r="232" spans="1:4" x14ac:dyDescent="0.25">
      <c r="A232" s="1">
        <v>42805</v>
      </c>
      <c r="B232" t="s">
        <v>535</v>
      </c>
      <c r="C232" s="5">
        <f>VLOOKUP(B232,$J$14:$K$64,2,0)</f>
        <v>1740.0000000000002</v>
      </c>
      <c r="D232" t="str">
        <f t="shared" si="3"/>
        <v>Formales</v>
      </c>
    </row>
    <row r="233" spans="1:4" x14ac:dyDescent="0.25">
      <c r="A233" s="1">
        <v>43001</v>
      </c>
      <c r="B233" t="s">
        <v>529</v>
      </c>
      <c r="C233" s="5">
        <f>VLOOKUP(B233,$J$14:$K$64,2,0)</f>
        <v>2480</v>
      </c>
      <c r="D233" t="str">
        <f t="shared" si="3"/>
        <v>Botas</v>
      </c>
    </row>
    <row r="234" spans="1:4" x14ac:dyDescent="0.25">
      <c r="A234" s="1">
        <v>43030</v>
      </c>
      <c r="B234" t="s">
        <v>490</v>
      </c>
      <c r="C234" s="5">
        <f>VLOOKUP(B234,$J$14:$K$64,2,0)</f>
        <v>560</v>
      </c>
      <c r="D234" t="str">
        <f t="shared" si="3"/>
        <v>Sandalias</v>
      </c>
    </row>
    <row r="235" spans="1:4" x14ac:dyDescent="0.25">
      <c r="A235" s="1">
        <v>42955</v>
      </c>
      <c r="B235" t="s">
        <v>535</v>
      </c>
      <c r="C235" s="5">
        <f>VLOOKUP(B235,$J$14:$K$64,2,0)</f>
        <v>1740.0000000000002</v>
      </c>
      <c r="D235" t="str">
        <f t="shared" si="3"/>
        <v>Formales</v>
      </c>
    </row>
    <row r="236" spans="1:4" x14ac:dyDescent="0.25">
      <c r="A236" s="1">
        <v>43032</v>
      </c>
      <c r="B236" t="s">
        <v>445</v>
      </c>
      <c r="C236" s="5">
        <f>VLOOKUP(B236,$J$14:$K$64,2,0)</f>
        <v>1680</v>
      </c>
      <c r="D236" t="str">
        <f t="shared" si="3"/>
        <v>Deportivos</v>
      </c>
    </row>
    <row r="237" spans="1:4" x14ac:dyDescent="0.25">
      <c r="A237" s="1">
        <v>43033</v>
      </c>
      <c r="B237" t="s">
        <v>531</v>
      </c>
      <c r="C237" s="5">
        <f>VLOOKUP(B237,$J$14:$K$64,2,0)</f>
        <v>1300</v>
      </c>
      <c r="D237" t="str">
        <f t="shared" si="3"/>
        <v>Casuales</v>
      </c>
    </row>
    <row r="238" spans="1:4" x14ac:dyDescent="0.25">
      <c r="A238" s="1">
        <v>43071</v>
      </c>
      <c r="B238" t="s">
        <v>521</v>
      </c>
      <c r="C238" s="5">
        <f>VLOOKUP(B238,$J$14:$K$64,2,0)</f>
        <v>1160</v>
      </c>
      <c r="D238" t="str">
        <f t="shared" si="3"/>
        <v>Casuales</v>
      </c>
    </row>
    <row r="239" spans="1:4" x14ac:dyDescent="0.25">
      <c r="A239" s="1">
        <v>43076</v>
      </c>
      <c r="B239" t="s">
        <v>461</v>
      </c>
      <c r="C239" s="5">
        <f>VLOOKUP(B239,$J$14:$K$64,2,0)</f>
        <v>619.99999999999989</v>
      </c>
      <c r="D239" t="str">
        <f t="shared" si="3"/>
        <v>Sandalias</v>
      </c>
    </row>
    <row r="240" spans="1:4" x14ac:dyDescent="0.25">
      <c r="A240" s="1">
        <v>42824</v>
      </c>
      <c r="B240" t="s">
        <v>496</v>
      </c>
      <c r="C240" s="5">
        <f>VLOOKUP(B240,$J$14:$K$64,2,0)</f>
        <v>1040</v>
      </c>
      <c r="D240" t="str">
        <f t="shared" si="3"/>
        <v>Deportivos</v>
      </c>
    </row>
    <row r="241" spans="1:4" x14ac:dyDescent="0.25">
      <c r="A241" s="1">
        <v>42785</v>
      </c>
      <c r="B241" t="s">
        <v>476</v>
      </c>
      <c r="C241" s="5">
        <f>VLOOKUP(B241,$J$14:$K$64,2,0)</f>
        <v>1590</v>
      </c>
      <c r="D241" t="str">
        <f t="shared" si="3"/>
        <v>Botas</v>
      </c>
    </row>
    <row r="242" spans="1:4" x14ac:dyDescent="0.25">
      <c r="A242" s="1">
        <v>43010</v>
      </c>
      <c r="B242" t="s">
        <v>456</v>
      </c>
      <c r="C242" s="5">
        <f>VLOOKUP(B242,$J$14:$K$64,2,0)</f>
        <v>1780</v>
      </c>
      <c r="D242" t="str">
        <f t="shared" si="3"/>
        <v>Formales</v>
      </c>
    </row>
    <row r="243" spans="1:4" x14ac:dyDescent="0.25">
      <c r="A243" s="1">
        <v>42939</v>
      </c>
      <c r="B243" t="s">
        <v>472</v>
      </c>
      <c r="C243" s="5">
        <f>VLOOKUP(B243,$J$14:$K$64,2,0)</f>
        <v>1710.0000000000002</v>
      </c>
      <c r="D243" t="str">
        <f t="shared" si="3"/>
        <v>Formales</v>
      </c>
    </row>
    <row r="244" spans="1:4" x14ac:dyDescent="0.25">
      <c r="A244" s="1">
        <v>42966</v>
      </c>
      <c r="B244" t="s">
        <v>476</v>
      </c>
      <c r="C244" s="5">
        <f>VLOOKUP(B244,$J$14:$K$64,2,0)</f>
        <v>1590</v>
      </c>
      <c r="D244" t="str">
        <f t="shared" si="3"/>
        <v>Botas</v>
      </c>
    </row>
    <row r="245" spans="1:4" x14ac:dyDescent="0.25">
      <c r="A245" s="1">
        <v>42761</v>
      </c>
      <c r="B245" t="s">
        <v>545</v>
      </c>
      <c r="C245" s="5">
        <f>VLOOKUP(B245,$J$14:$K$64,2,0)</f>
        <v>1840.0000000000002</v>
      </c>
      <c r="D245" t="str">
        <f t="shared" si="3"/>
        <v>Botas</v>
      </c>
    </row>
    <row r="246" spans="1:4" x14ac:dyDescent="0.25">
      <c r="A246" s="1">
        <v>42737</v>
      </c>
      <c r="B246" t="s">
        <v>531</v>
      </c>
      <c r="C246" s="5">
        <f>VLOOKUP(B246,$J$14:$K$64,2,0)</f>
        <v>1300</v>
      </c>
      <c r="D246" t="str">
        <f t="shared" si="3"/>
        <v>Casuales</v>
      </c>
    </row>
    <row r="247" spans="1:4" x14ac:dyDescent="0.25">
      <c r="A247" s="1">
        <v>42849</v>
      </c>
      <c r="B247" t="s">
        <v>474</v>
      </c>
      <c r="C247" s="5">
        <f>VLOOKUP(B247,$J$14:$K$64,2,0)</f>
        <v>1620.0000000000002</v>
      </c>
      <c r="D247" t="str">
        <f t="shared" si="3"/>
        <v>Formales</v>
      </c>
    </row>
    <row r="248" spans="1:4" x14ac:dyDescent="0.25">
      <c r="A248" s="1">
        <v>42872</v>
      </c>
      <c r="B248" t="s">
        <v>504</v>
      </c>
      <c r="C248" s="5">
        <f>VLOOKUP(B248,$J$14:$K$64,2,0)</f>
        <v>1700</v>
      </c>
      <c r="D248" t="str">
        <f t="shared" si="3"/>
        <v>Deportivos</v>
      </c>
    </row>
    <row r="249" spans="1:4" x14ac:dyDescent="0.25">
      <c r="A249" s="1">
        <v>42753</v>
      </c>
      <c r="B249" t="s">
        <v>504</v>
      </c>
      <c r="C249" s="5">
        <f>VLOOKUP(B249,$J$14:$K$64,2,0)</f>
        <v>1700</v>
      </c>
      <c r="D249" t="str">
        <f t="shared" si="3"/>
        <v>Deportivos</v>
      </c>
    </row>
    <row r="250" spans="1:4" x14ac:dyDescent="0.25">
      <c r="A250" s="1">
        <v>43095</v>
      </c>
      <c r="B250" t="s">
        <v>535</v>
      </c>
      <c r="C250" s="5">
        <f>VLOOKUP(B250,$J$14:$K$64,2,0)</f>
        <v>1740.0000000000002</v>
      </c>
      <c r="D250" t="str">
        <f t="shared" si="3"/>
        <v>Formales</v>
      </c>
    </row>
    <row r="251" spans="1:4" x14ac:dyDescent="0.25">
      <c r="A251" s="1">
        <v>42874</v>
      </c>
      <c r="B251" t="s">
        <v>456</v>
      </c>
      <c r="C251" s="5">
        <f>VLOOKUP(B251,$J$14:$K$64,2,0)</f>
        <v>1780</v>
      </c>
      <c r="D251" t="str">
        <f t="shared" si="3"/>
        <v>Formales</v>
      </c>
    </row>
    <row r="252" spans="1:4" x14ac:dyDescent="0.25">
      <c r="A252" s="1">
        <v>43029</v>
      </c>
      <c r="B252" t="s">
        <v>472</v>
      </c>
      <c r="C252" s="5">
        <f>VLOOKUP(B252,$J$14:$K$64,2,0)</f>
        <v>1710.0000000000002</v>
      </c>
      <c r="D252" t="str">
        <f t="shared" si="3"/>
        <v>Formales</v>
      </c>
    </row>
    <row r="253" spans="1:4" x14ac:dyDescent="0.25">
      <c r="A253" s="1">
        <v>42855</v>
      </c>
      <c r="B253" t="s">
        <v>523</v>
      </c>
      <c r="C253" s="5">
        <f>VLOOKUP(B253,$J$14:$K$64,2,0)</f>
        <v>1050</v>
      </c>
      <c r="D253" t="str">
        <f t="shared" si="3"/>
        <v>Formales</v>
      </c>
    </row>
    <row r="254" spans="1:4" x14ac:dyDescent="0.25">
      <c r="A254" s="1">
        <v>42870</v>
      </c>
      <c r="B254" t="s">
        <v>472</v>
      </c>
      <c r="C254" s="5">
        <f>VLOOKUP(B254,$J$14:$K$64,2,0)</f>
        <v>1710.0000000000002</v>
      </c>
      <c r="D254" t="str">
        <f t="shared" si="3"/>
        <v>Formales</v>
      </c>
    </row>
    <row r="255" spans="1:4" x14ac:dyDescent="0.25">
      <c r="A255" s="1">
        <v>42974</v>
      </c>
      <c r="B255" t="s">
        <v>547</v>
      </c>
      <c r="C255" s="5">
        <f>VLOOKUP(B255,$J$14:$K$64,2,0)</f>
        <v>1170</v>
      </c>
      <c r="D255" t="str">
        <f t="shared" si="3"/>
        <v>Formales</v>
      </c>
    </row>
    <row r="256" spans="1:4" x14ac:dyDescent="0.25">
      <c r="A256" s="1">
        <v>43095</v>
      </c>
      <c r="B256" t="s">
        <v>502</v>
      </c>
      <c r="C256" s="5">
        <f>VLOOKUP(B256,$J$14:$K$64,2,0)</f>
        <v>869.99999999999989</v>
      </c>
      <c r="D256" t="str">
        <f t="shared" si="3"/>
        <v>Casuales</v>
      </c>
    </row>
    <row r="257" spans="1:4" x14ac:dyDescent="0.25">
      <c r="A257" s="1">
        <v>42945</v>
      </c>
      <c r="B257" t="s">
        <v>496</v>
      </c>
      <c r="C257" s="5">
        <f>VLOOKUP(B257,$J$14:$K$64,2,0)</f>
        <v>1040</v>
      </c>
      <c r="D257" t="str">
        <f t="shared" si="3"/>
        <v>Deportivos</v>
      </c>
    </row>
    <row r="258" spans="1:4" x14ac:dyDescent="0.25">
      <c r="A258" s="1">
        <v>42972</v>
      </c>
      <c r="B258" t="s">
        <v>494</v>
      </c>
      <c r="C258" s="5">
        <f>VLOOKUP(B258,$J$14:$K$64,2,0)</f>
        <v>1480</v>
      </c>
      <c r="D258" t="str">
        <f t="shared" si="3"/>
        <v>Deportivos</v>
      </c>
    </row>
    <row r="259" spans="1:4" x14ac:dyDescent="0.25">
      <c r="A259" s="1">
        <v>43054</v>
      </c>
      <c r="B259" t="s">
        <v>448</v>
      </c>
      <c r="C259" s="5">
        <f>VLOOKUP(B259,$J$14:$K$64,2,0)</f>
        <v>2260</v>
      </c>
      <c r="D259" t="str">
        <f t="shared" si="3"/>
        <v>Botas</v>
      </c>
    </row>
    <row r="260" spans="1:4" x14ac:dyDescent="0.25">
      <c r="A260" s="1">
        <v>43006</v>
      </c>
      <c r="B260" t="s">
        <v>459</v>
      </c>
      <c r="C260" s="5">
        <f>VLOOKUP(B260,$J$14:$K$64,2,0)</f>
        <v>1640.0000000000002</v>
      </c>
      <c r="D260" t="str">
        <f t="shared" si="3"/>
        <v>Botas</v>
      </c>
    </row>
    <row r="261" spans="1:4" x14ac:dyDescent="0.25">
      <c r="A261" s="1">
        <v>43071</v>
      </c>
      <c r="B261" t="s">
        <v>516</v>
      </c>
      <c r="C261" s="5">
        <f>VLOOKUP(B261,$J$14:$K$64,2,0)</f>
        <v>979.99999999999989</v>
      </c>
      <c r="D261" t="str">
        <f t="shared" si="3"/>
        <v>Casuales</v>
      </c>
    </row>
    <row r="262" spans="1:4" x14ac:dyDescent="0.25">
      <c r="A262" s="1">
        <v>43005</v>
      </c>
      <c r="B262" t="s">
        <v>492</v>
      </c>
      <c r="C262" s="5">
        <f>VLOOKUP(B262,$J$14:$K$64,2,0)</f>
        <v>1500</v>
      </c>
      <c r="D262" t="str">
        <f t="shared" si="3"/>
        <v>Deportivos</v>
      </c>
    </row>
    <row r="263" spans="1:4" x14ac:dyDescent="0.25">
      <c r="A263" s="1">
        <v>42928</v>
      </c>
      <c r="B263" t="s">
        <v>470</v>
      </c>
      <c r="C263" s="5">
        <f>VLOOKUP(B263,$J$14:$K$64,2,0)</f>
        <v>300</v>
      </c>
      <c r="D263" t="str">
        <f t="shared" si="3"/>
        <v>Sandalias</v>
      </c>
    </row>
    <row r="264" spans="1:4" x14ac:dyDescent="0.25">
      <c r="A264" s="1">
        <v>43078</v>
      </c>
      <c r="B264" t="s">
        <v>514</v>
      </c>
      <c r="C264" s="5">
        <f>VLOOKUP(B264,$J$14:$K$64,2,0)</f>
        <v>960</v>
      </c>
      <c r="D264" t="str">
        <f t="shared" si="3"/>
        <v>Casuales</v>
      </c>
    </row>
    <row r="265" spans="1:4" x14ac:dyDescent="0.25">
      <c r="A265" s="1">
        <v>43044</v>
      </c>
      <c r="B265" t="s">
        <v>448</v>
      </c>
      <c r="C265" s="5">
        <f>VLOOKUP(B265,$J$14:$K$64,2,0)</f>
        <v>2260</v>
      </c>
      <c r="D265" t="str">
        <f t="shared" si="3"/>
        <v>Botas</v>
      </c>
    </row>
    <row r="266" spans="1:4" x14ac:dyDescent="0.25">
      <c r="A266" s="1">
        <v>42983</v>
      </c>
      <c r="B266" t="s">
        <v>488</v>
      </c>
      <c r="C266" s="5">
        <f>VLOOKUP(B266,$J$14:$K$64,2,0)</f>
        <v>819.99999999999989</v>
      </c>
      <c r="D266" t="str">
        <f t="shared" si="3"/>
        <v>Casuales</v>
      </c>
    </row>
    <row r="267" spans="1:4" x14ac:dyDescent="0.25">
      <c r="A267" s="1">
        <v>42924</v>
      </c>
      <c r="B267" t="s">
        <v>545</v>
      </c>
      <c r="C267" s="5">
        <f>VLOOKUP(B267,$J$14:$K$64,2,0)</f>
        <v>1840.0000000000002</v>
      </c>
      <c r="D267" t="str">
        <f t="shared" si="3"/>
        <v>Botas</v>
      </c>
    </row>
    <row r="268" spans="1:4" x14ac:dyDescent="0.25">
      <c r="A268" s="1">
        <v>42942</v>
      </c>
      <c r="B268" t="s">
        <v>459</v>
      </c>
      <c r="C268" s="5">
        <f>VLOOKUP(B268,$J$14:$K$64,2,0)</f>
        <v>1640.0000000000002</v>
      </c>
      <c r="D268" t="str">
        <f t="shared" si="3"/>
        <v>Botas</v>
      </c>
    </row>
    <row r="269" spans="1:4" x14ac:dyDescent="0.25">
      <c r="A269" s="1">
        <v>42786</v>
      </c>
      <c r="B269" t="s">
        <v>533</v>
      </c>
      <c r="C269" s="5">
        <f>VLOOKUP(B269,$J$14:$K$64,2,0)</f>
        <v>1120</v>
      </c>
      <c r="D269" t="str">
        <f t="shared" si="3"/>
        <v>Formales</v>
      </c>
    </row>
    <row r="270" spans="1:4" x14ac:dyDescent="0.25">
      <c r="A270" s="1">
        <v>42842</v>
      </c>
      <c r="B270" t="s">
        <v>516</v>
      </c>
      <c r="C270" s="5">
        <f>VLOOKUP(B270,$J$14:$K$64,2,0)</f>
        <v>979.99999999999989</v>
      </c>
      <c r="D270" t="str">
        <f t="shared" si="3"/>
        <v>Casuales</v>
      </c>
    </row>
    <row r="271" spans="1:4" x14ac:dyDescent="0.25">
      <c r="A271" s="1">
        <v>42991</v>
      </c>
      <c r="B271" t="s">
        <v>478</v>
      </c>
      <c r="C271" s="5">
        <f>VLOOKUP(B271,$J$14:$K$64,2,0)</f>
        <v>2130</v>
      </c>
      <c r="D271" t="str">
        <f t="shared" si="3"/>
        <v>Botas</v>
      </c>
    </row>
    <row r="272" spans="1:4" x14ac:dyDescent="0.25">
      <c r="A272" s="1">
        <v>42750</v>
      </c>
      <c r="B272" t="s">
        <v>480</v>
      </c>
      <c r="C272" s="5">
        <f>VLOOKUP(B272,$J$14:$K$64,2,0)</f>
        <v>1750</v>
      </c>
      <c r="D272" t="str">
        <f t="shared" ref="D272:D335" si="4">VLOOKUP(B272,$J$14:$L$64,3,0)</f>
        <v>Deportivos</v>
      </c>
    </row>
    <row r="273" spans="1:4" x14ac:dyDescent="0.25">
      <c r="A273" s="1">
        <v>42854</v>
      </c>
      <c r="B273" t="s">
        <v>525</v>
      </c>
      <c r="C273" s="5">
        <f>VLOOKUP(B273,$J$14:$K$64,2,0)</f>
        <v>2130</v>
      </c>
      <c r="D273" t="str">
        <f t="shared" si="4"/>
        <v>Botas</v>
      </c>
    </row>
    <row r="274" spans="1:4" x14ac:dyDescent="0.25">
      <c r="A274" s="1">
        <v>43080</v>
      </c>
      <c r="B274" t="s">
        <v>445</v>
      </c>
      <c r="C274" s="5">
        <f>VLOOKUP(B274,$J$14:$K$64,2,0)</f>
        <v>1680</v>
      </c>
      <c r="D274" t="str">
        <f t="shared" si="4"/>
        <v>Deportivos</v>
      </c>
    </row>
    <row r="275" spans="1:4" x14ac:dyDescent="0.25">
      <c r="A275" s="1">
        <v>43063</v>
      </c>
      <c r="B275" t="s">
        <v>506</v>
      </c>
      <c r="C275" s="5">
        <f>VLOOKUP(B275,$J$14:$K$64,2,0)</f>
        <v>1230</v>
      </c>
      <c r="D275" t="str">
        <f t="shared" si="4"/>
        <v>Deportivos</v>
      </c>
    </row>
    <row r="276" spans="1:4" x14ac:dyDescent="0.25">
      <c r="A276" s="1">
        <v>42760</v>
      </c>
      <c r="B276" t="s">
        <v>470</v>
      </c>
      <c r="C276" s="5">
        <f>VLOOKUP(B276,$J$14:$K$64,2,0)</f>
        <v>300</v>
      </c>
      <c r="D276" t="str">
        <f t="shared" si="4"/>
        <v>Sandalias</v>
      </c>
    </row>
    <row r="277" spans="1:4" x14ac:dyDescent="0.25">
      <c r="A277" s="1">
        <v>42806</v>
      </c>
      <c r="B277" t="s">
        <v>496</v>
      </c>
      <c r="C277" s="5">
        <f>VLOOKUP(B277,$J$14:$K$64,2,0)</f>
        <v>1040</v>
      </c>
      <c r="D277" t="str">
        <f t="shared" si="4"/>
        <v>Deportivos</v>
      </c>
    </row>
    <row r="278" spans="1:4" x14ac:dyDescent="0.25">
      <c r="A278" s="1">
        <v>42843</v>
      </c>
      <c r="B278" t="s">
        <v>543</v>
      </c>
      <c r="C278" s="5">
        <f>VLOOKUP(B278,$J$14:$K$64,2,0)</f>
        <v>1710.0000000000002</v>
      </c>
      <c r="D278" t="str">
        <f t="shared" si="4"/>
        <v>Deportivos</v>
      </c>
    </row>
    <row r="279" spans="1:4" x14ac:dyDescent="0.25">
      <c r="A279" s="1">
        <v>42907</v>
      </c>
      <c r="B279" t="s">
        <v>494</v>
      </c>
      <c r="C279" s="5">
        <f>VLOOKUP(B279,$J$14:$K$64,2,0)</f>
        <v>1480</v>
      </c>
      <c r="D279" t="str">
        <f t="shared" si="4"/>
        <v>Deportivos</v>
      </c>
    </row>
    <row r="280" spans="1:4" x14ac:dyDescent="0.25">
      <c r="A280" s="1">
        <v>43097</v>
      </c>
      <c r="B280" t="s">
        <v>490</v>
      </c>
      <c r="C280" s="5">
        <f>VLOOKUP(B280,$J$14:$K$64,2,0)</f>
        <v>560</v>
      </c>
      <c r="D280" t="str">
        <f t="shared" si="4"/>
        <v>Sandalias</v>
      </c>
    </row>
    <row r="281" spans="1:4" x14ac:dyDescent="0.25">
      <c r="A281" s="1">
        <v>42742</v>
      </c>
      <c r="B281" t="s">
        <v>523</v>
      </c>
      <c r="C281" s="5">
        <f>VLOOKUP(B281,$J$14:$K$64,2,0)</f>
        <v>1050</v>
      </c>
      <c r="D281" t="str">
        <f t="shared" si="4"/>
        <v>Formales</v>
      </c>
    </row>
    <row r="282" spans="1:4" x14ac:dyDescent="0.25">
      <c r="A282" s="1">
        <v>43058</v>
      </c>
      <c r="B282" t="s">
        <v>480</v>
      </c>
      <c r="C282" s="5">
        <f>VLOOKUP(B282,$J$14:$K$64,2,0)</f>
        <v>1750</v>
      </c>
      <c r="D282" t="str">
        <f t="shared" si="4"/>
        <v>Deportivos</v>
      </c>
    </row>
    <row r="283" spans="1:4" x14ac:dyDescent="0.25">
      <c r="A283" s="1">
        <v>43013</v>
      </c>
      <c r="B283" t="s">
        <v>482</v>
      </c>
      <c r="C283" s="5">
        <f>VLOOKUP(B283,$J$14:$K$64,2,0)</f>
        <v>1490</v>
      </c>
      <c r="D283" t="str">
        <f t="shared" si="4"/>
        <v>Formales</v>
      </c>
    </row>
    <row r="284" spans="1:4" x14ac:dyDescent="0.25">
      <c r="A284" s="1">
        <v>42746</v>
      </c>
      <c r="B284" t="s">
        <v>533</v>
      </c>
      <c r="C284" s="5">
        <f>VLOOKUP(B284,$J$14:$K$64,2,0)</f>
        <v>1120</v>
      </c>
      <c r="D284" t="str">
        <f t="shared" si="4"/>
        <v>Formales</v>
      </c>
    </row>
    <row r="285" spans="1:4" x14ac:dyDescent="0.25">
      <c r="A285" s="1">
        <v>42973</v>
      </c>
      <c r="B285" t="s">
        <v>461</v>
      </c>
      <c r="C285" s="5">
        <f>VLOOKUP(B285,$J$14:$K$64,2,0)</f>
        <v>619.99999999999989</v>
      </c>
      <c r="D285" t="str">
        <f t="shared" si="4"/>
        <v>Sandalias</v>
      </c>
    </row>
    <row r="286" spans="1:4" x14ac:dyDescent="0.25">
      <c r="A286" s="1">
        <v>42765</v>
      </c>
      <c r="B286" t="s">
        <v>488</v>
      </c>
      <c r="C286" s="5">
        <f>VLOOKUP(B286,$J$14:$K$64,2,0)</f>
        <v>819.99999999999989</v>
      </c>
      <c r="D286" t="str">
        <f t="shared" si="4"/>
        <v>Casuales</v>
      </c>
    </row>
    <row r="287" spans="1:4" x14ac:dyDescent="0.25">
      <c r="A287" s="1">
        <v>42783</v>
      </c>
      <c r="B287" t="s">
        <v>543</v>
      </c>
      <c r="C287" s="5">
        <f>VLOOKUP(B287,$J$14:$K$64,2,0)</f>
        <v>1710.0000000000002</v>
      </c>
      <c r="D287" t="str">
        <f t="shared" si="4"/>
        <v>Deportivos</v>
      </c>
    </row>
    <row r="288" spans="1:4" x14ac:dyDescent="0.25">
      <c r="A288" s="1">
        <v>42823</v>
      </c>
      <c r="B288" t="s">
        <v>480</v>
      </c>
      <c r="C288" s="5">
        <f>VLOOKUP(B288,$J$14:$K$64,2,0)</f>
        <v>1750</v>
      </c>
      <c r="D288" t="str">
        <f t="shared" si="4"/>
        <v>Deportivos</v>
      </c>
    </row>
    <row r="289" spans="1:4" x14ac:dyDescent="0.25">
      <c r="A289" s="1">
        <v>42960</v>
      </c>
      <c r="B289" t="s">
        <v>484</v>
      </c>
      <c r="C289" s="5">
        <f>VLOOKUP(B289,$J$14:$K$64,2,0)</f>
        <v>1530</v>
      </c>
      <c r="D289" t="str">
        <f t="shared" si="4"/>
        <v>Formales</v>
      </c>
    </row>
    <row r="290" spans="1:4" x14ac:dyDescent="0.25">
      <c r="A290" s="1">
        <v>43059</v>
      </c>
      <c r="B290" t="s">
        <v>448</v>
      </c>
      <c r="C290" s="5">
        <f>VLOOKUP(B290,$J$14:$K$64,2,0)</f>
        <v>2260</v>
      </c>
      <c r="D290" t="str">
        <f t="shared" si="4"/>
        <v>Botas</v>
      </c>
    </row>
    <row r="291" spans="1:4" x14ac:dyDescent="0.25">
      <c r="A291" s="1">
        <v>43076</v>
      </c>
      <c r="B291" t="s">
        <v>448</v>
      </c>
      <c r="C291" s="5">
        <f>VLOOKUP(B291,$J$14:$K$64,2,0)</f>
        <v>2260</v>
      </c>
      <c r="D291" t="str">
        <f t="shared" si="4"/>
        <v>Botas</v>
      </c>
    </row>
    <row r="292" spans="1:4" x14ac:dyDescent="0.25">
      <c r="A292" s="1">
        <v>42794</v>
      </c>
      <c r="B292" t="s">
        <v>541</v>
      </c>
      <c r="C292" s="5">
        <f>VLOOKUP(B292,$J$14:$K$64,2,0)</f>
        <v>1240</v>
      </c>
      <c r="D292" t="str">
        <f t="shared" si="4"/>
        <v>Formales</v>
      </c>
    </row>
    <row r="293" spans="1:4" x14ac:dyDescent="0.25">
      <c r="A293" s="1">
        <v>42975</v>
      </c>
      <c r="B293" t="s">
        <v>518</v>
      </c>
      <c r="C293" s="5">
        <f>VLOOKUP(B293,$J$14:$K$64,2,0)</f>
        <v>1090</v>
      </c>
      <c r="D293" t="str">
        <f t="shared" si="4"/>
        <v>Casuales</v>
      </c>
    </row>
    <row r="294" spans="1:4" x14ac:dyDescent="0.25">
      <c r="A294" s="1">
        <v>43046</v>
      </c>
      <c r="B294" t="s">
        <v>506</v>
      </c>
      <c r="C294" s="5">
        <f>VLOOKUP(B294,$J$14:$K$64,2,0)</f>
        <v>1230</v>
      </c>
      <c r="D294" t="str">
        <f t="shared" si="4"/>
        <v>Deportivos</v>
      </c>
    </row>
    <row r="295" spans="1:4" x14ac:dyDescent="0.25">
      <c r="A295" s="1">
        <v>42784</v>
      </c>
      <c r="B295" t="s">
        <v>486</v>
      </c>
      <c r="C295" s="5">
        <f>VLOOKUP(B295,$J$14:$K$64,2,0)</f>
        <v>2110</v>
      </c>
      <c r="D295" t="str">
        <f t="shared" si="4"/>
        <v>Botas</v>
      </c>
    </row>
    <row r="296" spans="1:4" x14ac:dyDescent="0.25">
      <c r="A296" s="1">
        <v>42894</v>
      </c>
      <c r="B296" t="s">
        <v>467</v>
      </c>
      <c r="C296" s="5">
        <f>VLOOKUP(B296,$J$14:$K$64,2,0)</f>
        <v>1130</v>
      </c>
      <c r="D296" t="str">
        <f t="shared" si="4"/>
        <v>Casuales</v>
      </c>
    </row>
    <row r="297" spans="1:4" x14ac:dyDescent="0.25">
      <c r="A297" s="1">
        <v>42931</v>
      </c>
      <c r="B297" t="s">
        <v>492</v>
      </c>
      <c r="C297" s="5">
        <f>VLOOKUP(B297,$J$14:$K$64,2,0)</f>
        <v>1500</v>
      </c>
      <c r="D297" t="str">
        <f t="shared" si="4"/>
        <v>Deportivos</v>
      </c>
    </row>
    <row r="298" spans="1:4" x14ac:dyDescent="0.25">
      <c r="A298" s="1">
        <v>42736</v>
      </c>
      <c r="B298" t="s">
        <v>492</v>
      </c>
      <c r="C298" s="5">
        <f>VLOOKUP(B298,$J$14:$K$64,2,0)</f>
        <v>1500</v>
      </c>
      <c r="D298" t="str">
        <f t="shared" si="4"/>
        <v>Deportivos</v>
      </c>
    </row>
    <row r="299" spans="1:4" x14ac:dyDescent="0.25">
      <c r="A299" s="1">
        <v>42844</v>
      </c>
      <c r="B299" t="s">
        <v>518</v>
      </c>
      <c r="C299" s="5">
        <f>VLOOKUP(B299,$J$14:$K$64,2,0)</f>
        <v>1090</v>
      </c>
      <c r="D299" t="str">
        <f t="shared" si="4"/>
        <v>Casuales</v>
      </c>
    </row>
    <row r="300" spans="1:4" x14ac:dyDescent="0.25">
      <c r="A300" s="1">
        <v>42758</v>
      </c>
      <c r="B300" t="s">
        <v>535</v>
      </c>
      <c r="C300" s="5">
        <f>VLOOKUP(B300,$J$14:$K$64,2,0)</f>
        <v>1740.0000000000002</v>
      </c>
      <c r="D300" t="str">
        <f t="shared" si="4"/>
        <v>Formales</v>
      </c>
    </row>
    <row r="301" spans="1:4" x14ac:dyDescent="0.25">
      <c r="A301" s="1">
        <v>42888</v>
      </c>
      <c r="B301" t="s">
        <v>445</v>
      </c>
      <c r="C301" s="5">
        <f>VLOOKUP(B301,$J$14:$K$64,2,0)</f>
        <v>1680</v>
      </c>
      <c r="D301" t="str">
        <f t="shared" si="4"/>
        <v>Deportivos</v>
      </c>
    </row>
    <row r="302" spans="1:4" x14ac:dyDescent="0.25">
      <c r="A302" s="1">
        <v>42803</v>
      </c>
      <c r="B302" t="s">
        <v>516</v>
      </c>
      <c r="C302" s="5">
        <f>VLOOKUP(B302,$J$14:$K$64,2,0)</f>
        <v>979.99999999999989</v>
      </c>
      <c r="D302" t="str">
        <f t="shared" si="4"/>
        <v>Casuales</v>
      </c>
    </row>
    <row r="303" spans="1:4" x14ac:dyDescent="0.25">
      <c r="A303" s="1">
        <v>42932</v>
      </c>
      <c r="B303" t="s">
        <v>498</v>
      </c>
      <c r="C303" s="5">
        <f>VLOOKUP(B303,$J$14:$K$64,2,0)</f>
        <v>840</v>
      </c>
      <c r="D303" t="str">
        <f t="shared" si="4"/>
        <v>Deportivos</v>
      </c>
    </row>
    <row r="304" spans="1:4" x14ac:dyDescent="0.25">
      <c r="A304" s="1">
        <v>42836</v>
      </c>
      <c r="B304" t="s">
        <v>445</v>
      </c>
      <c r="C304" s="5">
        <f>VLOOKUP(B304,$J$14:$K$64,2,0)</f>
        <v>1680</v>
      </c>
      <c r="D304" t="str">
        <f t="shared" si="4"/>
        <v>Deportivos</v>
      </c>
    </row>
    <row r="305" spans="1:4" x14ac:dyDescent="0.25">
      <c r="A305" s="1">
        <v>42736</v>
      </c>
      <c r="B305" t="s">
        <v>508</v>
      </c>
      <c r="C305" s="5">
        <f>VLOOKUP(B305,$J$14:$K$64,2,0)</f>
        <v>1100</v>
      </c>
      <c r="D305" t="str">
        <f t="shared" si="4"/>
        <v>Deportivos</v>
      </c>
    </row>
    <row r="306" spans="1:4" x14ac:dyDescent="0.25">
      <c r="A306" s="1">
        <v>43092</v>
      </c>
      <c r="B306" t="s">
        <v>478</v>
      </c>
      <c r="C306" s="5">
        <f>VLOOKUP(B306,$J$14:$K$64,2,0)</f>
        <v>2130</v>
      </c>
      <c r="D306" t="str">
        <f t="shared" si="4"/>
        <v>Botas</v>
      </c>
    </row>
    <row r="307" spans="1:4" x14ac:dyDescent="0.25">
      <c r="A307" s="1">
        <v>42874</v>
      </c>
      <c r="B307" t="s">
        <v>518</v>
      </c>
      <c r="C307" s="5">
        <f>VLOOKUP(B307,$J$14:$K$64,2,0)</f>
        <v>1090</v>
      </c>
      <c r="D307" t="str">
        <f t="shared" si="4"/>
        <v>Casuales</v>
      </c>
    </row>
    <row r="308" spans="1:4" x14ac:dyDescent="0.25">
      <c r="A308" s="1">
        <v>42901</v>
      </c>
      <c r="B308" t="s">
        <v>492</v>
      </c>
      <c r="C308" s="5">
        <f>VLOOKUP(B308,$J$14:$K$64,2,0)</f>
        <v>1500</v>
      </c>
      <c r="D308" t="str">
        <f t="shared" si="4"/>
        <v>Deportivos</v>
      </c>
    </row>
    <row r="309" spans="1:4" x14ac:dyDescent="0.25">
      <c r="A309" s="1">
        <v>42941</v>
      </c>
      <c r="B309" t="s">
        <v>445</v>
      </c>
      <c r="C309" s="5">
        <f>VLOOKUP(B309,$J$14:$K$64,2,0)</f>
        <v>1680</v>
      </c>
      <c r="D309" t="str">
        <f t="shared" si="4"/>
        <v>Deportivos</v>
      </c>
    </row>
    <row r="310" spans="1:4" x14ac:dyDescent="0.25">
      <c r="A310" s="1">
        <v>42982</v>
      </c>
      <c r="B310" t="s">
        <v>529</v>
      </c>
      <c r="C310" s="5">
        <f>VLOOKUP(B310,$J$14:$K$64,2,0)</f>
        <v>2480</v>
      </c>
      <c r="D310" t="str">
        <f t="shared" si="4"/>
        <v>Botas</v>
      </c>
    </row>
    <row r="311" spans="1:4" x14ac:dyDescent="0.25">
      <c r="A311" s="1">
        <v>42740</v>
      </c>
      <c r="B311" t="s">
        <v>514</v>
      </c>
      <c r="C311" s="5">
        <f>VLOOKUP(B311,$J$14:$K$64,2,0)</f>
        <v>960</v>
      </c>
      <c r="D311" t="str">
        <f t="shared" si="4"/>
        <v>Casuales</v>
      </c>
    </row>
    <row r="312" spans="1:4" x14ac:dyDescent="0.25">
      <c r="A312" s="1">
        <v>42854</v>
      </c>
      <c r="B312" t="s">
        <v>454</v>
      </c>
      <c r="C312" s="5">
        <f>VLOOKUP(B312,$J$14:$K$64,2,0)</f>
        <v>690</v>
      </c>
      <c r="D312" t="str">
        <f t="shared" si="4"/>
        <v>Sandalias</v>
      </c>
    </row>
    <row r="313" spans="1:4" x14ac:dyDescent="0.25">
      <c r="A313" s="1">
        <v>42737</v>
      </c>
      <c r="B313" t="s">
        <v>454</v>
      </c>
      <c r="C313" s="5">
        <f>VLOOKUP(B313,$J$14:$K$64,2,0)</f>
        <v>690</v>
      </c>
      <c r="D313" t="str">
        <f t="shared" si="4"/>
        <v>Sandalias</v>
      </c>
    </row>
    <row r="314" spans="1:4" x14ac:dyDescent="0.25">
      <c r="A314" s="1">
        <v>42969</v>
      </c>
      <c r="B314" t="s">
        <v>535</v>
      </c>
      <c r="C314" s="5">
        <f>VLOOKUP(B314,$J$14:$K$64,2,0)</f>
        <v>1740.0000000000002</v>
      </c>
      <c r="D314" t="str">
        <f t="shared" si="4"/>
        <v>Formales</v>
      </c>
    </row>
    <row r="315" spans="1:4" x14ac:dyDescent="0.25">
      <c r="A315" s="1">
        <v>43094</v>
      </c>
      <c r="B315" t="s">
        <v>498</v>
      </c>
      <c r="C315" s="5">
        <f>VLOOKUP(B315,$J$14:$K$64,2,0)</f>
        <v>840</v>
      </c>
      <c r="D315" t="str">
        <f t="shared" si="4"/>
        <v>Deportivos</v>
      </c>
    </row>
    <row r="316" spans="1:4" x14ac:dyDescent="0.25">
      <c r="A316" s="1">
        <v>43060</v>
      </c>
      <c r="B316" t="s">
        <v>461</v>
      </c>
      <c r="C316" s="5">
        <f>VLOOKUP(B316,$J$14:$K$64,2,0)</f>
        <v>619.99999999999989</v>
      </c>
      <c r="D316" t="str">
        <f t="shared" si="4"/>
        <v>Sandalias</v>
      </c>
    </row>
    <row r="317" spans="1:4" x14ac:dyDescent="0.25">
      <c r="A317" s="1">
        <v>43002</v>
      </c>
      <c r="B317" t="s">
        <v>508</v>
      </c>
      <c r="C317" s="5">
        <f>VLOOKUP(B317,$J$14:$K$64,2,0)</f>
        <v>1100</v>
      </c>
      <c r="D317" t="str">
        <f t="shared" si="4"/>
        <v>Deportivos</v>
      </c>
    </row>
    <row r="318" spans="1:4" x14ac:dyDescent="0.25">
      <c r="A318" s="1">
        <v>42854</v>
      </c>
      <c r="B318" t="s">
        <v>547</v>
      </c>
      <c r="C318" s="5">
        <f>VLOOKUP(B318,$J$14:$K$64,2,0)</f>
        <v>1170</v>
      </c>
      <c r="D318" t="str">
        <f t="shared" si="4"/>
        <v>Formales</v>
      </c>
    </row>
    <row r="319" spans="1:4" x14ac:dyDescent="0.25">
      <c r="A319" s="1">
        <v>42971</v>
      </c>
      <c r="B319" t="s">
        <v>537</v>
      </c>
      <c r="C319" s="5">
        <f>VLOOKUP(B319,$J$14:$K$64,2,0)</f>
        <v>840</v>
      </c>
      <c r="D319" t="str">
        <f t="shared" si="4"/>
        <v>Formales</v>
      </c>
    </row>
    <row r="320" spans="1:4" x14ac:dyDescent="0.25">
      <c r="A320" s="1">
        <v>43101</v>
      </c>
      <c r="B320" t="s">
        <v>525</v>
      </c>
      <c r="C320" s="5">
        <f>VLOOKUP(B320,$J$14:$K$64,2,0)</f>
        <v>2130</v>
      </c>
      <c r="D320" t="str">
        <f t="shared" si="4"/>
        <v>Botas</v>
      </c>
    </row>
    <row r="321" spans="1:4" x14ac:dyDescent="0.25">
      <c r="A321" s="1">
        <v>42950</v>
      </c>
      <c r="B321" t="s">
        <v>451</v>
      </c>
      <c r="C321" s="5">
        <f>VLOOKUP(B321,$J$14:$K$64,2,0)</f>
        <v>350</v>
      </c>
      <c r="D321" t="str">
        <f t="shared" si="4"/>
        <v>Sandalias</v>
      </c>
    </row>
    <row r="322" spans="1:4" x14ac:dyDescent="0.25">
      <c r="A322" s="1">
        <v>42947</v>
      </c>
      <c r="B322" t="s">
        <v>508</v>
      </c>
      <c r="C322" s="5">
        <f>VLOOKUP(B322,$J$14:$K$64,2,0)</f>
        <v>1100</v>
      </c>
      <c r="D322" t="str">
        <f t="shared" si="4"/>
        <v>Deportivos</v>
      </c>
    </row>
    <row r="323" spans="1:4" x14ac:dyDescent="0.25">
      <c r="A323" s="1">
        <v>42776</v>
      </c>
      <c r="B323" t="s">
        <v>543</v>
      </c>
      <c r="C323" s="5">
        <f>VLOOKUP(B323,$J$14:$K$64,2,0)</f>
        <v>1710.0000000000002</v>
      </c>
      <c r="D323" t="str">
        <f t="shared" si="4"/>
        <v>Deportivos</v>
      </c>
    </row>
    <row r="324" spans="1:4" x14ac:dyDescent="0.25">
      <c r="A324" s="1">
        <v>42925</v>
      </c>
      <c r="B324" t="s">
        <v>518</v>
      </c>
      <c r="C324" s="5">
        <f>VLOOKUP(B324,$J$14:$K$64,2,0)</f>
        <v>1090</v>
      </c>
      <c r="D324" t="str">
        <f t="shared" si="4"/>
        <v>Casuales</v>
      </c>
    </row>
    <row r="325" spans="1:4" x14ac:dyDescent="0.25">
      <c r="A325" s="1">
        <v>42805</v>
      </c>
      <c r="B325" t="s">
        <v>545</v>
      </c>
      <c r="C325" s="5">
        <f>VLOOKUP(B325,$J$14:$K$64,2,0)</f>
        <v>1840.0000000000002</v>
      </c>
      <c r="D325" t="str">
        <f t="shared" si="4"/>
        <v>Botas</v>
      </c>
    </row>
    <row r="326" spans="1:4" x14ac:dyDescent="0.25">
      <c r="A326" s="1">
        <v>42878</v>
      </c>
      <c r="B326" t="s">
        <v>456</v>
      </c>
      <c r="C326" s="5">
        <f>VLOOKUP(B326,$J$14:$K$64,2,0)</f>
        <v>1780</v>
      </c>
      <c r="D326" t="str">
        <f t="shared" si="4"/>
        <v>Formales</v>
      </c>
    </row>
    <row r="327" spans="1:4" x14ac:dyDescent="0.25">
      <c r="A327" s="1">
        <v>42942</v>
      </c>
      <c r="B327" t="s">
        <v>480</v>
      </c>
      <c r="C327" s="5">
        <f>VLOOKUP(B327,$J$14:$K$64,2,0)</f>
        <v>1750</v>
      </c>
      <c r="D327" t="str">
        <f t="shared" si="4"/>
        <v>Deportivos</v>
      </c>
    </row>
    <row r="328" spans="1:4" x14ac:dyDescent="0.25">
      <c r="A328" s="1">
        <v>42925</v>
      </c>
      <c r="B328" t="s">
        <v>486</v>
      </c>
      <c r="C328" s="5">
        <f>VLOOKUP(B328,$J$14:$K$64,2,0)</f>
        <v>2110</v>
      </c>
      <c r="D328" t="str">
        <f t="shared" si="4"/>
        <v>Botas</v>
      </c>
    </row>
    <row r="329" spans="1:4" x14ac:dyDescent="0.25">
      <c r="A329" s="1">
        <v>42780</v>
      </c>
      <c r="B329" t="s">
        <v>498</v>
      </c>
      <c r="C329" s="5">
        <f>VLOOKUP(B329,$J$14:$K$64,2,0)</f>
        <v>840</v>
      </c>
      <c r="D329" t="str">
        <f t="shared" si="4"/>
        <v>Deportivos</v>
      </c>
    </row>
    <row r="330" spans="1:4" x14ac:dyDescent="0.25">
      <c r="A330" s="1">
        <v>43088</v>
      </c>
      <c r="B330" t="s">
        <v>476</v>
      </c>
      <c r="C330" s="5">
        <f>VLOOKUP(B330,$J$14:$K$64,2,0)</f>
        <v>1590</v>
      </c>
      <c r="D330" t="str">
        <f t="shared" si="4"/>
        <v>Botas</v>
      </c>
    </row>
    <row r="331" spans="1:4" x14ac:dyDescent="0.25">
      <c r="A331" s="1">
        <v>42865</v>
      </c>
      <c r="B331" t="s">
        <v>539</v>
      </c>
      <c r="C331" s="5">
        <f>VLOOKUP(B331,$J$14:$K$64,2,0)</f>
        <v>950</v>
      </c>
      <c r="D331" t="str">
        <f t="shared" si="4"/>
        <v>Casuales</v>
      </c>
    </row>
    <row r="332" spans="1:4" x14ac:dyDescent="0.25">
      <c r="A332" s="1">
        <v>42777</v>
      </c>
      <c r="B332" t="s">
        <v>525</v>
      </c>
      <c r="C332" s="5">
        <f>VLOOKUP(B332,$J$14:$K$64,2,0)</f>
        <v>2130</v>
      </c>
      <c r="D332" t="str">
        <f t="shared" si="4"/>
        <v>Botas</v>
      </c>
    </row>
    <row r="333" spans="1:4" x14ac:dyDescent="0.25">
      <c r="A333" s="1">
        <v>42801</v>
      </c>
      <c r="B333" t="s">
        <v>510</v>
      </c>
      <c r="C333" s="5">
        <f>VLOOKUP(B333,$J$14:$K$64,2,0)</f>
        <v>969.99999999999989</v>
      </c>
      <c r="D333" t="str">
        <f t="shared" si="4"/>
        <v>Formales</v>
      </c>
    </row>
    <row r="334" spans="1:4" x14ac:dyDescent="0.25">
      <c r="A334" s="1">
        <v>42996</v>
      </c>
      <c r="B334" t="s">
        <v>496</v>
      </c>
      <c r="C334" s="5">
        <f>VLOOKUP(B334,$J$14:$K$64,2,0)</f>
        <v>1040</v>
      </c>
      <c r="D334" t="str">
        <f t="shared" si="4"/>
        <v>Deportivos</v>
      </c>
    </row>
    <row r="335" spans="1:4" x14ac:dyDescent="0.25">
      <c r="A335" s="1">
        <v>42872</v>
      </c>
      <c r="B335" t="s">
        <v>492</v>
      </c>
      <c r="C335" s="5">
        <f>VLOOKUP(B335,$J$14:$K$64,2,0)</f>
        <v>1500</v>
      </c>
      <c r="D335" t="str">
        <f t="shared" si="4"/>
        <v>Deportivos</v>
      </c>
    </row>
    <row r="336" spans="1:4" x14ac:dyDescent="0.25">
      <c r="A336" s="1">
        <v>42814</v>
      </c>
      <c r="B336" t="s">
        <v>490</v>
      </c>
      <c r="C336" s="5">
        <f>VLOOKUP(B336,$J$14:$K$64,2,0)</f>
        <v>560</v>
      </c>
      <c r="D336" t="str">
        <f t="shared" ref="D336:D399" si="5">VLOOKUP(B336,$J$14:$L$64,3,0)</f>
        <v>Sandalias</v>
      </c>
    </row>
    <row r="337" spans="1:4" x14ac:dyDescent="0.25">
      <c r="A337" s="1">
        <v>42933</v>
      </c>
      <c r="B337" t="s">
        <v>531</v>
      </c>
      <c r="C337" s="5">
        <f>VLOOKUP(B337,$J$14:$K$64,2,0)</f>
        <v>1300</v>
      </c>
      <c r="D337" t="str">
        <f t="shared" si="5"/>
        <v>Casuales</v>
      </c>
    </row>
    <row r="338" spans="1:4" x14ac:dyDescent="0.25">
      <c r="A338" s="1">
        <v>43101</v>
      </c>
      <c r="B338" t="s">
        <v>514</v>
      </c>
      <c r="C338" s="5">
        <f>VLOOKUP(B338,$J$14:$K$64,2,0)</f>
        <v>960</v>
      </c>
      <c r="D338" t="str">
        <f t="shared" si="5"/>
        <v>Casuales</v>
      </c>
    </row>
    <row r="339" spans="1:4" x14ac:dyDescent="0.25">
      <c r="A339" s="1">
        <v>42976</v>
      </c>
      <c r="B339" t="s">
        <v>533</v>
      </c>
      <c r="C339" s="5">
        <f>VLOOKUP(B339,$J$14:$K$64,2,0)</f>
        <v>1120</v>
      </c>
      <c r="D339" t="str">
        <f t="shared" si="5"/>
        <v>Formales</v>
      </c>
    </row>
    <row r="340" spans="1:4" x14ac:dyDescent="0.25">
      <c r="A340" s="1">
        <v>42779</v>
      </c>
      <c r="B340" t="s">
        <v>498</v>
      </c>
      <c r="C340" s="5">
        <f>VLOOKUP(B340,$J$14:$K$64,2,0)</f>
        <v>840</v>
      </c>
      <c r="D340" t="str">
        <f t="shared" si="5"/>
        <v>Deportivos</v>
      </c>
    </row>
    <row r="341" spans="1:4" x14ac:dyDescent="0.25">
      <c r="A341" s="1">
        <v>42905</v>
      </c>
      <c r="B341" t="s">
        <v>545</v>
      </c>
      <c r="C341" s="5">
        <f>VLOOKUP(B341,$J$14:$K$64,2,0)</f>
        <v>1840.0000000000002</v>
      </c>
      <c r="D341" t="str">
        <f t="shared" si="5"/>
        <v>Botas</v>
      </c>
    </row>
    <row r="342" spans="1:4" x14ac:dyDescent="0.25">
      <c r="A342" s="1">
        <v>42926</v>
      </c>
      <c r="B342" t="s">
        <v>498</v>
      </c>
      <c r="C342" s="5">
        <f>VLOOKUP(B342,$J$14:$K$64,2,0)</f>
        <v>840</v>
      </c>
      <c r="D342" t="str">
        <f t="shared" si="5"/>
        <v>Deportivos</v>
      </c>
    </row>
    <row r="343" spans="1:4" x14ac:dyDescent="0.25">
      <c r="A343" s="1">
        <v>43027</v>
      </c>
      <c r="B343" t="s">
        <v>535</v>
      </c>
      <c r="C343" s="5">
        <f>VLOOKUP(B343,$J$14:$K$64,2,0)</f>
        <v>1740.0000000000002</v>
      </c>
      <c r="D343" t="str">
        <f t="shared" si="5"/>
        <v>Formales</v>
      </c>
    </row>
    <row r="344" spans="1:4" x14ac:dyDescent="0.25">
      <c r="A344" s="1">
        <v>42831</v>
      </c>
      <c r="B344" t="s">
        <v>488</v>
      </c>
      <c r="C344" s="5">
        <f>VLOOKUP(B344,$J$14:$K$64,2,0)</f>
        <v>819.99999999999989</v>
      </c>
      <c r="D344" t="str">
        <f t="shared" si="5"/>
        <v>Casuales</v>
      </c>
    </row>
    <row r="345" spans="1:4" x14ac:dyDescent="0.25">
      <c r="A345" s="1">
        <v>43009</v>
      </c>
      <c r="B345" t="s">
        <v>531</v>
      </c>
      <c r="C345" s="5">
        <f>VLOOKUP(B345,$J$14:$K$64,2,0)</f>
        <v>1300</v>
      </c>
      <c r="D345" t="str">
        <f t="shared" si="5"/>
        <v>Casuales</v>
      </c>
    </row>
    <row r="346" spans="1:4" x14ac:dyDescent="0.25">
      <c r="A346" s="1">
        <v>42955</v>
      </c>
      <c r="B346" t="s">
        <v>496</v>
      </c>
      <c r="C346" s="5">
        <f>VLOOKUP(B346,$J$14:$K$64,2,0)</f>
        <v>1040</v>
      </c>
      <c r="D346" t="str">
        <f t="shared" si="5"/>
        <v>Deportivos</v>
      </c>
    </row>
    <row r="347" spans="1:4" x14ac:dyDescent="0.25">
      <c r="A347" s="1">
        <v>42969</v>
      </c>
      <c r="B347" t="s">
        <v>482</v>
      </c>
      <c r="C347" s="5">
        <f>VLOOKUP(B347,$J$14:$K$64,2,0)</f>
        <v>1490</v>
      </c>
      <c r="D347" t="str">
        <f t="shared" si="5"/>
        <v>Formales</v>
      </c>
    </row>
    <row r="348" spans="1:4" x14ac:dyDescent="0.25">
      <c r="A348" s="1">
        <v>42745</v>
      </c>
      <c r="B348" t="s">
        <v>529</v>
      </c>
      <c r="C348" s="5">
        <f>VLOOKUP(B348,$J$14:$K$64,2,0)</f>
        <v>2480</v>
      </c>
      <c r="D348" t="str">
        <f t="shared" si="5"/>
        <v>Botas</v>
      </c>
    </row>
    <row r="349" spans="1:4" x14ac:dyDescent="0.25">
      <c r="A349" s="1">
        <v>42745</v>
      </c>
      <c r="B349" t="s">
        <v>461</v>
      </c>
      <c r="C349" s="5">
        <f>VLOOKUP(B349,$J$14:$K$64,2,0)</f>
        <v>619.99999999999989</v>
      </c>
      <c r="D349" t="str">
        <f t="shared" si="5"/>
        <v>Sandalias</v>
      </c>
    </row>
    <row r="350" spans="1:4" x14ac:dyDescent="0.25">
      <c r="A350" s="1">
        <v>42856</v>
      </c>
      <c r="B350" t="s">
        <v>545</v>
      </c>
      <c r="C350" s="5">
        <f>VLOOKUP(B350,$J$14:$K$64,2,0)</f>
        <v>1840.0000000000002</v>
      </c>
      <c r="D350" t="str">
        <f t="shared" si="5"/>
        <v>Botas</v>
      </c>
    </row>
    <row r="351" spans="1:4" x14ac:dyDescent="0.25">
      <c r="A351" s="1">
        <v>42806</v>
      </c>
      <c r="B351" t="s">
        <v>547</v>
      </c>
      <c r="C351" s="5">
        <f>VLOOKUP(B351,$J$14:$K$64,2,0)</f>
        <v>1170</v>
      </c>
      <c r="D351" t="str">
        <f t="shared" si="5"/>
        <v>Formales</v>
      </c>
    </row>
    <row r="352" spans="1:4" x14ac:dyDescent="0.25">
      <c r="A352" s="1">
        <v>42779</v>
      </c>
      <c r="B352" t="s">
        <v>545</v>
      </c>
      <c r="C352" s="5">
        <f>VLOOKUP(B352,$J$14:$K$64,2,0)</f>
        <v>1840.0000000000002</v>
      </c>
      <c r="D352" t="str">
        <f t="shared" si="5"/>
        <v>Botas</v>
      </c>
    </row>
    <row r="353" spans="1:4" x14ac:dyDescent="0.25">
      <c r="A353" s="1">
        <v>42861</v>
      </c>
      <c r="B353" t="s">
        <v>508</v>
      </c>
      <c r="C353" s="5">
        <f>VLOOKUP(B353,$J$14:$K$64,2,0)</f>
        <v>1100</v>
      </c>
      <c r="D353" t="str">
        <f t="shared" si="5"/>
        <v>Deportivos</v>
      </c>
    </row>
    <row r="354" spans="1:4" x14ac:dyDescent="0.25">
      <c r="A354" s="1">
        <v>42874</v>
      </c>
      <c r="B354" t="s">
        <v>529</v>
      </c>
      <c r="C354" s="5">
        <f>VLOOKUP(B354,$J$14:$K$64,2,0)</f>
        <v>2480</v>
      </c>
      <c r="D354" t="str">
        <f t="shared" si="5"/>
        <v>Botas</v>
      </c>
    </row>
    <row r="355" spans="1:4" x14ac:dyDescent="0.25">
      <c r="A355" s="1">
        <v>43038</v>
      </c>
      <c r="B355" t="s">
        <v>494</v>
      </c>
      <c r="C355" s="5">
        <f>VLOOKUP(B355,$J$14:$K$64,2,0)</f>
        <v>1480</v>
      </c>
      <c r="D355" t="str">
        <f t="shared" si="5"/>
        <v>Deportivos</v>
      </c>
    </row>
    <row r="356" spans="1:4" x14ac:dyDescent="0.25">
      <c r="A356" s="1">
        <v>43079</v>
      </c>
      <c r="B356" t="s">
        <v>512</v>
      </c>
      <c r="C356" s="5">
        <f>VLOOKUP(B356,$J$14:$K$64,2,0)</f>
        <v>1050</v>
      </c>
      <c r="D356" t="str">
        <f t="shared" si="5"/>
        <v>Formales</v>
      </c>
    </row>
    <row r="357" spans="1:4" x14ac:dyDescent="0.25">
      <c r="A357" s="1">
        <v>42948</v>
      </c>
      <c r="B357" t="s">
        <v>506</v>
      </c>
      <c r="C357" s="5">
        <f>VLOOKUP(B357,$J$14:$K$64,2,0)</f>
        <v>1230</v>
      </c>
      <c r="D357" t="str">
        <f t="shared" si="5"/>
        <v>Deportivos</v>
      </c>
    </row>
    <row r="358" spans="1:4" x14ac:dyDescent="0.25">
      <c r="A358" s="1">
        <v>42836</v>
      </c>
      <c r="B358" t="s">
        <v>504</v>
      </c>
      <c r="C358" s="5">
        <f>VLOOKUP(B358,$J$14:$K$64,2,0)</f>
        <v>1700</v>
      </c>
      <c r="D358" t="str">
        <f t="shared" si="5"/>
        <v>Deportivos</v>
      </c>
    </row>
    <row r="359" spans="1:4" x14ac:dyDescent="0.25">
      <c r="A359" s="1">
        <v>42769</v>
      </c>
      <c r="B359" t="s">
        <v>459</v>
      </c>
      <c r="C359" s="5">
        <f>VLOOKUP(B359,$J$14:$K$64,2,0)</f>
        <v>1640.0000000000002</v>
      </c>
      <c r="D359" t="str">
        <f t="shared" si="5"/>
        <v>Botas</v>
      </c>
    </row>
    <row r="360" spans="1:4" x14ac:dyDescent="0.25">
      <c r="A360" s="1">
        <v>42812</v>
      </c>
      <c r="B360" t="s">
        <v>547</v>
      </c>
      <c r="C360" s="5">
        <f>VLOOKUP(B360,$J$14:$K$64,2,0)</f>
        <v>1170</v>
      </c>
      <c r="D360" t="str">
        <f t="shared" si="5"/>
        <v>Formales</v>
      </c>
    </row>
    <row r="361" spans="1:4" x14ac:dyDescent="0.25">
      <c r="A361" s="1">
        <v>42882</v>
      </c>
      <c r="B361" t="s">
        <v>523</v>
      </c>
      <c r="C361" s="5">
        <f>VLOOKUP(B361,$J$14:$K$64,2,0)</f>
        <v>1050</v>
      </c>
      <c r="D361" t="str">
        <f t="shared" si="5"/>
        <v>Formales</v>
      </c>
    </row>
    <row r="362" spans="1:4" x14ac:dyDescent="0.25">
      <c r="A362" s="1">
        <v>42939</v>
      </c>
      <c r="B362" t="s">
        <v>533</v>
      </c>
      <c r="C362" s="5">
        <f>VLOOKUP(B362,$J$14:$K$64,2,0)</f>
        <v>1120</v>
      </c>
      <c r="D362" t="str">
        <f t="shared" si="5"/>
        <v>Formales</v>
      </c>
    </row>
    <row r="363" spans="1:4" x14ac:dyDescent="0.25">
      <c r="A363" s="1">
        <v>42860</v>
      </c>
      <c r="B363" t="s">
        <v>529</v>
      </c>
      <c r="C363" s="5">
        <f>VLOOKUP(B363,$J$14:$K$64,2,0)</f>
        <v>2480</v>
      </c>
      <c r="D363" t="str">
        <f t="shared" si="5"/>
        <v>Botas</v>
      </c>
    </row>
    <row r="364" spans="1:4" x14ac:dyDescent="0.25">
      <c r="A364" s="1">
        <v>42776</v>
      </c>
      <c r="B364" t="s">
        <v>459</v>
      </c>
      <c r="C364" s="5">
        <f>VLOOKUP(B364,$J$14:$K$64,2,0)</f>
        <v>1640.0000000000002</v>
      </c>
      <c r="D364" t="str">
        <f t="shared" si="5"/>
        <v>Botas</v>
      </c>
    </row>
    <row r="365" spans="1:4" x14ac:dyDescent="0.25">
      <c r="A365" s="1">
        <v>42976</v>
      </c>
      <c r="B365" t="s">
        <v>529</v>
      </c>
      <c r="C365" s="5">
        <f>VLOOKUP(B365,$J$14:$K$64,2,0)</f>
        <v>2480</v>
      </c>
      <c r="D365" t="str">
        <f t="shared" si="5"/>
        <v>Botas</v>
      </c>
    </row>
    <row r="366" spans="1:4" x14ac:dyDescent="0.25">
      <c r="A366" s="1">
        <v>42852</v>
      </c>
      <c r="B366" t="s">
        <v>480</v>
      </c>
      <c r="C366" s="5">
        <f>VLOOKUP(B366,$J$14:$K$64,2,0)</f>
        <v>1750</v>
      </c>
      <c r="D366" t="str">
        <f t="shared" si="5"/>
        <v>Deportivos</v>
      </c>
    </row>
    <row r="367" spans="1:4" x14ac:dyDescent="0.25">
      <c r="A367" s="1">
        <v>43013</v>
      </c>
      <c r="B367" t="s">
        <v>451</v>
      </c>
      <c r="C367" s="5">
        <f>VLOOKUP(B367,$J$14:$K$64,2,0)</f>
        <v>350</v>
      </c>
      <c r="D367" t="str">
        <f t="shared" si="5"/>
        <v>Sandalias</v>
      </c>
    </row>
    <row r="368" spans="1:4" x14ac:dyDescent="0.25">
      <c r="A368" s="1">
        <v>42926</v>
      </c>
      <c r="B368" t="s">
        <v>480</v>
      </c>
      <c r="C368" s="5">
        <f>VLOOKUP(B368,$J$14:$K$64,2,0)</f>
        <v>1750</v>
      </c>
      <c r="D368" t="str">
        <f t="shared" si="5"/>
        <v>Deportivos</v>
      </c>
    </row>
    <row r="369" spans="1:4" x14ac:dyDescent="0.25">
      <c r="A369" s="1">
        <v>42876</v>
      </c>
      <c r="B369" t="s">
        <v>445</v>
      </c>
      <c r="C369" s="5">
        <f>VLOOKUP(B369,$J$14:$K$64,2,0)</f>
        <v>1680</v>
      </c>
      <c r="D369" t="str">
        <f t="shared" si="5"/>
        <v>Deportivos</v>
      </c>
    </row>
    <row r="370" spans="1:4" x14ac:dyDescent="0.25">
      <c r="A370" s="1">
        <v>42920</v>
      </c>
      <c r="B370" t="s">
        <v>474</v>
      </c>
      <c r="C370" s="5">
        <f>VLOOKUP(B370,$J$14:$K$64,2,0)</f>
        <v>1620.0000000000002</v>
      </c>
      <c r="D370" t="str">
        <f t="shared" si="5"/>
        <v>Formales</v>
      </c>
    </row>
    <row r="371" spans="1:4" x14ac:dyDescent="0.25">
      <c r="A371" s="1">
        <v>42841</v>
      </c>
      <c r="B371" t="s">
        <v>518</v>
      </c>
      <c r="C371" s="5">
        <f>VLOOKUP(B371,$J$14:$K$64,2,0)</f>
        <v>1090</v>
      </c>
      <c r="D371" t="str">
        <f t="shared" si="5"/>
        <v>Casuales</v>
      </c>
    </row>
    <row r="372" spans="1:4" x14ac:dyDescent="0.25">
      <c r="A372" s="1">
        <v>42982</v>
      </c>
      <c r="B372" t="s">
        <v>521</v>
      </c>
      <c r="C372" s="5">
        <f>VLOOKUP(B372,$J$14:$K$64,2,0)</f>
        <v>1160</v>
      </c>
      <c r="D372" t="str">
        <f t="shared" si="5"/>
        <v>Casuales</v>
      </c>
    </row>
    <row r="373" spans="1:4" x14ac:dyDescent="0.25">
      <c r="A373" s="1">
        <v>43014</v>
      </c>
      <c r="B373" t="s">
        <v>512</v>
      </c>
      <c r="C373" s="5">
        <f>VLOOKUP(B373,$J$14:$K$64,2,0)</f>
        <v>1050</v>
      </c>
      <c r="D373" t="str">
        <f t="shared" si="5"/>
        <v>Formales</v>
      </c>
    </row>
    <row r="374" spans="1:4" x14ac:dyDescent="0.25">
      <c r="A374" s="1">
        <v>42954</v>
      </c>
      <c r="B374" t="s">
        <v>474</v>
      </c>
      <c r="C374" s="5">
        <f>VLOOKUP(B374,$J$14:$K$64,2,0)</f>
        <v>1620.0000000000002</v>
      </c>
      <c r="D374" t="str">
        <f t="shared" si="5"/>
        <v>Formales</v>
      </c>
    </row>
    <row r="375" spans="1:4" x14ac:dyDescent="0.25">
      <c r="A375" s="1">
        <v>42831</v>
      </c>
      <c r="B375" t="s">
        <v>506</v>
      </c>
      <c r="C375" s="5">
        <f>VLOOKUP(B375,$J$14:$K$64,2,0)</f>
        <v>1230</v>
      </c>
      <c r="D375" t="str">
        <f t="shared" si="5"/>
        <v>Deportivos</v>
      </c>
    </row>
    <row r="376" spans="1:4" x14ac:dyDescent="0.25">
      <c r="A376" s="1">
        <v>42834</v>
      </c>
      <c r="B376" t="s">
        <v>539</v>
      </c>
      <c r="C376" s="5">
        <f>VLOOKUP(B376,$J$14:$K$64,2,0)</f>
        <v>950</v>
      </c>
      <c r="D376" t="str">
        <f t="shared" si="5"/>
        <v>Casuales</v>
      </c>
    </row>
    <row r="377" spans="1:4" x14ac:dyDescent="0.25">
      <c r="A377" s="1">
        <v>42820</v>
      </c>
      <c r="B377" t="s">
        <v>521</v>
      </c>
      <c r="C377" s="5">
        <f>VLOOKUP(B377,$J$14:$K$64,2,0)</f>
        <v>1160</v>
      </c>
      <c r="D377" t="str">
        <f t="shared" si="5"/>
        <v>Casuales</v>
      </c>
    </row>
    <row r="378" spans="1:4" x14ac:dyDescent="0.25">
      <c r="A378" s="1">
        <v>43097</v>
      </c>
      <c r="B378" t="s">
        <v>496</v>
      </c>
      <c r="C378" s="5">
        <f>VLOOKUP(B378,$J$14:$K$64,2,0)</f>
        <v>1040</v>
      </c>
      <c r="D378" t="str">
        <f t="shared" si="5"/>
        <v>Deportivos</v>
      </c>
    </row>
    <row r="379" spans="1:4" x14ac:dyDescent="0.25">
      <c r="A379" s="1">
        <v>42833</v>
      </c>
      <c r="B379" t="s">
        <v>531</v>
      </c>
      <c r="C379" s="5">
        <f>VLOOKUP(B379,$J$14:$K$64,2,0)</f>
        <v>1300</v>
      </c>
      <c r="D379" t="str">
        <f t="shared" si="5"/>
        <v>Casuales</v>
      </c>
    </row>
    <row r="380" spans="1:4" x14ac:dyDescent="0.25">
      <c r="A380" s="1">
        <v>42749</v>
      </c>
      <c r="B380" t="s">
        <v>496</v>
      </c>
      <c r="C380" s="5">
        <f>VLOOKUP(B380,$J$14:$K$64,2,0)</f>
        <v>1040</v>
      </c>
      <c r="D380" t="str">
        <f t="shared" si="5"/>
        <v>Deportivos</v>
      </c>
    </row>
    <row r="381" spans="1:4" x14ac:dyDescent="0.25">
      <c r="A381" s="1">
        <v>42786</v>
      </c>
      <c r="B381" t="s">
        <v>456</v>
      </c>
      <c r="C381" s="5">
        <f>VLOOKUP(B381,$J$14:$K$64,2,0)</f>
        <v>1780</v>
      </c>
      <c r="D381" t="str">
        <f t="shared" si="5"/>
        <v>Formales</v>
      </c>
    </row>
    <row r="382" spans="1:4" x14ac:dyDescent="0.25">
      <c r="A382" s="1">
        <v>43100</v>
      </c>
      <c r="B382" t="s">
        <v>463</v>
      </c>
      <c r="C382" s="5">
        <f>VLOOKUP(B382,$J$14:$K$64,2,0)</f>
        <v>940</v>
      </c>
      <c r="D382" t="str">
        <f t="shared" si="5"/>
        <v>Formales</v>
      </c>
    </row>
    <row r="383" spans="1:4" x14ac:dyDescent="0.25">
      <c r="A383" s="1">
        <v>42921</v>
      </c>
      <c r="B383" t="s">
        <v>533</v>
      </c>
      <c r="C383" s="5">
        <f>VLOOKUP(B383,$J$14:$K$64,2,0)</f>
        <v>1120</v>
      </c>
      <c r="D383" t="str">
        <f t="shared" si="5"/>
        <v>Formales</v>
      </c>
    </row>
    <row r="384" spans="1:4" x14ac:dyDescent="0.25">
      <c r="A384" s="1">
        <v>43097</v>
      </c>
      <c r="B384" t="s">
        <v>506</v>
      </c>
      <c r="C384" s="5">
        <f>VLOOKUP(B384,$J$14:$K$64,2,0)</f>
        <v>1230</v>
      </c>
      <c r="D384" t="str">
        <f t="shared" si="5"/>
        <v>Deportivos</v>
      </c>
    </row>
    <row r="385" spans="1:4" x14ac:dyDescent="0.25">
      <c r="A385" s="1">
        <v>42894</v>
      </c>
      <c r="B385" t="s">
        <v>456</v>
      </c>
      <c r="C385" s="5">
        <f>VLOOKUP(B385,$J$14:$K$64,2,0)</f>
        <v>1780</v>
      </c>
      <c r="D385" t="str">
        <f t="shared" si="5"/>
        <v>Formales</v>
      </c>
    </row>
    <row r="386" spans="1:4" x14ac:dyDescent="0.25">
      <c r="A386" s="1">
        <v>43010</v>
      </c>
      <c r="B386" t="s">
        <v>527</v>
      </c>
      <c r="C386" s="5">
        <f>VLOOKUP(B386,$J$14:$K$64,2,0)</f>
        <v>1180</v>
      </c>
      <c r="D386" t="str">
        <f t="shared" si="5"/>
        <v>Formales</v>
      </c>
    </row>
    <row r="387" spans="1:4" x14ac:dyDescent="0.25">
      <c r="A387" s="1">
        <v>42895</v>
      </c>
      <c r="B387" t="s">
        <v>502</v>
      </c>
      <c r="C387" s="5">
        <f>VLOOKUP(B387,$J$14:$K$64,2,0)</f>
        <v>869.99999999999989</v>
      </c>
      <c r="D387" t="str">
        <f t="shared" si="5"/>
        <v>Casuales</v>
      </c>
    </row>
    <row r="388" spans="1:4" x14ac:dyDescent="0.25">
      <c r="A388" s="1">
        <v>42745</v>
      </c>
      <c r="B388" t="s">
        <v>533</v>
      </c>
      <c r="C388" s="5">
        <f>VLOOKUP(B388,$J$14:$K$64,2,0)</f>
        <v>1120</v>
      </c>
      <c r="D388" t="str">
        <f t="shared" si="5"/>
        <v>Formales</v>
      </c>
    </row>
    <row r="389" spans="1:4" x14ac:dyDescent="0.25">
      <c r="A389" s="1">
        <v>43075</v>
      </c>
      <c r="B389" t="s">
        <v>525</v>
      </c>
      <c r="C389" s="5">
        <f>VLOOKUP(B389,$J$14:$K$64,2,0)</f>
        <v>2130</v>
      </c>
      <c r="D389" t="str">
        <f t="shared" si="5"/>
        <v>Botas</v>
      </c>
    </row>
    <row r="390" spans="1:4" x14ac:dyDescent="0.25">
      <c r="A390" s="1">
        <v>42846</v>
      </c>
      <c r="B390" t="s">
        <v>527</v>
      </c>
      <c r="C390" s="5">
        <f>VLOOKUP(B390,$J$14:$K$64,2,0)</f>
        <v>1180</v>
      </c>
      <c r="D390" t="str">
        <f t="shared" si="5"/>
        <v>Formales</v>
      </c>
    </row>
    <row r="391" spans="1:4" x14ac:dyDescent="0.25">
      <c r="A391" s="1">
        <v>43097</v>
      </c>
      <c r="B391" t="s">
        <v>506</v>
      </c>
      <c r="C391" s="5">
        <f>VLOOKUP(B391,$J$14:$K$64,2,0)</f>
        <v>1230</v>
      </c>
      <c r="D391" t="str">
        <f t="shared" si="5"/>
        <v>Deportivos</v>
      </c>
    </row>
    <row r="392" spans="1:4" x14ac:dyDescent="0.25">
      <c r="A392" s="1">
        <v>42867</v>
      </c>
      <c r="B392" t="s">
        <v>547</v>
      </c>
      <c r="C392" s="5">
        <f>VLOOKUP(B392,$J$14:$K$64,2,0)</f>
        <v>1170</v>
      </c>
      <c r="D392" t="str">
        <f t="shared" si="5"/>
        <v>Formales</v>
      </c>
    </row>
    <row r="393" spans="1:4" x14ac:dyDescent="0.25">
      <c r="A393" s="1">
        <v>42919</v>
      </c>
      <c r="B393" t="s">
        <v>508</v>
      </c>
      <c r="C393" s="5">
        <f>VLOOKUP(B393,$J$14:$K$64,2,0)</f>
        <v>1100</v>
      </c>
      <c r="D393" t="str">
        <f t="shared" si="5"/>
        <v>Deportivos</v>
      </c>
    </row>
    <row r="394" spans="1:4" x14ac:dyDescent="0.25">
      <c r="A394" s="1">
        <v>42962</v>
      </c>
      <c r="B394" t="s">
        <v>533</v>
      </c>
      <c r="C394" s="5">
        <f>VLOOKUP(B394,$J$14:$K$64,2,0)</f>
        <v>1120</v>
      </c>
      <c r="D394" t="str">
        <f t="shared" si="5"/>
        <v>Formales</v>
      </c>
    </row>
    <row r="395" spans="1:4" x14ac:dyDescent="0.25">
      <c r="A395" s="1">
        <v>42936</v>
      </c>
      <c r="B395" t="s">
        <v>459</v>
      </c>
      <c r="C395" s="5">
        <f>VLOOKUP(B395,$J$14:$K$64,2,0)</f>
        <v>1640.0000000000002</v>
      </c>
      <c r="D395" t="str">
        <f t="shared" si="5"/>
        <v>Botas</v>
      </c>
    </row>
    <row r="396" spans="1:4" x14ac:dyDescent="0.25">
      <c r="A396" s="1">
        <v>43005</v>
      </c>
      <c r="B396" t="s">
        <v>488</v>
      </c>
      <c r="C396" s="5">
        <f>VLOOKUP(B396,$J$14:$K$64,2,0)</f>
        <v>819.99999999999989</v>
      </c>
      <c r="D396" t="str">
        <f t="shared" si="5"/>
        <v>Casuales</v>
      </c>
    </row>
    <row r="397" spans="1:4" x14ac:dyDescent="0.25">
      <c r="A397" s="1">
        <v>42774</v>
      </c>
      <c r="B397" t="s">
        <v>470</v>
      </c>
      <c r="C397" s="5">
        <f>VLOOKUP(B397,$J$14:$K$64,2,0)</f>
        <v>300</v>
      </c>
      <c r="D397" t="str">
        <f t="shared" si="5"/>
        <v>Sandalias</v>
      </c>
    </row>
    <row r="398" spans="1:4" x14ac:dyDescent="0.25">
      <c r="A398" s="1">
        <v>42842</v>
      </c>
      <c r="B398" t="s">
        <v>521</v>
      </c>
      <c r="C398" s="5">
        <f>VLOOKUP(B398,$J$14:$K$64,2,0)</f>
        <v>1160</v>
      </c>
      <c r="D398" t="str">
        <f t="shared" si="5"/>
        <v>Casuales</v>
      </c>
    </row>
    <row r="399" spans="1:4" x14ac:dyDescent="0.25">
      <c r="A399" s="1">
        <v>42776</v>
      </c>
      <c r="B399" t="s">
        <v>463</v>
      </c>
      <c r="C399" s="5">
        <f>VLOOKUP(B399,$J$14:$K$64,2,0)</f>
        <v>940</v>
      </c>
      <c r="D399" t="str">
        <f t="shared" si="5"/>
        <v>Formales</v>
      </c>
    </row>
    <row r="400" spans="1:4" x14ac:dyDescent="0.25">
      <c r="A400" s="1">
        <v>42764</v>
      </c>
      <c r="B400" t="s">
        <v>539</v>
      </c>
      <c r="C400" s="5">
        <f>VLOOKUP(B400,$J$14:$K$64,2,0)</f>
        <v>950</v>
      </c>
      <c r="D400" t="str">
        <f t="shared" ref="D400:D463" si="6">VLOOKUP(B400,$J$14:$L$64,3,0)</f>
        <v>Casuales</v>
      </c>
    </row>
    <row r="401" spans="1:4" x14ac:dyDescent="0.25">
      <c r="A401" s="1">
        <v>43040</v>
      </c>
      <c r="B401" t="s">
        <v>510</v>
      </c>
      <c r="C401" s="5">
        <f>VLOOKUP(B401,$J$14:$K$64,2,0)</f>
        <v>969.99999999999989</v>
      </c>
      <c r="D401" t="str">
        <f t="shared" si="6"/>
        <v>Formales</v>
      </c>
    </row>
    <row r="402" spans="1:4" x14ac:dyDescent="0.25">
      <c r="A402" s="1">
        <v>43037</v>
      </c>
      <c r="B402" t="s">
        <v>480</v>
      </c>
      <c r="C402" s="5">
        <f>VLOOKUP(B402,$J$14:$K$64,2,0)</f>
        <v>1750</v>
      </c>
      <c r="D402" t="str">
        <f t="shared" si="6"/>
        <v>Deportivos</v>
      </c>
    </row>
    <row r="403" spans="1:4" x14ac:dyDescent="0.25">
      <c r="A403" s="1">
        <v>42963</v>
      </c>
      <c r="B403" t="s">
        <v>461</v>
      </c>
      <c r="C403" s="5">
        <f>VLOOKUP(B403,$J$14:$K$64,2,0)</f>
        <v>619.99999999999989</v>
      </c>
      <c r="D403" t="str">
        <f t="shared" si="6"/>
        <v>Sandalias</v>
      </c>
    </row>
    <row r="404" spans="1:4" x14ac:dyDescent="0.25">
      <c r="A404" s="1">
        <v>42796</v>
      </c>
      <c r="B404" t="s">
        <v>465</v>
      </c>
      <c r="C404" s="5">
        <f>VLOOKUP(B404,$J$14:$K$64,2,0)</f>
        <v>1560</v>
      </c>
      <c r="D404" t="str">
        <f t="shared" si="6"/>
        <v>Botas</v>
      </c>
    </row>
    <row r="405" spans="1:4" x14ac:dyDescent="0.25">
      <c r="A405" s="1">
        <v>43078</v>
      </c>
      <c r="B405" t="s">
        <v>459</v>
      </c>
      <c r="C405" s="5">
        <f>VLOOKUP(B405,$J$14:$K$64,2,0)</f>
        <v>1640.0000000000002</v>
      </c>
      <c r="D405" t="str">
        <f t="shared" si="6"/>
        <v>Botas</v>
      </c>
    </row>
    <row r="406" spans="1:4" x14ac:dyDescent="0.25">
      <c r="A406" s="1">
        <v>42747</v>
      </c>
      <c r="B406" t="s">
        <v>465</v>
      </c>
      <c r="C406" s="5">
        <f>VLOOKUP(B406,$J$14:$K$64,2,0)</f>
        <v>1560</v>
      </c>
      <c r="D406" t="str">
        <f t="shared" si="6"/>
        <v>Botas</v>
      </c>
    </row>
    <row r="407" spans="1:4" x14ac:dyDescent="0.25">
      <c r="A407" s="1">
        <v>42859</v>
      </c>
      <c r="B407" t="s">
        <v>465</v>
      </c>
      <c r="C407" s="5">
        <f>VLOOKUP(B407,$J$14:$K$64,2,0)</f>
        <v>1560</v>
      </c>
      <c r="D407" t="str">
        <f t="shared" si="6"/>
        <v>Botas</v>
      </c>
    </row>
    <row r="408" spans="1:4" x14ac:dyDescent="0.25">
      <c r="A408" s="1">
        <v>42892</v>
      </c>
      <c r="B408" t="s">
        <v>476</v>
      </c>
      <c r="C408" s="5">
        <f>VLOOKUP(B408,$J$14:$K$64,2,0)</f>
        <v>1590</v>
      </c>
      <c r="D408" t="str">
        <f t="shared" si="6"/>
        <v>Botas</v>
      </c>
    </row>
    <row r="409" spans="1:4" x14ac:dyDescent="0.25">
      <c r="A409" s="1">
        <v>42892</v>
      </c>
      <c r="B409" t="s">
        <v>504</v>
      </c>
      <c r="C409" s="5">
        <f>VLOOKUP(B409,$J$14:$K$64,2,0)</f>
        <v>1700</v>
      </c>
      <c r="D409" t="str">
        <f t="shared" si="6"/>
        <v>Deportivos</v>
      </c>
    </row>
    <row r="410" spans="1:4" x14ac:dyDescent="0.25">
      <c r="A410" s="1">
        <v>42810</v>
      </c>
      <c r="B410" t="s">
        <v>486</v>
      </c>
      <c r="C410" s="5">
        <f>VLOOKUP(B410,$J$14:$K$64,2,0)</f>
        <v>2110</v>
      </c>
      <c r="D410" t="str">
        <f t="shared" si="6"/>
        <v>Botas</v>
      </c>
    </row>
    <row r="411" spans="1:4" x14ac:dyDescent="0.25">
      <c r="A411" s="1">
        <v>43027</v>
      </c>
      <c r="B411" t="s">
        <v>545</v>
      </c>
      <c r="C411" s="5">
        <f>VLOOKUP(B411,$J$14:$K$64,2,0)</f>
        <v>1840.0000000000002</v>
      </c>
      <c r="D411" t="str">
        <f t="shared" si="6"/>
        <v>Botas</v>
      </c>
    </row>
    <row r="412" spans="1:4" x14ac:dyDescent="0.25">
      <c r="A412" s="1">
        <v>42841</v>
      </c>
      <c r="B412" t="s">
        <v>525</v>
      </c>
      <c r="C412" s="5">
        <f>VLOOKUP(B412,$J$14:$K$64,2,0)</f>
        <v>2130</v>
      </c>
      <c r="D412" t="str">
        <f t="shared" si="6"/>
        <v>Botas</v>
      </c>
    </row>
    <row r="413" spans="1:4" x14ac:dyDescent="0.25">
      <c r="A413" s="1">
        <v>43095</v>
      </c>
      <c r="B413" t="s">
        <v>525</v>
      </c>
      <c r="C413" s="5">
        <f>VLOOKUP(B413,$J$14:$K$64,2,0)</f>
        <v>2130</v>
      </c>
      <c r="D413" t="str">
        <f t="shared" si="6"/>
        <v>Botas</v>
      </c>
    </row>
    <row r="414" spans="1:4" x14ac:dyDescent="0.25">
      <c r="A414" s="1">
        <v>42880</v>
      </c>
      <c r="B414" t="s">
        <v>535</v>
      </c>
      <c r="C414" s="5">
        <f>VLOOKUP(B414,$J$14:$K$64,2,0)</f>
        <v>1740.0000000000002</v>
      </c>
      <c r="D414" t="str">
        <f t="shared" si="6"/>
        <v>Formales</v>
      </c>
    </row>
    <row r="415" spans="1:4" x14ac:dyDescent="0.25">
      <c r="A415" s="1">
        <v>42922</v>
      </c>
      <c r="B415" t="s">
        <v>502</v>
      </c>
      <c r="C415" s="5">
        <f>VLOOKUP(B415,$J$14:$K$64,2,0)</f>
        <v>869.99999999999989</v>
      </c>
      <c r="D415" t="str">
        <f t="shared" si="6"/>
        <v>Casuales</v>
      </c>
    </row>
    <row r="416" spans="1:4" x14ac:dyDescent="0.25">
      <c r="A416" s="1">
        <v>42837</v>
      </c>
      <c r="B416" t="s">
        <v>510</v>
      </c>
      <c r="C416" s="5">
        <f>VLOOKUP(B416,$J$14:$K$64,2,0)</f>
        <v>969.99999999999989</v>
      </c>
      <c r="D416" t="str">
        <f t="shared" si="6"/>
        <v>Formales</v>
      </c>
    </row>
    <row r="417" spans="1:4" x14ac:dyDescent="0.25">
      <c r="A417" s="1">
        <v>42787</v>
      </c>
      <c r="B417" t="s">
        <v>510</v>
      </c>
      <c r="C417" s="5">
        <f>VLOOKUP(B417,$J$14:$K$64,2,0)</f>
        <v>969.99999999999989</v>
      </c>
      <c r="D417" t="str">
        <f t="shared" si="6"/>
        <v>Formales</v>
      </c>
    </row>
    <row r="418" spans="1:4" x14ac:dyDescent="0.25">
      <c r="A418" s="1">
        <v>43016</v>
      </c>
      <c r="B418" t="s">
        <v>500</v>
      </c>
      <c r="C418" s="5">
        <f>VLOOKUP(B418,$J$14:$K$64,2,0)</f>
        <v>1019.9999999999999</v>
      </c>
      <c r="D418" t="str">
        <f t="shared" si="6"/>
        <v>Casuales</v>
      </c>
    </row>
    <row r="419" spans="1:4" x14ac:dyDescent="0.25">
      <c r="A419" s="1">
        <v>42912</v>
      </c>
      <c r="B419" t="s">
        <v>456</v>
      </c>
      <c r="C419" s="5">
        <f>VLOOKUP(B419,$J$14:$K$64,2,0)</f>
        <v>1780</v>
      </c>
      <c r="D419" t="str">
        <f t="shared" si="6"/>
        <v>Formales</v>
      </c>
    </row>
    <row r="420" spans="1:4" x14ac:dyDescent="0.25">
      <c r="A420" s="1">
        <v>42811</v>
      </c>
      <c r="B420" t="s">
        <v>484</v>
      </c>
      <c r="C420" s="5">
        <f>VLOOKUP(B420,$J$14:$K$64,2,0)</f>
        <v>1530</v>
      </c>
      <c r="D420" t="str">
        <f t="shared" si="6"/>
        <v>Formales</v>
      </c>
    </row>
    <row r="421" spans="1:4" x14ac:dyDescent="0.25">
      <c r="A421" s="1">
        <v>42911</v>
      </c>
      <c r="B421" t="s">
        <v>500</v>
      </c>
      <c r="C421" s="5">
        <f>VLOOKUP(B421,$J$14:$K$64,2,0)</f>
        <v>1019.9999999999999</v>
      </c>
      <c r="D421" t="str">
        <f t="shared" si="6"/>
        <v>Casuales</v>
      </c>
    </row>
    <row r="422" spans="1:4" x14ac:dyDescent="0.25">
      <c r="A422" s="1">
        <v>43086</v>
      </c>
      <c r="B422" t="s">
        <v>504</v>
      </c>
      <c r="C422" s="5">
        <f>VLOOKUP(B422,$J$14:$K$64,2,0)</f>
        <v>1700</v>
      </c>
      <c r="D422" t="str">
        <f t="shared" si="6"/>
        <v>Deportivos</v>
      </c>
    </row>
    <row r="423" spans="1:4" x14ac:dyDescent="0.25">
      <c r="A423" s="1">
        <v>42809</v>
      </c>
      <c r="B423" t="s">
        <v>486</v>
      </c>
      <c r="C423" s="5">
        <f>VLOOKUP(B423,$J$14:$K$64,2,0)</f>
        <v>2110</v>
      </c>
      <c r="D423" t="str">
        <f t="shared" si="6"/>
        <v>Botas</v>
      </c>
    </row>
    <row r="424" spans="1:4" x14ac:dyDescent="0.25">
      <c r="A424" s="1">
        <v>42879</v>
      </c>
      <c r="B424" t="s">
        <v>510</v>
      </c>
      <c r="C424" s="5">
        <f>VLOOKUP(B424,$J$14:$K$64,2,0)</f>
        <v>969.99999999999989</v>
      </c>
      <c r="D424" t="str">
        <f t="shared" si="6"/>
        <v>Formales</v>
      </c>
    </row>
    <row r="425" spans="1:4" x14ac:dyDescent="0.25">
      <c r="A425" s="1">
        <v>43056</v>
      </c>
      <c r="B425" t="s">
        <v>492</v>
      </c>
      <c r="C425" s="5">
        <f>VLOOKUP(B425,$J$14:$K$64,2,0)</f>
        <v>1500</v>
      </c>
      <c r="D425" t="str">
        <f t="shared" si="6"/>
        <v>Deportivos</v>
      </c>
    </row>
    <row r="426" spans="1:4" x14ac:dyDescent="0.25">
      <c r="A426" s="1">
        <v>42742</v>
      </c>
      <c r="B426" t="s">
        <v>529</v>
      </c>
      <c r="C426" s="5">
        <f>VLOOKUP(B426,$J$14:$K$64,2,0)</f>
        <v>2480</v>
      </c>
      <c r="D426" t="str">
        <f t="shared" si="6"/>
        <v>Botas</v>
      </c>
    </row>
    <row r="427" spans="1:4" x14ac:dyDescent="0.25">
      <c r="A427" s="1">
        <v>42811</v>
      </c>
      <c r="B427" t="s">
        <v>508</v>
      </c>
      <c r="C427" s="5">
        <f>VLOOKUP(B427,$J$14:$K$64,2,0)</f>
        <v>1100</v>
      </c>
      <c r="D427" t="str">
        <f t="shared" si="6"/>
        <v>Deportivos</v>
      </c>
    </row>
    <row r="428" spans="1:4" x14ac:dyDescent="0.25">
      <c r="A428" s="1">
        <v>43081</v>
      </c>
      <c r="B428" t="s">
        <v>459</v>
      </c>
      <c r="C428" s="5">
        <f>VLOOKUP(B428,$J$14:$K$64,2,0)</f>
        <v>1640.0000000000002</v>
      </c>
      <c r="D428" t="str">
        <f t="shared" si="6"/>
        <v>Botas</v>
      </c>
    </row>
    <row r="429" spans="1:4" x14ac:dyDescent="0.25">
      <c r="A429" s="1">
        <v>42743</v>
      </c>
      <c r="B429" t="s">
        <v>494</v>
      </c>
      <c r="C429" s="5">
        <f>VLOOKUP(B429,$J$14:$K$64,2,0)</f>
        <v>1480</v>
      </c>
      <c r="D429" t="str">
        <f t="shared" si="6"/>
        <v>Deportivos</v>
      </c>
    </row>
    <row r="430" spans="1:4" x14ac:dyDescent="0.25">
      <c r="A430" s="1">
        <v>42886</v>
      </c>
      <c r="B430" t="s">
        <v>454</v>
      </c>
      <c r="C430" s="5">
        <f>VLOOKUP(B430,$J$14:$K$64,2,0)</f>
        <v>690</v>
      </c>
      <c r="D430" t="str">
        <f t="shared" si="6"/>
        <v>Sandalias</v>
      </c>
    </row>
    <row r="431" spans="1:4" x14ac:dyDescent="0.25">
      <c r="A431" s="1">
        <v>43020</v>
      </c>
      <c r="B431" t="s">
        <v>490</v>
      </c>
      <c r="C431" s="5">
        <f>VLOOKUP(B431,$J$14:$K$64,2,0)</f>
        <v>560</v>
      </c>
      <c r="D431" t="str">
        <f t="shared" si="6"/>
        <v>Sandalias</v>
      </c>
    </row>
    <row r="432" spans="1:4" x14ac:dyDescent="0.25">
      <c r="A432" s="1">
        <v>43085</v>
      </c>
      <c r="B432" t="s">
        <v>484</v>
      </c>
      <c r="C432" s="5">
        <f>VLOOKUP(B432,$J$14:$K$64,2,0)</f>
        <v>1530</v>
      </c>
      <c r="D432" t="str">
        <f t="shared" si="6"/>
        <v>Formales</v>
      </c>
    </row>
    <row r="433" spans="1:4" x14ac:dyDescent="0.25">
      <c r="A433" s="1">
        <v>42982</v>
      </c>
      <c r="B433" t="s">
        <v>527</v>
      </c>
      <c r="C433" s="5">
        <f>VLOOKUP(B433,$J$14:$K$64,2,0)</f>
        <v>1180</v>
      </c>
      <c r="D433" t="str">
        <f t="shared" si="6"/>
        <v>Formales</v>
      </c>
    </row>
    <row r="434" spans="1:4" x14ac:dyDescent="0.25">
      <c r="A434" s="1">
        <v>42742</v>
      </c>
      <c r="B434" t="s">
        <v>521</v>
      </c>
      <c r="C434" s="5">
        <f>VLOOKUP(B434,$J$14:$K$64,2,0)</f>
        <v>1160</v>
      </c>
      <c r="D434" t="str">
        <f t="shared" si="6"/>
        <v>Casuales</v>
      </c>
    </row>
    <row r="435" spans="1:4" x14ac:dyDescent="0.25">
      <c r="A435" s="1">
        <v>43063</v>
      </c>
      <c r="B435" t="s">
        <v>496</v>
      </c>
      <c r="C435" s="5">
        <f>VLOOKUP(B435,$J$14:$K$64,2,0)</f>
        <v>1040</v>
      </c>
      <c r="D435" t="str">
        <f t="shared" si="6"/>
        <v>Deportivos</v>
      </c>
    </row>
    <row r="436" spans="1:4" x14ac:dyDescent="0.25">
      <c r="A436" s="1">
        <v>42794</v>
      </c>
      <c r="B436" t="s">
        <v>448</v>
      </c>
      <c r="C436" s="5">
        <f>VLOOKUP(B436,$J$14:$K$64,2,0)</f>
        <v>2260</v>
      </c>
      <c r="D436" t="str">
        <f t="shared" si="6"/>
        <v>Botas</v>
      </c>
    </row>
    <row r="437" spans="1:4" x14ac:dyDescent="0.25">
      <c r="A437" s="1">
        <v>42778</v>
      </c>
      <c r="B437" t="s">
        <v>514</v>
      </c>
      <c r="C437" s="5">
        <f>VLOOKUP(B437,$J$14:$K$64,2,0)</f>
        <v>960</v>
      </c>
      <c r="D437" t="str">
        <f t="shared" si="6"/>
        <v>Casuales</v>
      </c>
    </row>
    <row r="438" spans="1:4" x14ac:dyDescent="0.25">
      <c r="A438" s="1">
        <v>42960</v>
      </c>
      <c r="B438" t="s">
        <v>454</v>
      </c>
      <c r="C438" s="5">
        <f>VLOOKUP(B438,$J$14:$K$64,2,0)</f>
        <v>690</v>
      </c>
      <c r="D438" t="str">
        <f t="shared" si="6"/>
        <v>Sandalias</v>
      </c>
    </row>
    <row r="439" spans="1:4" x14ac:dyDescent="0.25">
      <c r="A439" s="1">
        <v>42937</v>
      </c>
      <c r="B439" t="s">
        <v>547</v>
      </c>
      <c r="C439" s="5">
        <f>VLOOKUP(B439,$J$14:$K$64,2,0)</f>
        <v>1170</v>
      </c>
      <c r="D439" t="str">
        <f t="shared" si="6"/>
        <v>Formales</v>
      </c>
    </row>
    <row r="440" spans="1:4" x14ac:dyDescent="0.25">
      <c r="A440" s="1">
        <v>43094</v>
      </c>
      <c r="B440" t="s">
        <v>474</v>
      </c>
      <c r="C440" s="5">
        <f>VLOOKUP(B440,$J$14:$K$64,2,0)</f>
        <v>1620.0000000000002</v>
      </c>
      <c r="D440" t="str">
        <f t="shared" si="6"/>
        <v>Formales</v>
      </c>
    </row>
    <row r="441" spans="1:4" x14ac:dyDescent="0.25">
      <c r="A441" s="1">
        <v>42968</v>
      </c>
      <c r="B441" t="s">
        <v>488</v>
      </c>
      <c r="C441" s="5">
        <f>VLOOKUP(B441,$J$14:$K$64,2,0)</f>
        <v>819.99999999999989</v>
      </c>
      <c r="D441" t="str">
        <f t="shared" si="6"/>
        <v>Casuales</v>
      </c>
    </row>
    <row r="442" spans="1:4" x14ac:dyDescent="0.25">
      <c r="A442" s="1">
        <v>43053</v>
      </c>
      <c r="B442" t="s">
        <v>494</v>
      </c>
      <c r="C442" s="5">
        <f>VLOOKUP(B442,$J$14:$K$64,2,0)</f>
        <v>1480</v>
      </c>
      <c r="D442" t="str">
        <f t="shared" si="6"/>
        <v>Deportivos</v>
      </c>
    </row>
    <row r="443" spans="1:4" x14ac:dyDescent="0.25">
      <c r="A443" s="1">
        <v>42977</v>
      </c>
      <c r="B443" t="s">
        <v>494</v>
      </c>
      <c r="C443" s="5">
        <f>VLOOKUP(B443,$J$14:$K$64,2,0)</f>
        <v>1480</v>
      </c>
      <c r="D443" t="str">
        <f t="shared" si="6"/>
        <v>Deportivos</v>
      </c>
    </row>
    <row r="444" spans="1:4" x14ac:dyDescent="0.25">
      <c r="A444" s="1">
        <v>42875</v>
      </c>
      <c r="B444" t="s">
        <v>541</v>
      </c>
      <c r="C444" s="5">
        <f>VLOOKUP(B444,$J$14:$K$64,2,0)</f>
        <v>1240</v>
      </c>
      <c r="D444" t="str">
        <f t="shared" si="6"/>
        <v>Formales</v>
      </c>
    </row>
    <row r="445" spans="1:4" x14ac:dyDescent="0.25">
      <c r="A445" s="1">
        <v>43079</v>
      </c>
      <c r="B445" t="s">
        <v>482</v>
      </c>
      <c r="C445" s="5">
        <f>VLOOKUP(B445,$J$14:$K$64,2,0)</f>
        <v>1490</v>
      </c>
      <c r="D445" t="str">
        <f t="shared" si="6"/>
        <v>Formales</v>
      </c>
    </row>
    <row r="446" spans="1:4" x14ac:dyDescent="0.25">
      <c r="A446" s="1">
        <v>43046</v>
      </c>
      <c r="B446" t="s">
        <v>514</v>
      </c>
      <c r="C446" s="5">
        <f>VLOOKUP(B446,$J$14:$K$64,2,0)</f>
        <v>960</v>
      </c>
      <c r="D446" t="str">
        <f t="shared" si="6"/>
        <v>Casuales</v>
      </c>
    </row>
    <row r="447" spans="1:4" x14ac:dyDescent="0.25">
      <c r="A447" s="1">
        <v>43006</v>
      </c>
      <c r="B447" t="s">
        <v>512</v>
      </c>
      <c r="C447" s="5">
        <f>VLOOKUP(B447,$J$14:$K$64,2,0)</f>
        <v>1050</v>
      </c>
      <c r="D447" t="str">
        <f t="shared" si="6"/>
        <v>Formales</v>
      </c>
    </row>
    <row r="448" spans="1:4" x14ac:dyDescent="0.25">
      <c r="A448" s="1">
        <v>43101</v>
      </c>
      <c r="B448" t="s">
        <v>490</v>
      </c>
      <c r="C448" s="5">
        <f>VLOOKUP(B448,$J$14:$K$64,2,0)</f>
        <v>560</v>
      </c>
      <c r="D448" t="str">
        <f t="shared" si="6"/>
        <v>Sandalias</v>
      </c>
    </row>
    <row r="449" spans="1:4" x14ac:dyDescent="0.25">
      <c r="A449" s="1">
        <v>42918</v>
      </c>
      <c r="B449" t="s">
        <v>478</v>
      </c>
      <c r="C449" s="5">
        <f>VLOOKUP(B449,$J$14:$K$64,2,0)</f>
        <v>2130</v>
      </c>
      <c r="D449" t="str">
        <f t="shared" si="6"/>
        <v>Botas</v>
      </c>
    </row>
    <row r="450" spans="1:4" x14ac:dyDescent="0.25">
      <c r="A450" s="1">
        <v>42865</v>
      </c>
      <c r="B450" t="s">
        <v>514</v>
      </c>
      <c r="C450" s="5">
        <f>VLOOKUP(B450,$J$14:$K$64,2,0)</f>
        <v>960</v>
      </c>
      <c r="D450" t="str">
        <f t="shared" si="6"/>
        <v>Casuales</v>
      </c>
    </row>
    <row r="451" spans="1:4" x14ac:dyDescent="0.25">
      <c r="A451" s="1">
        <v>42800</v>
      </c>
      <c r="B451" t="s">
        <v>459</v>
      </c>
      <c r="C451" s="5">
        <f>VLOOKUP(B451,$J$14:$K$64,2,0)</f>
        <v>1640.0000000000002</v>
      </c>
      <c r="D451" t="str">
        <f t="shared" si="6"/>
        <v>Botas</v>
      </c>
    </row>
    <row r="452" spans="1:4" x14ac:dyDescent="0.25">
      <c r="A452" s="1">
        <v>43038</v>
      </c>
      <c r="B452" t="s">
        <v>494</v>
      </c>
      <c r="C452" s="5">
        <f>VLOOKUP(B452,$J$14:$K$64,2,0)</f>
        <v>1480</v>
      </c>
      <c r="D452" t="str">
        <f t="shared" si="6"/>
        <v>Deportivos</v>
      </c>
    </row>
    <row r="453" spans="1:4" x14ac:dyDescent="0.25">
      <c r="A453" s="1">
        <v>42925</v>
      </c>
      <c r="B453" t="s">
        <v>543</v>
      </c>
      <c r="C453" s="5">
        <f>VLOOKUP(B453,$J$14:$K$64,2,0)</f>
        <v>1710.0000000000002</v>
      </c>
      <c r="D453" t="str">
        <f t="shared" si="6"/>
        <v>Deportivos</v>
      </c>
    </row>
    <row r="454" spans="1:4" x14ac:dyDescent="0.25">
      <c r="A454" s="1">
        <v>43003</v>
      </c>
      <c r="B454" t="s">
        <v>459</v>
      </c>
      <c r="C454" s="5">
        <f>VLOOKUP(B454,$J$14:$K$64,2,0)</f>
        <v>1640.0000000000002</v>
      </c>
      <c r="D454" t="str">
        <f t="shared" si="6"/>
        <v>Botas</v>
      </c>
    </row>
    <row r="455" spans="1:4" x14ac:dyDescent="0.25">
      <c r="A455" s="1">
        <v>42947</v>
      </c>
      <c r="B455" t="s">
        <v>448</v>
      </c>
      <c r="C455" s="5">
        <f>VLOOKUP(B455,$J$14:$K$64,2,0)</f>
        <v>2260</v>
      </c>
      <c r="D455" t="str">
        <f t="shared" si="6"/>
        <v>Botas</v>
      </c>
    </row>
    <row r="456" spans="1:4" x14ac:dyDescent="0.25">
      <c r="A456" s="1">
        <v>43031</v>
      </c>
      <c r="B456" t="s">
        <v>484</v>
      </c>
      <c r="C456" s="5">
        <f>VLOOKUP(B456,$J$14:$K$64,2,0)</f>
        <v>1530</v>
      </c>
      <c r="D456" t="str">
        <f t="shared" si="6"/>
        <v>Formales</v>
      </c>
    </row>
    <row r="457" spans="1:4" x14ac:dyDescent="0.25">
      <c r="A457" s="1">
        <v>43098</v>
      </c>
      <c r="B457" t="s">
        <v>459</v>
      </c>
      <c r="C457" s="5">
        <f>VLOOKUP(B457,$J$14:$K$64,2,0)</f>
        <v>1640.0000000000002</v>
      </c>
      <c r="D457" t="str">
        <f t="shared" si="6"/>
        <v>Botas</v>
      </c>
    </row>
    <row r="458" spans="1:4" x14ac:dyDescent="0.25">
      <c r="A458" s="1">
        <v>43091</v>
      </c>
      <c r="B458" t="s">
        <v>512</v>
      </c>
      <c r="C458" s="5">
        <f>VLOOKUP(B458,$J$14:$K$64,2,0)</f>
        <v>1050</v>
      </c>
      <c r="D458" t="str">
        <f t="shared" si="6"/>
        <v>Formales</v>
      </c>
    </row>
    <row r="459" spans="1:4" x14ac:dyDescent="0.25">
      <c r="A459" s="1">
        <v>42964</v>
      </c>
      <c r="B459" t="s">
        <v>454</v>
      </c>
      <c r="C459" s="5">
        <f>VLOOKUP(B459,$J$14:$K$64,2,0)</f>
        <v>690</v>
      </c>
      <c r="D459" t="str">
        <f t="shared" si="6"/>
        <v>Sandalias</v>
      </c>
    </row>
    <row r="460" spans="1:4" x14ac:dyDescent="0.25">
      <c r="A460" s="1">
        <v>42991</v>
      </c>
      <c r="B460" t="s">
        <v>502</v>
      </c>
      <c r="C460" s="5">
        <f>VLOOKUP(B460,$J$14:$K$64,2,0)</f>
        <v>869.99999999999989</v>
      </c>
      <c r="D460" t="str">
        <f t="shared" si="6"/>
        <v>Casuales</v>
      </c>
    </row>
    <row r="461" spans="1:4" x14ac:dyDescent="0.25">
      <c r="A461" s="1">
        <v>42896</v>
      </c>
      <c r="B461" t="s">
        <v>484</v>
      </c>
      <c r="C461" s="5">
        <f>VLOOKUP(B461,$J$14:$K$64,2,0)</f>
        <v>1530</v>
      </c>
      <c r="D461" t="str">
        <f t="shared" si="6"/>
        <v>Formales</v>
      </c>
    </row>
    <row r="462" spans="1:4" x14ac:dyDescent="0.25">
      <c r="A462" s="1">
        <v>42850</v>
      </c>
      <c r="B462" t="s">
        <v>463</v>
      </c>
      <c r="C462" s="5">
        <f>VLOOKUP(B462,$J$14:$K$64,2,0)</f>
        <v>940</v>
      </c>
      <c r="D462" t="str">
        <f t="shared" si="6"/>
        <v>Formales</v>
      </c>
    </row>
    <row r="463" spans="1:4" x14ac:dyDescent="0.25">
      <c r="A463" s="1">
        <v>42908</v>
      </c>
      <c r="B463" t="s">
        <v>494</v>
      </c>
      <c r="C463" s="5">
        <f>VLOOKUP(B463,$J$14:$K$64,2,0)</f>
        <v>1480</v>
      </c>
      <c r="D463" t="str">
        <f t="shared" si="6"/>
        <v>Deportivos</v>
      </c>
    </row>
    <row r="464" spans="1:4" x14ac:dyDescent="0.25">
      <c r="A464" s="1">
        <v>42802</v>
      </c>
      <c r="B464" t="s">
        <v>508</v>
      </c>
      <c r="C464" s="5">
        <f>VLOOKUP(B464,$J$14:$K$64,2,0)</f>
        <v>1100</v>
      </c>
      <c r="D464" t="str">
        <f t="shared" ref="D464:D527" si="7">VLOOKUP(B464,$J$14:$L$64,3,0)</f>
        <v>Deportivos</v>
      </c>
    </row>
    <row r="465" spans="1:4" x14ac:dyDescent="0.25">
      <c r="A465" s="1">
        <v>42883</v>
      </c>
      <c r="B465" t="s">
        <v>494</v>
      </c>
      <c r="C465" s="5">
        <f>VLOOKUP(B465,$J$14:$K$64,2,0)</f>
        <v>1480</v>
      </c>
      <c r="D465" t="str">
        <f t="shared" si="7"/>
        <v>Deportivos</v>
      </c>
    </row>
    <row r="466" spans="1:4" x14ac:dyDescent="0.25">
      <c r="A466" s="1">
        <v>42966</v>
      </c>
      <c r="B466" t="s">
        <v>461</v>
      </c>
      <c r="C466" s="5">
        <f>VLOOKUP(B466,$J$14:$K$64,2,0)</f>
        <v>619.99999999999989</v>
      </c>
      <c r="D466" t="str">
        <f t="shared" si="7"/>
        <v>Sandalias</v>
      </c>
    </row>
    <row r="467" spans="1:4" x14ac:dyDescent="0.25">
      <c r="A467" s="1">
        <v>42883</v>
      </c>
      <c r="B467" t="s">
        <v>448</v>
      </c>
      <c r="C467" s="5">
        <f>VLOOKUP(B467,$J$14:$K$64,2,0)</f>
        <v>2260</v>
      </c>
      <c r="D467" t="str">
        <f t="shared" si="7"/>
        <v>Botas</v>
      </c>
    </row>
    <row r="468" spans="1:4" x14ac:dyDescent="0.25">
      <c r="A468" s="1">
        <v>42893</v>
      </c>
      <c r="B468" t="s">
        <v>472</v>
      </c>
      <c r="C468" s="5">
        <f>VLOOKUP(B468,$J$14:$K$64,2,0)</f>
        <v>1710.0000000000002</v>
      </c>
      <c r="D468" t="str">
        <f t="shared" si="7"/>
        <v>Formales</v>
      </c>
    </row>
    <row r="469" spans="1:4" x14ac:dyDescent="0.25">
      <c r="A469" s="1">
        <v>42923</v>
      </c>
      <c r="B469" t="s">
        <v>541</v>
      </c>
      <c r="C469" s="5">
        <f>VLOOKUP(B469,$J$14:$K$64,2,0)</f>
        <v>1240</v>
      </c>
      <c r="D469" t="str">
        <f t="shared" si="7"/>
        <v>Formales</v>
      </c>
    </row>
    <row r="470" spans="1:4" x14ac:dyDescent="0.25">
      <c r="A470" s="1">
        <v>43008</v>
      </c>
      <c r="B470" t="s">
        <v>543</v>
      </c>
      <c r="C470" s="5">
        <f>VLOOKUP(B470,$J$14:$K$64,2,0)</f>
        <v>1710.0000000000002</v>
      </c>
      <c r="D470" t="str">
        <f t="shared" si="7"/>
        <v>Deportivos</v>
      </c>
    </row>
    <row r="471" spans="1:4" x14ac:dyDescent="0.25">
      <c r="A471" s="1">
        <v>43066</v>
      </c>
      <c r="B471" t="s">
        <v>512</v>
      </c>
      <c r="C471" s="5">
        <f>VLOOKUP(B471,$J$14:$K$64,2,0)</f>
        <v>1050</v>
      </c>
      <c r="D471" t="str">
        <f t="shared" si="7"/>
        <v>Formales</v>
      </c>
    </row>
    <row r="472" spans="1:4" x14ac:dyDescent="0.25">
      <c r="A472" s="1">
        <v>42900</v>
      </c>
      <c r="B472" t="s">
        <v>496</v>
      </c>
      <c r="C472" s="5">
        <f>VLOOKUP(B472,$J$14:$K$64,2,0)</f>
        <v>1040</v>
      </c>
      <c r="D472" t="str">
        <f t="shared" si="7"/>
        <v>Deportivos</v>
      </c>
    </row>
    <row r="473" spans="1:4" x14ac:dyDescent="0.25">
      <c r="A473" s="1">
        <v>42860</v>
      </c>
      <c r="B473" t="s">
        <v>521</v>
      </c>
      <c r="C473" s="5">
        <f>VLOOKUP(B473,$J$14:$K$64,2,0)</f>
        <v>1160</v>
      </c>
      <c r="D473" t="str">
        <f t="shared" si="7"/>
        <v>Casuales</v>
      </c>
    </row>
    <row r="474" spans="1:4" x14ac:dyDescent="0.25">
      <c r="A474" s="1">
        <v>42816</v>
      </c>
      <c r="B474" t="s">
        <v>488</v>
      </c>
      <c r="C474" s="5">
        <f>VLOOKUP(B474,$J$14:$K$64,2,0)</f>
        <v>819.99999999999989</v>
      </c>
      <c r="D474" t="str">
        <f t="shared" si="7"/>
        <v>Casuales</v>
      </c>
    </row>
    <row r="475" spans="1:4" x14ac:dyDescent="0.25">
      <c r="A475" s="1">
        <v>42802</v>
      </c>
      <c r="B475" t="s">
        <v>508</v>
      </c>
      <c r="C475" s="5">
        <f>VLOOKUP(B475,$J$14:$K$64,2,0)</f>
        <v>1100</v>
      </c>
      <c r="D475" t="str">
        <f t="shared" si="7"/>
        <v>Deportivos</v>
      </c>
    </row>
    <row r="476" spans="1:4" x14ac:dyDescent="0.25">
      <c r="A476" s="1">
        <v>43041</v>
      </c>
      <c r="B476" t="s">
        <v>451</v>
      </c>
      <c r="C476" s="5">
        <f>VLOOKUP(B476,$J$14:$K$64,2,0)</f>
        <v>350</v>
      </c>
      <c r="D476" t="str">
        <f t="shared" si="7"/>
        <v>Sandalias</v>
      </c>
    </row>
    <row r="477" spans="1:4" x14ac:dyDescent="0.25">
      <c r="A477" s="1">
        <v>43071</v>
      </c>
      <c r="B477" t="s">
        <v>494</v>
      </c>
      <c r="C477" s="5">
        <f>VLOOKUP(B477,$J$14:$K$64,2,0)</f>
        <v>1480</v>
      </c>
      <c r="D477" t="str">
        <f t="shared" si="7"/>
        <v>Deportivos</v>
      </c>
    </row>
    <row r="478" spans="1:4" x14ac:dyDescent="0.25">
      <c r="A478" s="1">
        <v>42871</v>
      </c>
      <c r="B478" t="s">
        <v>502</v>
      </c>
      <c r="C478" s="5">
        <f>VLOOKUP(B478,$J$14:$K$64,2,0)</f>
        <v>869.99999999999989</v>
      </c>
      <c r="D478" t="str">
        <f t="shared" si="7"/>
        <v>Casuales</v>
      </c>
    </row>
    <row r="479" spans="1:4" x14ac:dyDescent="0.25">
      <c r="A479" s="1">
        <v>42750</v>
      </c>
      <c r="B479" t="s">
        <v>448</v>
      </c>
      <c r="C479" s="5">
        <f>VLOOKUP(B479,$J$14:$K$64,2,0)</f>
        <v>2260</v>
      </c>
      <c r="D479" t="str">
        <f t="shared" si="7"/>
        <v>Botas</v>
      </c>
    </row>
    <row r="480" spans="1:4" x14ac:dyDescent="0.25">
      <c r="A480" s="1">
        <v>42934</v>
      </c>
      <c r="B480" t="s">
        <v>448</v>
      </c>
      <c r="C480" s="5">
        <f>VLOOKUP(B480,$J$14:$K$64,2,0)</f>
        <v>2260</v>
      </c>
      <c r="D480" t="str">
        <f t="shared" si="7"/>
        <v>Botas</v>
      </c>
    </row>
    <row r="481" spans="1:4" x14ac:dyDescent="0.25">
      <c r="A481" s="1">
        <v>42832</v>
      </c>
      <c r="B481" t="s">
        <v>484</v>
      </c>
      <c r="C481" s="5">
        <f>VLOOKUP(B481,$J$14:$K$64,2,0)</f>
        <v>1530</v>
      </c>
      <c r="D481" t="str">
        <f t="shared" si="7"/>
        <v>Formales</v>
      </c>
    </row>
    <row r="482" spans="1:4" x14ac:dyDescent="0.25">
      <c r="A482" s="1">
        <v>43059</v>
      </c>
      <c r="B482" t="s">
        <v>545</v>
      </c>
      <c r="C482" s="5">
        <f>VLOOKUP(B482,$J$14:$K$64,2,0)</f>
        <v>1840.0000000000002</v>
      </c>
      <c r="D482" t="str">
        <f t="shared" si="7"/>
        <v>Botas</v>
      </c>
    </row>
    <row r="483" spans="1:4" x14ac:dyDescent="0.25">
      <c r="A483" s="1">
        <v>43024</v>
      </c>
      <c r="B483" t="s">
        <v>476</v>
      </c>
      <c r="C483" s="5">
        <f>VLOOKUP(B483,$J$14:$K$64,2,0)</f>
        <v>1590</v>
      </c>
      <c r="D483" t="str">
        <f t="shared" si="7"/>
        <v>Botas</v>
      </c>
    </row>
    <row r="484" spans="1:4" x14ac:dyDescent="0.25">
      <c r="A484" s="1">
        <v>43046</v>
      </c>
      <c r="B484" t="s">
        <v>445</v>
      </c>
      <c r="C484" s="5">
        <f>VLOOKUP(B484,$J$14:$K$64,2,0)</f>
        <v>1680</v>
      </c>
      <c r="D484" t="str">
        <f t="shared" si="7"/>
        <v>Deportivos</v>
      </c>
    </row>
    <row r="485" spans="1:4" x14ac:dyDescent="0.25">
      <c r="A485" s="1">
        <v>42965</v>
      </c>
      <c r="B485" t="s">
        <v>480</v>
      </c>
      <c r="C485" s="5">
        <f>VLOOKUP(B485,$J$14:$K$64,2,0)</f>
        <v>1750</v>
      </c>
      <c r="D485" t="str">
        <f t="shared" si="7"/>
        <v>Deportivos</v>
      </c>
    </row>
    <row r="486" spans="1:4" x14ac:dyDescent="0.25">
      <c r="A486" s="1">
        <v>42928</v>
      </c>
      <c r="B486" t="s">
        <v>482</v>
      </c>
      <c r="C486" s="5">
        <f>VLOOKUP(B486,$J$14:$K$64,2,0)</f>
        <v>1490</v>
      </c>
      <c r="D486" t="str">
        <f t="shared" si="7"/>
        <v>Formales</v>
      </c>
    </row>
    <row r="487" spans="1:4" x14ac:dyDescent="0.25">
      <c r="A487" s="1">
        <v>43031</v>
      </c>
      <c r="B487" t="s">
        <v>516</v>
      </c>
      <c r="C487" s="5">
        <f>VLOOKUP(B487,$J$14:$K$64,2,0)</f>
        <v>979.99999999999989</v>
      </c>
      <c r="D487" t="str">
        <f t="shared" si="7"/>
        <v>Casuales</v>
      </c>
    </row>
    <row r="488" spans="1:4" x14ac:dyDescent="0.25">
      <c r="A488" s="1">
        <v>42799</v>
      </c>
      <c r="B488" t="s">
        <v>484</v>
      </c>
      <c r="C488" s="5">
        <f>VLOOKUP(B488,$J$14:$K$64,2,0)</f>
        <v>1530</v>
      </c>
      <c r="D488" t="str">
        <f t="shared" si="7"/>
        <v>Formales</v>
      </c>
    </row>
    <row r="489" spans="1:4" x14ac:dyDescent="0.25">
      <c r="A489" s="1">
        <v>43005</v>
      </c>
      <c r="B489" t="s">
        <v>523</v>
      </c>
      <c r="C489" s="5">
        <f>VLOOKUP(B489,$J$14:$K$64,2,0)</f>
        <v>1050</v>
      </c>
      <c r="D489" t="str">
        <f t="shared" si="7"/>
        <v>Formales</v>
      </c>
    </row>
    <row r="490" spans="1:4" x14ac:dyDescent="0.25">
      <c r="A490" s="1">
        <v>42989</v>
      </c>
      <c r="B490" t="s">
        <v>518</v>
      </c>
      <c r="C490" s="5">
        <f>VLOOKUP(B490,$J$14:$K$64,2,0)</f>
        <v>1090</v>
      </c>
      <c r="D490" t="str">
        <f t="shared" si="7"/>
        <v>Casuales</v>
      </c>
    </row>
    <row r="491" spans="1:4" x14ac:dyDescent="0.25">
      <c r="A491" s="1">
        <v>43060</v>
      </c>
      <c r="B491" t="s">
        <v>510</v>
      </c>
      <c r="C491" s="5">
        <f>VLOOKUP(B491,$J$14:$K$64,2,0)</f>
        <v>969.99999999999989</v>
      </c>
      <c r="D491" t="str">
        <f t="shared" si="7"/>
        <v>Formales</v>
      </c>
    </row>
    <row r="492" spans="1:4" x14ac:dyDescent="0.25">
      <c r="A492" s="1">
        <v>42821</v>
      </c>
      <c r="B492" t="s">
        <v>456</v>
      </c>
      <c r="C492" s="5">
        <f>VLOOKUP(B492,$J$14:$K$64,2,0)</f>
        <v>1780</v>
      </c>
      <c r="D492" t="str">
        <f t="shared" si="7"/>
        <v>Formales</v>
      </c>
    </row>
    <row r="493" spans="1:4" x14ac:dyDescent="0.25">
      <c r="A493" s="1">
        <v>42808</v>
      </c>
      <c r="B493" t="s">
        <v>472</v>
      </c>
      <c r="C493" s="5">
        <f>VLOOKUP(B493,$J$14:$K$64,2,0)</f>
        <v>1710.0000000000002</v>
      </c>
      <c r="D493" t="str">
        <f t="shared" si="7"/>
        <v>Formales</v>
      </c>
    </row>
    <row r="494" spans="1:4" x14ac:dyDescent="0.25">
      <c r="A494" s="1">
        <v>43045</v>
      </c>
      <c r="B494" t="s">
        <v>480</v>
      </c>
      <c r="C494" s="5">
        <f>VLOOKUP(B494,$J$14:$K$64,2,0)</f>
        <v>1750</v>
      </c>
      <c r="D494" t="str">
        <f t="shared" si="7"/>
        <v>Deportivos</v>
      </c>
    </row>
    <row r="495" spans="1:4" x14ac:dyDescent="0.25">
      <c r="A495" s="1">
        <v>42841</v>
      </c>
      <c r="B495" t="s">
        <v>470</v>
      </c>
      <c r="C495" s="5">
        <f>VLOOKUP(B495,$J$14:$K$64,2,0)</f>
        <v>300</v>
      </c>
      <c r="D495" t="str">
        <f t="shared" si="7"/>
        <v>Sandalias</v>
      </c>
    </row>
    <row r="496" spans="1:4" x14ac:dyDescent="0.25">
      <c r="A496" s="1">
        <v>43070</v>
      </c>
      <c r="B496" t="s">
        <v>490</v>
      </c>
      <c r="C496" s="5">
        <f>VLOOKUP(B496,$J$14:$K$64,2,0)</f>
        <v>560</v>
      </c>
      <c r="D496" t="str">
        <f t="shared" si="7"/>
        <v>Sandalias</v>
      </c>
    </row>
    <row r="497" spans="1:4" x14ac:dyDescent="0.25">
      <c r="A497" s="1">
        <v>43054</v>
      </c>
      <c r="B497" t="s">
        <v>456</v>
      </c>
      <c r="C497" s="5">
        <f>VLOOKUP(B497,$J$14:$K$64,2,0)</f>
        <v>1780</v>
      </c>
      <c r="D497" t="str">
        <f t="shared" si="7"/>
        <v>Formales</v>
      </c>
    </row>
    <row r="498" spans="1:4" x14ac:dyDescent="0.25">
      <c r="A498" s="1">
        <v>43001</v>
      </c>
      <c r="B498" t="s">
        <v>488</v>
      </c>
      <c r="C498" s="5">
        <f>VLOOKUP(B498,$J$14:$K$64,2,0)</f>
        <v>819.99999999999989</v>
      </c>
      <c r="D498" t="str">
        <f t="shared" si="7"/>
        <v>Casuales</v>
      </c>
    </row>
    <row r="499" spans="1:4" x14ac:dyDescent="0.25">
      <c r="A499" s="1">
        <v>43094</v>
      </c>
      <c r="B499" t="s">
        <v>508</v>
      </c>
      <c r="C499" s="5">
        <f>VLOOKUP(B499,$J$14:$K$64,2,0)</f>
        <v>1100</v>
      </c>
      <c r="D499" t="str">
        <f t="shared" si="7"/>
        <v>Deportivos</v>
      </c>
    </row>
    <row r="500" spans="1:4" x14ac:dyDescent="0.25">
      <c r="A500" s="1">
        <v>42758</v>
      </c>
      <c r="B500" t="s">
        <v>474</v>
      </c>
      <c r="C500" s="5">
        <f>VLOOKUP(B500,$J$14:$K$64,2,0)</f>
        <v>1620.0000000000002</v>
      </c>
      <c r="D500" t="str">
        <f t="shared" si="7"/>
        <v>Formales</v>
      </c>
    </row>
    <row r="501" spans="1:4" x14ac:dyDescent="0.25">
      <c r="A501" s="1">
        <v>42921</v>
      </c>
      <c r="B501" t="s">
        <v>543</v>
      </c>
      <c r="C501" s="5">
        <f>VLOOKUP(B501,$J$14:$K$64,2,0)</f>
        <v>1710.0000000000002</v>
      </c>
      <c r="D501" t="str">
        <f t="shared" si="7"/>
        <v>Deportivos</v>
      </c>
    </row>
    <row r="502" spans="1:4" x14ac:dyDescent="0.25">
      <c r="A502" s="1">
        <v>42899</v>
      </c>
      <c r="B502" t="s">
        <v>508</v>
      </c>
      <c r="C502" s="5">
        <f>VLOOKUP(B502,$J$14:$K$64,2,0)</f>
        <v>1100</v>
      </c>
      <c r="D502" t="str">
        <f t="shared" si="7"/>
        <v>Deportivos</v>
      </c>
    </row>
    <row r="503" spans="1:4" x14ac:dyDescent="0.25">
      <c r="A503" s="1">
        <v>42927</v>
      </c>
      <c r="B503" t="s">
        <v>518</v>
      </c>
      <c r="C503" s="5">
        <f>VLOOKUP(B503,$J$14:$K$64,2,0)</f>
        <v>1090</v>
      </c>
      <c r="D503" t="str">
        <f t="shared" si="7"/>
        <v>Casuales</v>
      </c>
    </row>
    <row r="504" spans="1:4" x14ac:dyDescent="0.25">
      <c r="A504" s="1">
        <v>42878</v>
      </c>
      <c r="B504" t="s">
        <v>529</v>
      </c>
      <c r="C504" s="5">
        <f>VLOOKUP(B504,$J$14:$K$64,2,0)</f>
        <v>2480</v>
      </c>
      <c r="D504" t="str">
        <f t="shared" si="7"/>
        <v>Botas</v>
      </c>
    </row>
    <row r="505" spans="1:4" x14ac:dyDescent="0.25">
      <c r="A505" s="1">
        <v>42789</v>
      </c>
      <c r="B505" t="s">
        <v>518</v>
      </c>
      <c r="C505" s="5">
        <f>VLOOKUP(B505,$J$14:$K$64,2,0)</f>
        <v>1090</v>
      </c>
      <c r="D505" t="str">
        <f t="shared" si="7"/>
        <v>Casuales</v>
      </c>
    </row>
    <row r="506" spans="1:4" x14ac:dyDescent="0.25">
      <c r="A506" s="1">
        <v>43050</v>
      </c>
      <c r="B506" t="s">
        <v>516</v>
      </c>
      <c r="C506" s="5">
        <f>VLOOKUP(B506,$J$14:$K$64,2,0)</f>
        <v>979.99999999999989</v>
      </c>
      <c r="D506" t="str">
        <f t="shared" si="7"/>
        <v>Casuales</v>
      </c>
    </row>
    <row r="507" spans="1:4" x14ac:dyDescent="0.25">
      <c r="A507" s="1">
        <v>43023</v>
      </c>
      <c r="B507" t="s">
        <v>467</v>
      </c>
      <c r="C507" s="5">
        <f>VLOOKUP(B507,$J$14:$K$64,2,0)</f>
        <v>1130</v>
      </c>
      <c r="D507" t="str">
        <f t="shared" si="7"/>
        <v>Casuales</v>
      </c>
    </row>
    <row r="508" spans="1:4" x14ac:dyDescent="0.25">
      <c r="A508" s="1">
        <v>42993</v>
      </c>
      <c r="B508" t="s">
        <v>512</v>
      </c>
      <c r="C508" s="5">
        <f>VLOOKUP(B508,$J$14:$K$64,2,0)</f>
        <v>1050</v>
      </c>
      <c r="D508" t="str">
        <f t="shared" si="7"/>
        <v>Formales</v>
      </c>
    </row>
    <row r="509" spans="1:4" x14ac:dyDescent="0.25">
      <c r="A509" s="1">
        <v>43004</v>
      </c>
      <c r="B509" t="s">
        <v>533</v>
      </c>
      <c r="C509" s="5">
        <f>VLOOKUP(B509,$J$14:$K$64,2,0)</f>
        <v>1120</v>
      </c>
      <c r="D509" t="str">
        <f t="shared" si="7"/>
        <v>Formales</v>
      </c>
    </row>
    <row r="510" spans="1:4" x14ac:dyDescent="0.25">
      <c r="A510" s="1">
        <v>43086</v>
      </c>
      <c r="B510" t="s">
        <v>459</v>
      </c>
      <c r="C510" s="5">
        <f>VLOOKUP(B510,$J$14:$K$64,2,0)</f>
        <v>1640.0000000000002</v>
      </c>
      <c r="D510" t="str">
        <f t="shared" si="7"/>
        <v>Botas</v>
      </c>
    </row>
    <row r="511" spans="1:4" x14ac:dyDescent="0.25">
      <c r="A511" s="1">
        <v>42963</v>
      </c>
      <c r="B511" t="s">
        <v>535</v>
      </c>
      <c r="C511" s="5">
        <f>VLOOKUP(B511,$J$14:$K$64,2,0)</f>
        <v>1740.0000000000002</v>
      </c>
      <c r="D511" t="str">
        <f t="shared" si="7"/>
        <v>Formales</v>
      </c>
    </row>
    <row r="512" spans="1:4" x14ac:dyDescent="0.25">
      <c r="A512" s="1">
        <v>42845</v>
      </c>
      <c r="B512" t="s">
        <v>474</v>
      </c>
      <c r="C512" s="5">
        <f>VLOOKUP(B512,$J$14:$K$64,2,0)</f>
        <v>1620.0000000000002</v>
      </c>
      <c r="D512" t="str">
        <f t="shared" si="7"/>
        <v>Formales</v>
      </c>
    </row>
    <row r="513" spans="1:4" x14ac:dyDescent="0.25">
      <c r="A513" s="1">
        <v>43076</v>
      </c>
      <c r="B513" t="s">
        <v>465</v>
      </c>
      <c r="C513" s="5">
        <f>VLOOKUP(B513,$J$14:$K$64,2,0)</f>
        <v>1560</v>
      </c>
      <c r="D513" t="str">
        <f t="shared" si="7"/>
        <v>Botas</v>
      </c>
    </row>
    <row r="514" spans="1:4" x14ac:dyDescent="0.25">
      <c r="A514" s="1">
        <v>42787</v>
      </c>
      <c r="B514" t="s">
        <v>543</v>
      </c>
      <c r="C514" s="5">
        <f>VLOOKUP(B514,$J$14:$K$64,2,0)</f>
        <v>1710.0000000000002</v>
      </c>
      <c r="D514" t="str">
        <f t="shared" si="7"/>
        <v>Deportivos</v>
      </c>
    </row>
    <row r="515" spans="1:4" x14ac:dyDescent="0.25">
      <c r="A515" s="1">
        <v>43085</v>
      </c>
      <c r="B515" t="s">
        <v>521</v>
      </c>
      <c r="C515" s="5">
        <f>VLOOKUP(B515,$J$14:$K$64,2,0)</f>
        <v>1160</v>
      </c>
      <c r="D515" t="str">
        <f t="shared" si="7"/>
        <v>Casuales</v>
      </c>
    </row>
    <row r="516" spans="1:4" x14ac:dyDescent="0.25">
      <c r="A516" s="1">
        <v>42865</v>
      </c>
      <c r="B516" t="s">
        <v>456</v>
      </c>
      <c r="C516" s="5">
        <f>VLOOKUP(B516,$J$14:$K$64,2,0)</f>
        <v>1780</v>
      </c>
      <c r="D516" t="str">
        <f t="shared" si="7"/>
        <v>Formales</v>
      </c>
    </row>
    <row r="517" spans="1:4" x14ac:dyDescent="0.25">
      <c r="A517" s="1">
        <v>43071</v>
      </c>
      <c r="B517" t="s">
        <v>516</v>
      </c>
      <c r="C517" s="5">
        <f>VLOOKUP(B517,$J$14:$K$64,2,0)</f>
        <v>979.99999999999989</v>
      </c>
      <c r="D517" t="str">
        <f t="shared" si="7"/>
        <v>Casuales</v>
      </c>
    </row>
    <row r="518" spans="1:4" x14ac:dyDescent="0.25">
      <c r="A518" s="1">
        <v>42940</v>
      </c>
      <c r="B518" t="s">
        <v>527</v>
      </c>
      <c r="C518" s="5">
        <f>VLOOKUP(B518,$J$14:$K$64,2,0)</f>
        <v>1180</v>
      </c>
      <c r="D518" t="str">
        <f t="shared" si="7"/>
        <v>Formales</v>
      </c>
    </row>
    <row r="519" spans="1:4" x14ac:dyDescent="0.25">
      <c r="A519" s="1">
        <v>42947</v>
      </c>
      <c r="B519" t="s">
        <v>518</v>
      </c>
      <c r="C519" s="5">
        <f>VLOOKUP(B519,$J$14:$K$64,2,0)</f>
        <v>1090</v>
      </c>
      <c r="D519" t="str">
        <f t="shared" si="7"/>
        <v>Casuales</v>
      </c>
    </row>
    <row r="520" spans="1:4" x14ac:dyDescent="0.25">
      <c r="A520" s="1">
        <v>42740</v>
      </c>
      <c r="B520" t="s">
        <v>521</v>
      </c>
      <c r="C520" s="5">
        <f>VLOOKUP(B520,$J$14:$K$64,2,0)</f>
        <v>1160</v>
      </c>
      <c r="D520" t="str">
        <f t="shared" si="7"/>
        <v>Casuales</v>
      </c>
    </row>
    <row r="521" spans="1:4" x14ac:dyDescent="0.25">
      <c r="A521" s="1">
        <v>42958</v>
      </c>
      <c r="B521" t="s">
        <v>539</v>
      </c>
      <c r="C521" s="5">
        <f>VLOOKUP(B521,$J$14:$K$64,2,0)</f>
        <v>950</v>
      </c>
      <c r="D521" t="str">
        <f t="shared" si="7"/>
        <v>Casuales</v>
      </c>
    </row>
    <row r="522" spans="1:4" x14ac:dyDescent="0.25">
      <c r="A522" s="1">
        <v>42979</v>
      </c>
      <c r="B522" t="s">
        <v>459</v>
      </c>
      <c r="C522" s="5">
        <f>VLOOKUP(B522,$J$14:$K$64,2,0)</f>
        <v>1640.0000000000002</v>
      </c>
      <c r="D522" t="str">
        <f t="shared" si="7"/>
        <v>Botas</v>
      </c>
    </row>
    <row r="523" spans="1:4" x14ac:dyDescent="0.25">
      <c r="A523" s="1">
        <v>43041</v>
      </c>
      <c r="B523" t="s">
        <v>470</v>
      </c>
      <c r="C523" s="5">
        <f>VLOOKUP(B523,$J$14:$K$64,2,0)</f>
        <v>300</v>
      </c>
      <c r="D523" t="str">
        <f t="shared" si="7"/>
        <v>Sandalias</v>
      </c>
    </row>
    <row r="524" spans="1:4" x14ac:dyDescent="0.25">
      <c r="A524" s="1">
        <v>42870</v>
      </c>
      <c r="B524" t="s">
        <v>529</v>
      </c>
      <c r="C524" s="5">
        <f>VLOOKUP(B524,$J$14:$K$64,2,0)</f>
        <v>2480</v>
      </c>
      <c r="D524" t="str">
        <f t="shared" si="7"/>
        <v>Botas</v>
      </c>
    </row>
    <row r="525" spans="1:4" x14ac:dyDescent="0.25">
      <c r="A525" s="1">
        <v>42882</v>
      </c>
      <c r="B525" t="s">
        <v>463</v>
      </c>
      <c r="C525" s="5">
        <f>VLOOKUP(B525,$J$14:$K$64,2,0)</f>
        <v>940</v>
      </c>
      <c r="D525" t="str">
        <f t="shared" si="7"/>
        <v>Formales</v>
      </c>
    </row>
    <row r="526" spans="1:4" x14ac:dyDescent="0.25">
      <c r="A526" s="1">
        <v>43038</v>
      </c>
      <c r="B526" t="s">
        <v>451</v>
      </c>
      <c r="C526" s="5">
        <f>VLOOKUP(B526,$J$14:$K$64,2,0)</f>
        <v>350</v>
      </c>
      <c r="D526" t="str">
        <f t="shared" si="7"/>
        <v>Sandalias</v>
      </c>
    </row>
    <row r="527" spans="1:4" x14ac:dyDescent="0.25">
      <c r="A527" s="1">
        <v>43093</v>
      </c>
      <c r="B527" t="s">
        <v>547</v>
      </c>
      <c r="C527" s="5">
        <f>VLOOKUP(B527,$J$14:$K$64,2,0)</f>
        <v>1170</v>
      </c>
      <c r="D527" t="str">
        <f t="shared" si="7"/>
        <v>Formales</v>
      </c>
    </row>
    <row r="528" spans="1:4" x14ac:dyDescent="0.25">
      <c r="A528" s="1">
        <v>43034</v>
      </c>
      <c r="B528" t="s">
        <v>518</v>
      </c>
      <c r="C528" s="5">
        <f>VLOOKUP(B528,$J$14:$K$64,2,0)</f>
        <v>1090</v>
      </c>
      <c r="D528" t="str">
        <f t="shared" ref="D528:D591" si="8">VLOOKUP(B528,$J$14:$L$64,3,0)</f>
        <v>Casuales</v>
      </c>
    </row>
    <row r="529" spans="1:4" x14ac:dyDescent="0.25">
      <c r="A529" s="1">
        <v>43034</v>
      </c>
      <c r="B529" t="s">
        <v>456</v>
      </c>
      <c r="C529" s="5">
        <f>VLOOKUP(B529,$J$14:$K$64,2,0)</f>
        <v>1780</v>
      </c>
      <c r="D529" t="str">
        <f t="shared" si="8"/>
        <v>Formales</v>
      </c>
    </row>
    <row r="530" spans="1:4" x14ac:dyDescent="0.25">
      <c r="A530" s="1">
        <v>42776</v>
      </c>
      <c r="B530" t="s">
        <v>484</v>
      </c>
      <c r="C530" s="5">
        <f>VLOOKUP(B530,$J$14:$K$64,2,0)</f>
        <v>1530</v>
      </c>
      <c r="D530" t="str">
        <f t="shared" si="8"/>
        <v>Formales</v>
      </c>
    </row>
    <row r="531" spans="1:4" x14ac:dyDescent="0.25">
      <c r="A531" s="1">
        <v>42772</v>
      </c>
      <c r="B531" t="s">
        <v>529</v>
      </c>
      <c r="C531" s="5">
        <f>VLOOKUP(B531,$J$14:$K$64,2,0)</f>
        <v>2480</v>
      </c>
      <c r="D531" t="str">
        <f t="shared" si="8"/>
        <v>Botas</v>
      </c>
    </row>
    <row r="532" spans="1:4" x14ac:dyDescent="0.25">
      <c r="A532" s="1">
        <v>42761</v>
      </c>
      <c r="B532" t="s">
        <v>474</v>
      </c>
      <c r="C532" s="5">
        <f>VLOOKUP(B532,$J$14:$K$64,2,0)</f>
        <v>1620.0000000000002</v>
      </c>
      <c r="D532" t="str">
        <f t="shared" si="8"/>
        <v>Formales</v>
      </c>
    </row>
    <row r="533" spans="1:4" x14ac:dyDescent="0.25">
      <c r="A533" s="1">
        <v>42758</v>
      </c>
      <c r="B533" t="s">
        <v>533</v>
      </c>
      <c r="C533" s="5">
        <f>VLOOKUP(B533,$J$14:$K$64,2,0)</f>
        <v>1120</v>
      </c>
      <c r="D533" t="str">
        <f t="shared" si="8"/>
        <v>Formales</v>
      </c>
    </row>
    <row r="534" spans="1:4" x14ac:dyDescent="0.25">
      <c r="A534" s="1">
        <v>42962</v>
      </c>
      <c r="B534" t="s">
        <v>518</v>
      </c>
      <c r="C534" s="5">
        <f>VLOOKUP(B534,$J$14:$K$64,2,0)</f>
        <v>1090</v>
      </c>
      <c r="D534" t="str">
        <f t="shared" si="8"/>
        <v>Casuales</v>
      </c>
    </row>
    <row r="535" spans="1:4" x14ac:dyDescent="0.25">
      <c r="A535" s="1">
        <v>43020</v>
      </c>
      <c r="B535" t="s">
        <v>463</v>
      </c>
      <c r="C535" s="5">
        <f>VLOOKUP(B535,$J$14:$K$64,2,0)</f>
        <v>940</v>
      </c>
      <c r="D535" t="str">
        <f t="shared" si="8"/>
        <v>Formales</v>
      </c>
    </row>
    <row r="536" spans="1:4" x14ac:dyDescent="0.25">
      <c r="A536" s="1">
        <v>43033</v>
      </c>
      <c r="B536" t="s">
        <v>478</v>
      </c>
      <c r="C536" s="5">
        <f>VLOOKUP(B536,$J$14:$K$64,2,0)</f>
        <v>2130</v>
      </c>
      <c r="D536" t="str">
        <f t="shared" si="8"/>
        <v>Botas</v>
      </c>
    </row>
    <row r="537" spans="1:4" x14ac:dyDescent="0.25">
      <c r="A537" s="1">
        <v>42959</v>
      </c>
      <c r="B537" t="s">
        <v>461</v>
      </c>
      <c r="C537" s="5">
        <f>VLOOKUP(B537,$J$14:$K$64,2,0)</f>
        <v>619.99999999999989</v>
      </c>
      <c r="D537" t="str">
        <f t="shared" si="8"/>
        <v>Sandalias</v>
      </c>
    </row>
    <row r="538" spans="1:4" x14ac:dyDescent="0.25">
      <c r="A538" s="1">
        <v>42844</v>
      </c>
      <c r="B538" t="s">
        <v>472</v>
      </c>
      <c r="C538" s="5">
        <f>VLOOKUP(B538,$J$14:$K$64,2,0)</f>
        <v>1710.0000000000002</v>
      </c>
      <c r="D538" t="str">
        <f t="shared" si="8"/>
        <v>Formales</v>
      </c>
    </row>
    <row r="539" spans="1:4" x14ac:dyDescent="0.25">
      <c r="A539" s="1">
        <v>42984</v>
      </c>
      <c r="B539" t="s">
        <v>514</v>
      </c>
      <c r="C539" s="5">
        <f>VLOOKUP(B539,$J$14:$K$64,2,0)</f>
        <v>960</v>
      </c>
      <c r="D539" t="str">
        <f t="shared" si="8"/>
        <v>Casuales</v>
      </c>
    </row>
    <row r="540" spans="1:4" x14ac:dyDescent="0.25">
      <c r="A540" s="1">
        <v>42807</v>
      </c>
      <c r="B540" t="s">
        <v>502</v>
      </c>
      <c r="C540" s="5">
        <f>VLOOKUP(B540,$J$14:$K$64,2,0)</f>
        <v>869.99999999999989</v>
      </c>
      <c r="D540" t="str">
        <f t="shared" si="8"/>
        <v>Casuales</v>
      </c>
    </row>
    <row r="541" spans="1:4" x14ac:dyDescent="0.25">
      <c r="A541" s="1">
        <v>42987</v>
      </c>
      <c r="B541" t="s">
        <v>463</v>
      </c>
      <c r="C541" s="5">
        <f>VLOOKUP(B541,$J$14:$K$64,2,0)</f>
        <v>940</v>
      </c>
      <c r="D541" t="str">
        <f t="shared" si="8"/>
        <v>Formales</v>
      </c>
    </row>
    <row r="542" spans="1:4" x14ac:dyDescent="0.25">
      <c r="A542" s="1">
        <v>43019</v>
      </c>
      <c r="B542" t="s">
        <v>504</v>
      </c>
      <c r="C542" s="5">
        <f>VLOOKUP(B542,$J$14:$K$64,2,0)</f>
        <v>1700</v>
      </c>
      <c r="D542" t="str">
        <f t="shared" si="8"/>
        <v>Deportivos</v>
      </c>
    </row>
    <row r="543" spans="1:4" x14ac:dyDescent="0.25">
      <c r="A543" s="1">
        <v>42878</v>
      </c>
      <c r="B543" t="s">
        <v>467</v>
      </c>
      <c r="C543" s="5">
        <f>VLOOKUP(B543,$J$14:$K$64,2,0)</f>
        <v>1130</v>
      </c>
      <c r="D543" t="str">
        <f t="shared" si="8"/>
        <v>Casuales</v>
      </c>
    </row>
    <row r="544" spans="1:4" x14ac:dyDescent="0.25">
      <c r="A544" s="1">
        <v>42739</v>
      </c>
      <c r="B544" t="s">
        <v>541</v>
      </c>
      <c r="C544" s="5">
        <f>VLOOKUP(B544,$J$14:$K$64,2,0)</f>
        <v>1240</v>
      </c>
      <c r="D544" t="str">
        <f t="shared" si="8"/>
        <v>Formales</v>
      </c>
    </row>
    <row r="545" spans="1:4" x14ac:dyDescent="0.25">
      <c r="A545" s="1">
        <v>42824</v>
      </c>
      <c r="B545" t="s">
        <v>465</v>
      </c>
      <c r="C545" s="5">
        <f>VLOOKUP(B545,$J$14:$K$64,2,0)</f>
        <v>1560</v>
      </c>
      <c r="D545" t="str">
        <f t="shared" si="8"/>
        <v>Botas</v>
      </c>
    </row>
    <row r="546" spans="1:4" x14ac:dyDescent="0.25">
      <c r="A546" s="1">
        <v>42756</v>
      </c>
      <c r="B546" t="s">
        <v>525</v>
      </c>
      <c r="C546" s="5">
        <f>VLOOKUP(B546,$J$14:$K$64,2,0)</f>
        <v>2130</v>
      </c>
      <c r="D546" t="str">
        <f t="shared" si="8"/>
        <v>Botas</v>
      </c>
    </row>
    <row r="547" spans="1:4" x14ac:dyDescent="0.25">
      <c r="A547" s="1">
        <v>42916</v>
      </c>
      <c r="B547" t="s">
        <v>529</v>
      </c>
      <c r="C547" s="5">
        <f>VLOOKUP(B547,$J$14:$K$64,2,0)</f>
        <v>2480</v>
      </c>
      <c r="D547" t="str">
        <f t="shared" si="8"/>
        <v>Botas</v>
      </c>
    </row>
    <row r="548" spans="1:4" x14ac:dyDescent="0.25">
      <c r="A548" s="1">
        <v>43026</v>
      </c>
      <c r="B548" t="s">
        <v>504</v>
      </c>
      <c r="C548" s="5">
        <f>VLOOKUP(B548,$J$14:$K$64,2,0)</f>
        <v>1700</v>
      </c>
      <c r="D548" t="str">
        <f t="shared" si="8"/>
        <v>Deportivos</v>
      </c>
    </row>
    <row r="549" spans="1:4" x14ac:dyDescent="0.25">
      <c r="A549" s="1">
        <v>42820</v>
      </c>
      <c r="B549" t="s">
        <v>492</v>
      </c>
      <c r="C549" s="5">
        <f>VLOOKUP(B549,$J$14:$K$64,2,0)</f>
        <v>1500</v>
      </c>
      <c r="D549" t="str">
        <f t="shared" si="8"/>
        <v>Deportivos</v>
      </c>
    </row>
    <row r="550" spans="1:4" x14ac:dyDescent="0.25">
      <c r="A550" s="1">
        <v>42980</v>
      </c>
      <c r="B550" t="s">
        <v>521</v>
      </c>
      <c r="C550" s="5">
        <f>VLOOKUP(B550,$J$14:$K$64,2,0)</f>
        <v>1160</v>
      </c>
      <c r="D550" t="str">
        <f t="shared" si="8"/>
        <v>Casuales</v>
      </c>
    </row>
    <row r="551" spans="1:4" x14ac:dyDescent="0.25">
      <c r="A551" s="1">
        <v>42750</v>
      </c>
      <c r="B551" t="s">
        <v>529</v>
      </c>
      <c r="C551" s="5">
        <f>VLOOKUP(B551,$J$14:$K$64,2,0)</f>
        <v>2480</v>
      </c>
      <c r="D551" t="str">
        <f t="shared" si="8"/>
        <v>Botas</v>
      </c>
    </row>
    <row r="552" spans="1:4" x14ac:dyDescent="0.25">
      <c r="A552" s="1">
        <v>42974</v>
      </c>
      <c r="B552" t="s">
        <v>474</v>
      </c>
      <c r="C552" s="5">
        <f>VLOOKUP(B552,$J$14:$K$64,2,0)</f>
        <v>1620.0000000000002</v>
      </c>
      <c r="D552" t="str">
        <f t="shared" si="8"/>
        <v>Formales</v>
      </c>
    </row>
    <row r="553" spans="1:4" x14ac:dyDescent="0.25">
      <c r="A553" s="1">
        <v>42756</v>
      </c>
      <c r="B553" t="s">
        <v>488</v>
      </c>
      <c r="C553" s="5">
        <f>VLOOKUP(B553,$J$14:$K$64,2,0)</f>
        <v>819.99999999999989</v>
      </c>
      <c r="D553" t="str">
        <f t="shared" si="8"/>
        <v>Casuales</v>
      </c>
    </row>
    <row r="554" spans="1:4" x14ac:dyDescent="0.25">
      <c r="A554" s="1">
        <v>43055</v>
      </c>
      <c r="B554" t="s">
        <v>506</v>
      </c>
      <c r="C554" s="5">
        <f>VLOOKUP(B554,$J$14:$K$64,2,0)</f>
        <v>1230</v>
      </c>
      <c r="D554" t="str">
        <f t="shared" si="8"/>
        <v>Deportivos</v>
      </c>
    </row>
    <row r="555" spans="1:4" x14ac:dyDescent="0.25">
      <c r="A555" s="1">
        <v>42824</v>
      </c>
      <c r="B555" t="s">
        <v>527</v>
      </c>
      <c r="C555" s="5">
        <f>VLOOKUP(B555,$J$14:$K$64,2,0)</f>
        <v>1180</v>
      </c>
      <c r="D555" t="str">
        <f t="shared" si="8"/>
        <v>Formales</v>
      </c>
    </row>
    <row r="556" spans="1:4" x14ac:dyDescent="0.25">
      <c r="A556" s="1">
        <v>42961</v>
      </c>
      <c r="B556" t="s">
        <v>454</v>
      </c>
      <c r="C556" s="5">
        <f>VLOOKUP(B556,$J$14:$K$64,2,0)</f>
        <v>690</v>
      </c>
      <c r="D556" t="str">
        <f t="shared" si="8"/>
        <v>Sandalias</v>
      </c>
    </row>
    <row r="557" spans="1:4" x14ac:dyDescent="0.25">
      <c r="A557" s="1">
        <v>42756</v>
      </c>
      <c r="B557" t="s">
        <v>533</v>
      </c>
      <c r="C557" s="5">
        <f>VLOOKUP(B557,$J$14:$K$64,2,0)</f>
        <v>1120</v>
      </c>
      <c r="D557" t="str">
        <f t="shared" si="8"/>
        <v>Formales</v>
      </c>
    </row>
    <row r="558" spans="1:4" x14ac:dyDescent="0.25">
      <c r="A558" s="1">
        <v>43034</v>
      </c>
      <c r="B558" t="s">
        <v>492</v>
      </c>
      <c r="C558" s="5">
        <f>VLOOKUP(B558,$J$14:$K$64,2,0)</f>
        <v>1500</v>
      </c>
      <c r="D558" t="str">
        <f t="shared" si="8"/>
        <v>Deportivos</v>
      </c>
    </row>
    <row r="559" spans="1:4" x14ac:dyDescent="0.25">
      <c r="A559" s="1">
        <v>42795</v>
      </c>
      <c r="B559" t="s">
        <v>448</v>
      </c>
      <c r="C559" s="5">
        <f>VLOOKUP(B559,$J$14:$K$64,2,0)</f>
        <v>2260</v>
      </c>
      <c r="D559" t="str">
        <f t="shared" si="8"/>
        <v>Botas</v>
      </c>
    </row>
    <row r="560" spans="1:4" x14ac:dyDescent="0.25">
      <c r="A560" s="1">
        <v>43084</v>
      </c>
      <c r="B560" t="s">
        <v>472</v>
      </c>
      <c r="C560" s="5">
        <f>VLOOKUP(B560,$J$14:$K$64,2,0)</f>
        <v>1710.0000000000002</v>
      </c>
      <c r="D560" t="str">
        <f t="shared" si="8"/>
        <v>Formales</v>
      </c>
    </row>
    <row r="561" spans="1:4" x14ac:dyDescent="0.25">
      <c r="A561" s="1">
        <v>42945</v>
      </c>
      <c r="B561" t="s">
        <v>490</v>
      </c>
      <c r="C561" s="5">
        <f>VLOOKUP(B561,$J$14:$K$64,2,0)</f>
        <v>560</v>
      </c>
      <c r="D561" t="str">
        <f t="shared" si="8"/>
        <v>Sandalias</v>
      </c>
    </row>
    <row r="562" spans="1:4" x14ac:dyDescent="0.25">
      <c r="A562" s="1">
        <v>42870</v>
      </c>
      <c r="B562" t="s">
        <v>456</v>
      </c>
      <c r="C562" s="5">
        <f>VLOOKUP(B562,$J$14:$K$64,2,0)</f>
        <v>1780</v>
      </c>
      <c r="D562" t="str">
        <f t="shared" si="8"/>
        <v>Formales</v>
      </c>
    </row>
    <row r="563" spans="1:4" x14ac:dyDescent="0.25">
      <c r="A563" s="1">
        <v>42937</v>
      </c>
      <c r="B563" t="s">
        <v>461</v>
      </c>
      <c r="C563" s="5">
        <f>VLOOKUP(B563,$J$14:$K$64,2,0)</f>
        <v>619.99999999999989</v>
      </c>
      <c r="D563" t="str">
        <f t="shared" si="8"/>
        <v>Sandalias</v>
      </c>
    </row>
    <row r="564" spans="1:4" x14ac:dyDescent="0.25">
      <c r="A564" s="1">
        <v>43020</v>
      </c>
      <c r="B564" t="s">
        <v>445</v>
      </c>
      <c r="C564" s="5">
        <f>VLOOKUP(B564,$J$14:$K$64,2,0)</f>
        <v>1680</v>
      </c>
      <c r="D564" t="str">
        <f t="shared" si="8"/>
        <v>Deportivos</v>
      </c>
    </row>
    <row r="565" spans="1:4" x14ac:dyDescent="0.25">
      <c r="A565" s="1">
        <v>42926</v>
      </c>
      <c r="B565" t="s">
        <v>472</v>
      </c>
      <c r="C565" s="5">
        <f>VLOOKUP(B565,$J$14:$K$64,2,0)</f>
        <v>1710.0000000000002</v>
      </c>
      <c r="D565" t="str">
        <f t="shared" si="8"/>
        <v>Formales</v>
      </c>
    </row>
    <row r="566" spans="1:4" x14ac:dyDescent="0.25">
      <c r="A566" s="1">
        <v>43070</v>
      </c>
      <c r="B566" t="s">
        <v>454</v>
      </c>
      <c r="C566" s="5">
        <f>VLOOKUP(B566,$J$14:$K$64,2,0)</f>
        <v>690</v>
      </c>
      <c r="D566" t="str">
        <f t="shared" si="8"/>
        <v>Sandalias</v>
      </c>
    </row>
    <row r="567" spans="1:4" x14ac:dyDescent="0.25">
      <c r="A567" s="1">
        <v>42756</v>
      </c>
      <c r="B567" t="s">
        <v>474</v>
      </c>
      <c r="C567" s="5">
        <f>VLOOKUP(B567,$J$14:$K$64,2,0)</f>
        <v>1620.0000000000002</v>
      </c>
      <c r="D567" t="str">
        <f t="shared" si="8"/>
        <v>Formales</v>
      </c>
    </row>
    <row r="568" spans="1:4" x14ac:dyDescent="0.25">
      <c r="A568" s="1">
        <v>42919</v>
      </c>
      <c r="B568" t="s">
        <v>502</v>
      </c>
      <c r="C568" s="5">
        <f>VLOOKUP(B568,$J$14:$K$64,2,0)</f>
        <v>869.99999999999989</v>
      </c>
      <c r="D568" t="str">
        <f t="shared" si="8"/>
        <v>Casuales</v>
      </c>
    </row>
    <row r="569" spans="1:4" x14ac:dyDescent="0.25">
      <c r="A569" s="1">
        <v>42979</v>
      </c>
      <c r="B569" t="s">
        <v>504</v>
      </c>
      <c r="C569" s="5">
        <f>VLOOKUP(B569,$J$14:$K$64,2,0)</f>
        <v>1700</v>
      </c>
      <c r="D569" t="str">
        <f t="shared" si="8"/>
        <v>Deportivos</v>
      </c>
    </row>
    <row r="570" spans="1:4" x14ac:dyDescent="0.25">
      <c r="A570" s="1">
        <v>42876</v>
      </c>
      <c r="B570" t="s">
        <v>484</v>
      </c>
      <c r="C570" s="5">
        <f>VLOOKUP(B570,$J$14:$K$64,2,0)</f>
        <v>1530</v>
      </c>
      <c r="D570" t="str">
        <f t="shared" si="8"/>
        <v>Formales</v>
      </c>
    </row>
    <row r="571" spans="1:4" x14ac:dyDescent="0.25">
      <c r="A571" s="1">
        <v>42803</v>
      </c>
      <c r="B571" t="s">
        <v>461</v>
      </c>
      <c r="C571" s="5">
        <f>VLOOKUP(B571,$J$14:$K$64,2,0)</f>
        <v>619.99999999999989</v>
      </c>
      <c r="D571" t="str">
        <f t="shared" si="8"/>
        <v>Sandalias</v>
      </c>
    </row>
    <row r="572" spans="1:4" x14ac:dyDescent="0.25">
      <c r="A572" s="1">
        <v>42754</v>
      </c>
      <c r="B572" t="s">
        <v>506</v>
      </c>
      <c r="C572" s="5">
        <f>VLOOKUP(B572,$J$14:$K$64,2,0)</f>
        <v>1230</v>
      </c>
      <c r="D572" t="str">
        <f t="shared" si="8"/>
        <v>Deportivos</v>
      </c>
    </row>
    <row r="573" spans="1:4" x14ac:dyDescent="0.25">
      <c r="A573" s="1">
        <v>42889</v>
      </c>
      <c r="B573" t="s">
        <v>484</v>
      </c>
      <c r="C573" s="5">
        <f>VLOOKUP(B573,$J$14:$K$64,2,0)</f>
        <v>1530</v>
      </c>
      <c r="D573" t="str">
        <f t="shared" si="8"/>
        <v>Formales</v>
      </c>
    </row>
    <row r="574" spans="1:4" x14ac:dyDescent="0.25">
      <c r="A574" s="1">
        <v>42799</v>
      </c>
      <c r="B574" t="s">
        <v>484</v>
      </c>
      <c r="C574" s="5">
        <f>VLOOKUP(B574,$J$14:$K$64,2,0)</f>
        <v>1530</v>
      </c>
      <c r="D574" t="str">
        <f t="shared" si="8"/>
        <v>Formales</v>
      </c>
    </row>
    <row r="575" spans="1:4" x14ac:dyDescent="0.25">
      <c r="A575" s="1">
        <v>42968</v>
      </c>
      <c r="B575" t="s">
        <v>451</v>
      </c>
      <c r="C575" s="5">
        <f>VLOOKUP(B575,$J$14:$K$64,2,0)</f>
        <v>350</v>
      </c>
      <c r="D575" t="str">
        <f t="shared" si="8"/>
        <v>Sandalias</v>
      </c>
    </row>
    <row r="576" spans="1:4" x14ac:dyDescent="0.25">
      <c r="A576" s="1">
        <v>43090</v>
      </c>
      <c r="B576" t="s">
        <v>506</v>
      </c>
      <c r="C576" s="5">
        <f>VLOOKUP(B576,$J$14:$K$64,2,0)</f>
        <v>1230</v>
      </c>
      <c r="D576" t="str">
        <f t="shared" si="8"/>
        <v>Deportivos</v>
      </c>
    </row>
    <row r="577" spans="1:4" x14ac:dyDescent="0.25">
      <c r="A577" s="1">
        <v>42757</v>
      </c>
      <c r="B577" t="s">
        <v>518</v>
      </c>
      <c r="C577" s="5">
        <f>VLOOKUP(B577,$J$14:$K$64,2,0)</f>
        <v>1090</v>
      </c>
      <c r="D577" t="str">
        <f t="shared" si="8"/>
        <v>Casuales</v>
      </c>
    </row>
    <row r="578" spans="1:4" x14ac:dyDescent="0.25">
      <c r="A578" s="1">
        <v>42846</v>
      </c>
      <c r="B578" t="s">
        <v>486</v>
      </c>
      <c r="C578" s="5">
        <f>VLOOKUP(B578,$J$14:$K$64,2,0)</f>
        <v>2110</v>
      </c>
      <c r="D578" t="str">
        <f t="shared" si="8"/>
        <v>Botas</v>
      </c>
    </row>
    <row r="579" spans="1:4" x14ac:dyDescent="0.25">
      <c r="A579" s="1">
        <v>42882</v>
      </c>
      <c r="B579" t="s">
        <v>537</v>
      </c>
      <c r="C579" s="5">
        <f>VLOOKUP(B579,$J$14:$K$64,2,0)</f>
        <v>840</v>
      </c>
      <c r="D579" t="str">
        <f t="shared" si="8"/>
        <v>Formales</v>
      </c>
    </row>
    <row r="580" spans="1:4" x14ac:dyDescent="0.25">
      <c r="A580" s="1">
        <v>42919</v>
      </c>
      <c r="B580" t="s">
        <v>445</v>
      </c>
      <c r="C580" s="5">
        <f>VLOOKUP(B580,$J$14:$K$64,2,0)</f>
        <v>1680</v>
      </c>
      <c r="D580" t="str">
        <f t="shared" si="8"/>
        <v>Deportivos</v>
      </c>
    </row>
    <row r="581" spans="1:4" x14ac:dyDescent="0.25">
      <c r="A581" s="1">
        <v>42940</v>
      </c>
      <c r="B581" t="s">
        <v>506</v>
      </c>
      <c r="C581" s="5">
        <f>VLOOKUP(B581,$J$14:$K$64,2,0)</f>
        <v>1230</v>
      </c>
      <c r="D581" t="str">
        <f t="shared" si="8"/>
        <v>Deportivos</v>
      </c>
    </row>
    <row r="582" spans="1:4" x14ac:dyDescent="0.25">
      <c r="A582" s="1">
        <v>42803</v>
      </c>
      <c r="B582" t="s">
        <v>508</v>
      </c>
      <c r="C582" s="5">
        <f>VLOOKUP(B582,$J$14:$K$64,2,0)</f>
        <v>1100</v>
      </c>
      <c r="D582" t="str">
        <f t="shared" si="8"/>
        <v>Deportivos</v>
      </c>
    </row>
    <row r="583" spans="1:4" x14ac:dyDescent="0.25">
      <c r="A583" s="1">
        <v>42964</v>
      </c>
      <c r="B583" t="s">
        <v>521</v>
      </c>
      <c r="C583" s="5">
        <f>VLOOKUP(B583,$J$14:$K$64,2,0)</f>
        <v>1160</v>
      </c>
      <c r="D583" t="str">
        <f t="shared" si="8"/>
        <v>Casuales</v>
      </c>
    </row>
    <row r="584" spans="1:4" x14ac:dyDescent="0.25">
      <c r="A584" s="1">
        <v>43051</v>
      </c>
      <c r="B584" t="s">
        <v>510</v>
      </c>
      <c r="C584" s="5">
        <f>VLOOKUP(B584,$J$14:$K$64,2,0)</f>
        <v>969.99999999999989</v>
      </c>
      <c r="D584" t="str">
        <f t="shared" si="8"/>
        <v>Formales</v>
      </c>
    </row>
    <row r="585" spans="1:4" x14ac:dyDescent="0.25">
      <c r="A585" s="1">
        <v>42746</v>
      </c>
      <c r="B585" t="s">
        <v>478</v>
      </c>
      <c r="C585" s="5">
        <f>VLOOKUP(B585,$J$14:$K$64,2,0)</f>
        <v>2130</v>
      </c>
      <c r="D585" t="str">
        <f t="shared" si="8"/>
        <v>Botas</v>
      </c>
    </row>
    <row r="586" spans="1:4" x14ac:dyDescent="0.25">
      <c r="A586" s="1">
        <v>42882</v>
      </c>
      <c r="B586" t="s">
        <v>535</v>
      </c>
      <c r="C586" s="5">
        <f>VLOOKUP(B586,$J$14:$K$64,2,0)</f>
        <v>1740.0000000000002</v>
      </c>
      <c r="D586" t="str">
        <f t="shared" si="8"/>
        <v>Formales</v>
      </c>
    </row>
    <row r="587" spans="1:4" x14ac:dyDescent="0.25">
      <c r="A587" s="1">
        <v>42861</v>
      </c>
      <c r="B587" t="s">
        <v>504</v>
      </c>
      <c r="C587" s="5">
        <f>VLOOKUP(B587,$J$14:$K$64,2,0)</f>
        <v>1700</v>
      </c>
      <c r="D587" t="str">
        <f t="shared" si="8"/>
        <v>Deportivos</v>
      </c>
    </row>
    <row r="588" spans="1:4" x14ac:dyDescent="0.25">
      <c r="A588" s="1">
        <v>42768</v>
      </c>
      <c r="B588" t="s">
        <v>480</v>
      </c>
      <c r="C588" s="5">
        <f>VLOOKUP(B588,$J$14:$K$64,2,0)</f>
        <v>1750</v>
      </c>
      <c r="D588" t="str">
        <f t="shared" si="8"/>
        <v>Deportivos</v>
      </c>
    </row>
    <row r="589" spans="1:4" x14ac:dyDescent="0.25">
      <c r="A589" s="1">
        <v>42835</v>
      </c>
      <c r="B589" t="s">
        <v>484</v>
      </c>
      <c r="C589" s="5">
        <f>VLOOKUP(B589,$J$14:$K$64,2,0)</f>
        <v>1530</v>
      </c>
      <c r="D589" t="str">
        <f t="shared" si="8"/>
        <v>Formales</v>
      </c>
    </row>
    <row r="590" spans="1:4" x14ac:dyDescent="0.25">
      <c r="A590" s="1">
        <v>42786</v>
      </c>
      <c r="B590" t="s">
        <v>490</v>
      </c>
      <c r="C590" s="5">
        <f>VLOOKUP(B590,$J$14:$K$64,2,0)</f>
        <v>560</v>
      </c>
      <c r="D590" t="str">
        <f t="shared" si="8"/>
        <v>Sandalias</v>
      </c>
    </row>
    <row r="591" spans="1:4" x14ac:dyDescent="0.25">
      <c r="A591" s="1">
        <v>43052</v>
      </c>
      <c r="B591" t="s">
        <v>494</v>
      </c>
      <c r="C591" s="5">
        <f>VLOOKUP(B591,$J$14:$K$64,2,0)</f>
        <v>1480</v>
      </c>
      <c r="D591" t="str">
        <f t="shared" si="8"/>
        <v>Deportivos</v>
      </c>
    </row>
    <row r="592" spans="1:4" x14ac:dyDescent="0.25">
      <c r="A592" s="1">
        <v>42953</v>
      </c>
      <c r="B592" t="s">
        <v>490</v>
      </c>
      <c r="C592" s="5">
        <f>VLOOKUP(B592,$J$14:$K$64,2,0)</f>
        <v>560</v>
      </c>
      <c r="D592" t="str">
        <f t="shared" ref="D592:D655" si="9">VLOOKUP(B592,$J$14:$L$64,3,0)</f>
        <v>Sandalias</v>
      </c>
    </row>
    <row r="593" spans="1:4" x14ac:dyDescent="0.25">
      <c r="A593" s="1">
        <v>42943</v>
      </c>
      <c r="B593" t="s">
        <v>521</v>
      </c>
      <c r="C593" s="5">
        <f>VLOOKUP(B593,$J$14:$K$64,2,0)</f>
        <v>1160</v>
      </c>
      <c r="D593" t="str">
        <f t="shared" si="9"/>
        <v>Casuales</v>
      </c>
    </row>
    <row r="594" spans="1:4" x14ac:dyDescent="0.25">
      <c r="A594" s="1">
        <v>43016</v>
      </c>
      <c r="B594" t="s">
        <v>456</v>
      </c>
      <c r="C594" s="5">
        <f>VLOOKUP(B594,$J$14:$K$64,2,0)</f>
        <v>1780</v>
      </c>
      <c r="D594" t="str">
        <f t="shared" si="9"/>
        <v>Formales</v>
      </c>
    </row>
    <row r="595" spans="1:4" x14ac:dyDescent="0.25">
      <c r="A595" s="1">
        <v>42909</v>
      </c>
      <c r="B595" t="s">
        <v>478</v>
      </c>
      <c r="C595" s="5">
        <f>VLOOKUP(B595,$J$14:$K$64,2,0)</f>
        <v>2130</v>
      </c>
      <c r="D595" t="str">
        <f t="shared" si="9"/>
        <v>Botas</v>
      </c>
    </row>
    <row r="596" spans="1:4" x14ac:dyDescent="0.25">
      <c r="A596" s="1">
        <v>42935</v>
      </c>
      <c r="B596" t="s">
        <v>543</v>
      </c>
      <c r="C596" s="5">
        <f>VLOOKUP(B596,$J$14:$K$64,2,0)</f>
        <v>1710.0000000000002</v>
      </c>
      <c r="D596" t="str">
        <f t="shared" si="9"/>
        <v>Deportivos</v>
      </c>
    </row>
    <row r="597" spans="1:4" x14ac:dyDescent="0.25">
      <c r="A597" s="1">
        <v>42942</v>
      </c>
      <c r="B597" t="s">
        <v>500</v>
      </c>
      <c r="C597" s="5">
        <f>VLOOKUP(B597,$J$14:$K$64,2,0)</f>
        <v>1019.9999999999999</v>
      </c>
      <c r="D597" t="str">
        <f t="shared" si="9"/>
        <v>Casuales</v>
      </c>
    </row>
    <row r="598" spans="1:4" x14ac:dyDescent="0.25">
      <c r="A598" s="1">
        <v>42855</v>
      </c>
      <c r="B598" t="s">
        <v>508</v>
      </c>
      <c r="C598" s="5">
        <f>VLOOKUP(B598,$J$14:$K$64,2,0)</f>
        <v>1100</v>
      </c>
      <c r="D598" t="str">
        <f t="shared" si="9"/>
        <v>Deportivos</v>
      </c>
    </row>
    <row r="599" spans="1:4" x14ac:dyDescent="0.25">
      <c r="A599" s="1">
        <v>43002</v>
      </c>
      <c r="B599" t="s">
        <v>543</v>
      </c>
      <c r="C599" s="5">
        <f>VLOOKUP(B599,$J$14:$K$64,2,0)</f>
        <v>1710.0000000000002</v>
      </c>
      <c r="D599" t="str">
        <f t="shared" si="9"/>
        <v>Deportivos</v>
      </c>
    </row>
    <row r="600" spans="1:4" x14ac:dyDescent="0.25">
      <c r="A600" s="1">
        <v>42817</v>
      </c>
      <c r="B600" t="s">
        <v>510</v>
      </c>
      <c r="C600" s="5">
        <f>VLOOKUP(B600,$J$14:$K$64,2,0)</f>
        <v>969.99999999999989</v>
      </c>
      <c r="D600" t="str">
        <f t="shared" si="9"/>
        <v>Formales</v>
      </c>
    </row>
    <row r="601" spans="1:4" x14ac:dyDescent="0.25">
      <c r="A601" s="1">
        <v>42915</v>
      </c>
      <c r="B601" t="s">
        <v>516</v>
      </c>
      <c r="C601" s="5">
        <f>VLOOKUP(B601,$J$14:$K$64,2,0)</f>
        <v>979.99999999999989</v>
      </c>
      <c r="D601" t="str">
        <f t="shared" si="9"/>
        <v>Casuales</v>
      </c>
    </row>
    <row r="602" spans="1:4" x14ac:dyDescent="0.25">
      <c r="A602" s="1">
        <v>43082</v>
      </c>
      <c r="B602" t="s">
        <v>456</v>
      </c>
      <c r="C602" s="5">
        <f>VLOOKUP(B602,$J$14:$K$64,2,0)</f>
        <v>1780</v>
      </c>
      <c r="D602" t="str">
        <f t="shared" si="9"/>
        <v>Formales</v>
      </c>
    </row>
    <row r="603" spans="1:4" x14ac:dyDescent="0.25">
      <c r="A603" s="1">
        <v>42809</v>
      </c>
      <c r="B603" t="s">
        <v>512</v>
      </c>
      <c r="C603" s="5">
        <f>VLOOKUP(B603,$J$14:$K$64,2,0)</f>
        <v>1050</v>
      </c>
      <c r="D603" t="str">
        <f t="shared" si="9"/>
        <v>Formales</v>
      </c>
    </row>
    <row r="604" spans="1:4" x14ac:dyDescent="0.25">
      <c r="A604" s="1">
        <v>43095</v>
      </c>
      <c r="B604" t="s">
        <v>510</v>
      </c>
      <c r="C604" s="5">
        <f>VLOOKUP(B604,$J$14:$K$64,2,0)</f>
        <v>969.99999999999989</v>
      </c>
      <c r="D604" t="str">
        <f t="shared" si="9"/>
        <v>Formales</v>
      </c>
    </row>
    <row r="605" spans="1:4" x14ac:dyDescent="0.25">
      <c r="A605" s="1">
        <v>42865</v>
      </c>
      <c r="B605" t="s">
        <v>512</v>
      </c>
      <c r="C605" s="5">
        <f>VLOOKUP(B605,$J$14:$K$64,2,0)</f>
        <v>1050</v>
      </c>
      <c r="D605" t="str">
        <f t="shared" si="9"/>
        <v>Formales</v>
      </c>
    </row>
    <row r="606" spans="1:4" x14ac:dyDescent="0.25">
      <c r="A606" s="1">
        <v>42904</v>
      </c>
      <c r="B606" t="s">
        <v>502</v>
      </c>
      <c r="C606" s="5">
        <f>VLOOKUP(B606,$J$14:$K$64,2,0)</f>
        <v>869.99999999999989</v>
      </c>
      <c r="D606" t="str">
        <f t="shared" si="9"/>
        <v>Casuales</v>
      </c>
    </row>
    <row r="607" spans="1:4" x14ac:dyDescent="0.25">
      <c r="A607" s="1">
        <v>42750</v>
      </c>
      <c r="B607" t="s">
        <v>461</v>
      </c>
      <c r="C607" s="5">
        <f>VLOOKUP(B607,$J$14:$K$64,2,0)</f>
        <v>619.99999999999989</v>
      </c>
      <c r="D607" t="str">
        <f t="shared" si="9"/>
        <v>Sandalias</v>
      </c>
    </row>
    <row r="608" spans="1:4" x14ac:dyDescent="0.25">
      <c r="A608" s="1">
        <v>43092</v>
      </c>
      <c r="B608" t="s">
        <v>482</v>
      </c>
      <c r="C608" s="5">
        <f>VLOOKUP(B608,$J$14:$K$64,2,0)</f>
        <v>1490</v>
      </c>
      <c r="D608" t="str">
        <f t="shared" si="9"/>
        <v>Formales</v>
      </c>
    </row>
    <row r="609" spans="1:4" x14ac:dyDescent="0.25">
      <c r="A609" s="1">
        <v>43075</v>
      </c>
      <c r="B609" t="s">
        <v>463</v>
      </c>
      <c r="C609" s="5">
        <f>VLOOKUP(B609,$J$14:$K$64,2,0)</f>
        <v>940</v>
      </c>
      <c r="D609" t="str">
        <f t="shared" si="9"/>
        <v>Formales</v>
      </c>
    </row>
    <row r="610" spans="1:4" x14ac:dyDescent="0.25">
      <c r="A610" s="1">
        <v>43008</v>
      </c>
      <c r="B610" t="s">
        <v>476</v>
      </c>
      <c r="C610" s="5">
        <f>VLOOKUP(B610,$J$14:$K$64,2,0)</f>
        <v>1590</v>
      </c>
      <c r="D610" t="str">
        <f t="shared" si="9"/>
        <v>Botas</v>
      </c>
    </row>
    <row r="611" spans="1:4" x14ac:dyDescent="0.25">
      <c r="A611" s="1">
        <v>42979</v>
      </c>
      <c r="B611" t="s">
        <v>510</v>
      </c>
      <c r="C611" s="5">
        <f>VLOOKUP(B611,$J$14:$K$64,2,0)</f>
        <v>969.99999999999989</v>
      </c>
      <c r="D611" t="str">
        <f t="shared" si="9"/>
        <v>Formales</v>
      </c>
    </row>
    <row r="612" spans="1:4" x14ac:dyDescent="0.25">
      <c r="A612" s="1">
        <v>43003</v>
      </c>
      <c r="B612" t="s">
        <v>459</v>
      </c>
      <c r="C612" s="5">
        <f>VLOOKUP(B612,$J$14:$K$64,2,0)</f>
        <v>1640.0000000000002</v>
      </c>
      <c r="D612" t="str">
        <f t="shared" si="9"/>
        <v>Botas</v>
      </c>
    </row>
    <row r="613" spans="1:4" x14ac:dyDescent="0.25">
      <c r="A613" s="1">
        <v>42747</v>
      </c>
      <c r="B613" t="s">
        <v>525</v>
      </c>
      <c r="C613" s="5">
        <f>VLOOKUP(B613,$J$14:$K$64,2,0)</f>
        <v>2130</v>
      </c>
      <c r="D613" t="str">
        <f t="shared" si="9"/>
        <v>Botas</v>
      </c>
    </row>
    <row r="614" spans="1:4" x14ac:dyDescent="0.25">
      <c r="A614" s="1">
        <v>43094</v>
      </c>
      <c r="B614" t="s">
        <v>445</v>
      </c>
      <c r="C614" s="5">
        <f>VLOOKUP(B614,$J$14:$K$64,2,0)</f>
        <v>1680</v>
      </c>
      <c r="D614" t="str">
        <f t="shared" si="9"/>
        <v>Deportivos</v>
      </c>
    </row>
    <row r="615" spans="1:4" x14ac:dyDescent="0.25">
      <c r="A615" s="1">
        <v>42822</v>
      </c>
      <c r="B615" t="s">
        <v>516</v>
      </c>
      <c r="C615" s="5">
        <f>VLOOKUP(B615,$J$14:$K$64,2,0)</f>
        <v>979.99999999999989</v>
      </c>
      <c r="D615" t="str">
        <f t="shared" si="9"/>
        <v>Casuales</v>
      </c>
    </row>
    <row r="616" spans="1:4" x14ac:dyDescent="0.25">
      <c r="A616" s="1">
        <v>42938</v>
      </c>
      <c r="B616" t="s">
        <v>498</v>
      </c>
      <c r="C616" s="5">
        <f>VLOOKUP(B616,$J$14:$K$64,2,0)</f>
        <v>840</v>
      </c>
      <c r="D616" t="str">
        <f t="shared" si="9"/>
        <v>Deportivos</v>
      </c>
    </row>
    <row r="617" spans="1:4" x14ac:dyDescent="0.25">
      <c r="A617" s="1">
        <v>43024</v>
      </c>
      <c r="B617" t="s">
        <v>486</v>
      </c>
      <c r="C617" s="5">
        <f>VLOOKUP(B617,$J$14:$K$64,2,0)</f>
        <v>2110</v>
      </c>
      <c r="D617" t="str">
        <f t="shared" si="9"/>
        <v>Botas</v>
      </c>
    </row>
    <row r="618" spans="1:4" x14ac:dyDescent="0.25">
      <c r="A618" s="1">
        <v>42995</v>
      </c>
      <c r="B618" t="s">
        <v>502</v>
      </c>
      <c r="C618" s="5">
        <f>VLOOKUP(B618,$J$14:$K$64,2,0)</f>
        <v>869.99999999999989</v>
      </c>
      <c r="D618" t="str">
        <f t="shared" si="9"/>
        <v>Casuales</v>
      </c>
    </row>
    <row r="619" spans="1:4" x14ac:dyDescent="0.25">
      <c r="A619" s="1">
        <v>42919</v>
      </c>
      <c r="B619" t="s">
        <v>529</v>
      </c>
      <c r="C619" s="5">
        <f>VLOOKUP(B619,$J$14:$K$64,2,0)</f>
        <v>2480</v>
      </c>
      <c r="D619" t="str">
        <f t="shared" si="9"/>
        <v>Botas</v>
      </c>
    </row>
    <row r="620" spans="1:4" x14ac:dyDescent="0.25">
      <c r="A620" s="1">
        <v>42889</v>
      </c>
      <c r="B620" t="s">
        <v>492</v>
      </c>
      <c r="C620" s="5">
        <f>VLOOKUP(B620,$J$14:$K$64,2,0)</f>
        <v>1500</v>
      </c>
      <c r="D620" t="str">
        <f t="shared" si="9"/>
        <v>Deportivos</v>
      </c>
    </row>
    <row r="621" spans="1:4" x14ac:dyDescent="0.25">
      <c r="A621" s="1">
        <v>42924</v>
      </c>
      <c r="B621" t="s">
        <v>488</v>
      </c>
      <c r="C621" s="5">
        <f>VLOOKUP(B621,$J$14:$K$64,2,0)</f>
        <v>819.99999999999989</v>
      </c>
      <c r="D621" t="str">
        <f t="shared" si="9"/>
        <v>Casuales</v>
      </c>
    </row>
    <row r="622" spans="1:4" x14ac:dyDescent="0.25">
      <c r="A622" s="1">
        <v>43076</v>
      </c>
      <c r="B622" t="s">
        <v>488</v>
      </c>
      <c r="C622" s="5">
        <f>VLOOKUP(B622,$J$14:$K$64,2,0)</f>
        <v>819.99999999999989</v>
      </c>
      <c r="D622" t="str">
        <f t="shared" si="9"/>
        <v>Casuales</v>
      </c>
    </row>
    <row r="623" spans="1:4" x14ac:dyDescent="0.25">
      <c r="A623" s="1">
        <v>43039</v>
      </c>
      <c r="B623" t="s">
        <v>467</v>
      </c>
      <c r="C623" s="5">
        <f>VLOOKUP(B623,$J$14:$K$64,2,0)</f>
        <v>1130</v>
      </c>
      <c r="D623" t="str">
        <f t="shared" si="9"/>
        <v>Casuales</v>
      </c>
    </row>
    <row r="624" spans="1:4" x14ac:dyDescent="0.25">
      <c r="A624" s="1">
        <v>42787</v>
      </c>
      <c r="B624" t="s">
        <v>461</v>
      </c>
      <c r="C624" s="5">
        <f>VLOOKUP(B624,$J$14:$K$64,2,0)</f>
        <v>619.99999999999989</v>
      </c>
      <c r="D624" t="str">
        <f t="shared" si="9"/>
        <v>Sandalias</v>
      </c>
    </row>
    <row r="625" spans="1:4" x14ac:dyDescent="0.25">
      <c r="A625" s="1">
        <v>42882</v>
      </c>
      <c r="B625" t="s">
        <v>490</v>
      </c>
      <c r="C625" s="5">
        <f>VLOOKUP(B625,$J$14:$K$64,2,0)</f>
        <v>560</v>
      </c>
      <c r="D625" t="str">
        <f t="shared" si="9"/>
        <v>Sandalias</v>
      </c>
    </row>
    <row r="626" spans="1:4" x14ac:dyDescent="0.25">
      <c r="A626" s="1">
        <v>42936</v>
      </c>
      <c r="B626" t="s">
        <v>454</v>
      </c>
      <c r="C626" s="5">
        <f>VLOOKUP(B626,$J$14:$K$64,2,0)</f>
        <v>690</v>
      </c>
      <c r="D626" t="str">
        <f t="shared" si="9"/>
        <v>Sandalias</v>
      </c>
    </row>
    <row r="627" spans="1:4" x14ac:dyDescent="0.25">
      <c r="A627" s="1">
        <v>42934</v>
      </c>
      <c r="B627" t="s">
        <v>496</v>
      </c>
      <c r="C627" s="5">
        <f>VLOOKUP(B627,$J$14:$K$64,2,0)</f>
        <v>1040</v>
      </c>
      <c r="D627" t="str">
        <f t="shared" si="9"/>
        <v>Deportivos</v>
      </c>
    </row>
    <row r="628" spans="1:4" x14ac:dyDescent="0.25">
      <c r="A628" s="1">
        <v>43076</v>
      </c>
      <c r="B628" t="s">
        <v>510</v>
      </c>
      <c r="C628" s="5">
        <f>VLOOKUP(B628,$J$14:$K$64,2,0)</f>
        <v>969.99999999999989</v>
      </c>
      <c r="D628" t="str">
        <f t="shared" si="9"/>
        <v>Formales</v>
      </c>
    </row>
    <row r="629" spans="1:4" x14ac:dyDescent="0.25">
      <c r="A629" s="1">
        <v>42760</v>
      </c>
      <c r="B629" t="s">
        <v>502</v>
      </c>
      <c r="C629" s="5">
        <f>VLOOKUP(B629,$J$14:$K$64,2,0)</f>
        <v>869.99999999999989</v>
      </c>
      <c r="D629" t="str">
        <f t="shared" si="9"/>
        <v>Casuales</v>
      </c>
    </row>
    <row r="630" spans="1:4" x14ac:dyDescent="0.25">
      <c r="A630" s="1">
        <v>42977</v>
      </c>
      <c r="B630" t="s">
        <v>490</v>
      </c>
      <c r="C630" s="5">
        <f>VLOOKUP(B630,$J$14:$K$64,2,0)</f>
        <v>560</v>
      </c>
      <c r="D630" t="str">
        <f t="shared" si="9"/>
        <v>Sandalias</v>
      </c>
    </row>
    <row r="631" spans="1:4" x14ac:dyDescent="0.25">
      <c r="A631" s="1">
        <v>42885</v>
      </c>
      <c r="B631" t="s">
        <v>454</v>
      </c>
      <c r="C631" s="5">
        <f>VLOOKUP(B631,$J$14:$K$64,2,0)</f>
        <v>690</v>
      </c>
      <c r="D631" t="str">
        <f t="shared" si="9"/>
        <v>Sandalias</v>
      </c>
    </row>
    <row r="632" spans="1:4" x14ac:dyDescent="0.25">
      <c r="A632" s="1">
        <v>43100</v>
      </c>
      <c r="B632" t="s">
        <v>506</v>
      </c>
      <c r="C632" s="5">
        <f>VLOOKUP(B632,$J$14:$K$64,2,0)</f>
        <v>1230</v>
      </c>
      <c r="D632" t="str">
        <f t="shared" si="9"/>
        <v>Deportivos</v>
      </c>
    </row>
    <row r="633" spans="1:4" x14ac:dyDescent="0.25">
      <c r="A633" s="1">
        <v>42934</v>
      </c>
      <c r="B633" t="s">
        <v>506</v>
      </c>
      <c r="C633" s="5">
        <f>VLOOKUP(B633,$J$14:$K$64,2,0)</f>
        <v>1230</v>
      </c>
      <c r="D633" t="str">
        <f t="shared" si="9"/>
        <v>Deportivos</v>
      </c>
    </row>
    <row r="634" spans="1:4" x14ac:dyDescent="0.25">
      <c r="A634" s="1">
        <v>42967</v>
      </c>
      <c r="B634" t="s">
        <v>502</v>
      </c>
      <c r="C634" s="5">
        <f>VLOOKUP(B634,$J$14:$K$64,2,0)</f>
        <v>869.99999999999989</v>
      </c>
      <c r="D634" t="str">
        <f t="shared" si="9"/>
        <v>Casuales</v>
      </c>
    </row>
    <row r="635" spans="1:4" x14ac:dyDescent="0.25">
      <c r="A635" s="1">
        <v>42782</v>
      </c>
      <c r="B635" t="s">
        <v>514</v>
      </c>
      <c r="C635" s="5">
        <f>VLOOKUP(B635,$J$14:$K$64,2,0)</f>
        <v>960</v>
      </c>
      <c r="D635" t="str">
        <f t="shared" si="9"/>
        <v>Casuales</v>
      </c>
    </row>
    <row r="636" spans="1:4" x14ac:dyDescent="0.25">
      <c r="A636" s="1">
        <v>42881</v>
      </c>
      <c r="B636" t="s">
        <v>539</v>
      </c>
      <c r="C636" s="5">
        <f>VLOOKUP(B636,$J$14:$K$64,2,0)</f>
        <v>950</v>
      </c>
      <c r="D636" t="str">
        <f t="shared" si="9"/>
        <v>Casuales</v>
      </c>
    </row>
    <row r="637" spans="1:4" x14ac:dyDescent="0.25">
      <c r="A637" s="1">
        <v>42897</v>
      </c>
      <c r="B637" t="s">
        <v>459</v>
      </c>
      <c r="C637" s="5">
        <f>VLOOKUP(B637,$J$14:$K$64,2,0)</f>
        <v>1640.0000000000002</v>
      </c>
      <c r="D637" t="str">
        <f t="shared" si="9"/>
        <v>Botas</v>
      </c>
    </row>
    <row r="638" spans="1:4" x14ac:dyDescent="0.25">
      <c r="A638" s="1">
        <v>43089</v>
      </c>
      <c r="B638" t="s">
        <v>518</v>
      </c>
      <c r="C638" s="5">
        <f>VLOOKUP(B638,$J$14:$K$64,2,0)</f>
        <v>1090</v>
      </c>
      <c r="D638" t="str">
        <f t="shared" si="9"/>
        <v>Casuales</v>
      </c>
    </row>
    <row r="639" spans="1:4" x14ac:dyDescent="0.25">
      <c r="A639" s="1">
        <v>42973</v>
      </c>
      <c r="B639" t="s">
        <v>459</v>
      </c>
      <c r="C639" s="5">
        <f>VLOOKUP(B639,$J$14:$K$64,2,0)</f>
        <v>1640.0000000000002</v>
      </c>
      <c r="D639" t="str">
        <f t="shared" si="9"/>
        <v>Botas</v>
      </c>
    </row>
    <row r="640" spans="1:4" x14ac:dyDescent="0.25">
      <c r="A640" s="1">
        <v>42952</v>
      </c>
      <c r="B640" t="s">
        <v>461</v>
      </c>
      <c r="C640" s="5">
        <f>VLOOKUP(B640,$J$14:$K$64,2,0)</f>
        <v>619.99999999999989</v>
      </c>
      <c r="D640" t="str">
        <f t="shared" si="9"/>
        <v>Sandalias</v>
      </c>
    </row>
    <row r="641" spans="1:4" x14ac:dyDescent="0.25">
      <c r="A641" s="1">
        <v>42802</v>
      </c>
      <c r="B641" t="s">
        <v>506</v>
      </c>
      <c r="C641" s="5">
        <f>VLOOKUP(B641,$J$14:$K$64,2,0)</f>
        <v>1230</v>
      </c>
      <c r="D641" t="str">
        <f t="shared" si="9"/>
        <v>Deportivos</v>
      </c>
    </row>
    <row r="642" spans="1:4" x14ac:dyDescent="0.25">
      <c r="A642" s="1">
        <v>42987</v>
      </c>
      <c r="B642" t="s">
        <v>445</v>
      </c>
      <c r="C642" s="5">
        <f>VLOOKUP(B642,$J$14:$K$64,2,0)</f>
        <v>1680</v>
      </c>
      <c r="D642" t="str">
        <f t="shared" si="9"/>
        <v>Deportivos</v>
      </c>
    </row>
    <row r="643" spans="1:4" x14ac:dyDescent="0.25">
      <c r="A643" s="1">
        <v>43069</v>
      </c>
      <c r="B643" t="s">
        <v>470</v>
      </c>
      <c r="C643" s="5">
        <f>VLOOKUP(B643,$J$14:$K$64,2,0)</f>
        <v>300</v>
      </c>
      <c r="D643" t="str">
        <f t="shared" si="9"/>
        <v>Sandalias</v>
      </c>
    </row>
    <row r="644" spans="1:4" x14ac:dyDescent="0.25">
      <c r="A644" s="1">
        <v>42752</v>
      </c>
      <c r="B644" t="s">
        <v>492</v>
      </c>
      <c r="C644" s="5">
        <f>VLOOKUP(B644,$J$14:$K$64,2,0)</f>
        <v>1500</v>
      </c>
      <c r="D644" t="str">
        <f t="shared" si="9"/>
        <v>Deportivos</v>
      </c>
    </row>
    <row r="645" spans="1:4" x14ac:dyDescent="0.25">
      <c r="A645" s="1">
        <v>42954</v>
      </c>
      <c r="B645" t="s">
        <v>514</v>
      </c>
      <c r="C645" s="5">
        <f>VLOOKUP(B645,$J$14:$K$64,2,0)</f>
        <v>960</v>
      </c>
      <c r="D645" t="str">
        <f t="shared" si="9"/>
        <v>Casuales</v>
      </c>
    </row>
    <row r="646" spans="1:4" x14ac:dyDescent="0.25">
      <c r="A646" s="1">
        <v>42883</v>
      </c>
      <c r="B646" t="s">
        <v>463</v>
      </c>
      <c r="C646" s="5">
        <f>VLOOKUP(B646,$J$14:$K$64,2,0)</f>
        <v>940</v>
      </c>
      <c r="D646" t="str">
        <f t="shared" si="9"/>
        <v>Formales</v>
      </c>
    </row>
    <row r="647" spans="1:4" x14ac:dyDescent="0.25">
      <c r="A647" s="1">
        <v>43033</v>
      </c>
      <c r="B647" t="s">
        <v>535</v>
      </c>
      <c r="C647" s="5">
        <f>VLOOKUP(B647,$J$14:$K$64,2,0)</f>
        <v>1740.0000000000002</v>
      </c>
      <c r="D647" t="str">
        <f t="shared" si="9"/>
        <v>Formales</v>
      </c>
    </row>
    <row r="648" spans="1:4" x14ac:dyDescent="0.25">
      <c r="A648" s="1">
        <v>42825</v>
      </c>
      <c r="B648" t="s">
        <v>467</v>
      </c>
      <c r="C648" s="5">
        <f>VLOOKUP(B648,$J$14:$K$64,2,0)</f>
        <v>1130</v>
      </c>
      <c r="D648" t="str">
        <f t="shared" si="9"/>
        <v>Casuales</v>
      </c>
    </row>
    <row r="649" spans="1:4" x14ac:dyDescent="0.25">
      <c r="A649" s="1">
        <v>42928</v>
      </c>
      <c r="B649" t="s">
        <v>480</v>
      </c>
      <c r="C649" s="5">
        <f>VLOOKUP(B649,$J$14:$K$64,2,0)</f>
        <v>1750</v>
      </c>
      <c r="D649" t="str">
        <f t="shared" si="9"/>
        <v>Deportivos</v>
      </c>
    </row>
    <row r="650" spans="1:4" x14ac:dyDescent="0.25">
      <c r="A650" s="1">
        <v>43101</v>
      </c>
      <c r="B650" t="s">
        <v>547</v>
      </c>
      <c r="C650" s="5">
        <f>VLOOKUP(B650,$J$14:$K$64,2,0)</f>
        <v>1170</v>
      </c>
      <c r="D650" t="str">
        <f t="shared" si="9"/>
        <v>Formales</v>
      </c>
    </row>
    <row r="651" spans="1:4" x14ac:dyDescent="0.25">
      <c r="A651" s="1">
        <v>43021</v>
      </c>
      <c r="B651" t="s">
        <v>510</v>
      </c>
      <c r="C651" s="5">
        <f>VLOOKUP(B651,$J$14:$K$64,2,0)</f>
        <v>969.99999999999989</v>
      </c>
      <c r="D651" t="str">
        <f t="shared" si="9"/>
        <v>Formales</v>
      </c>
    </row>
    <row r="652" spans="1:4" x14ac:dyDescent="0.25">
      <c r="A652" s="1">
        <v>42851</v>
      </c>
      <c r="B652" t="s">
        <v>478</v>
      </c>
      <c r="C652" s="5">
        <f>VLOOKUP(B652,$J$14:$K$64,2,0)</f>
        <v>2130</v>
      </c>
      <c r="D652" t="str">
        <f t="shared" si="9"/>
        <v>Botas</v>
      </c>
    </row>
    <row r="653" spans="1:4" x14ac:dyDescent="0.25">
      <c r="A653" s="1">
        <v>43101</v>
      </c>
      <c r="B653" t="s">
        <v>506</v>
      </c>
      <c r="C653" s="5">
        <f>VLOOKUP(B653,$J$14:$K$64,2,0)</f>
        <v>1230</v>
      </c>
      <c r="D653" t="str">
        <f t="shared" si="9"/>
        <v>Deportivos</v>
      </c>
    </row>
    <row r="654" spans="1:4" x14ac:dyDescent="0.25">
      <c r="A654" s="1">
        <v>43058</v>
      </c>
      <c r="B654" t="s">
        <v>488</v>
      </c>
      <c r="C654" s="5">
        <f>VLOOKUP(B654,$J$14:$K$64,2,0)</f>
        <v>819.99999999999989</v>
      </c>
      <c r="D654" t="str">
        <f t="shared" si="9"/>
        <v>Casuales</v>
      </c>
    </row>
    <row r="655" spans="1:4" x14ac:dyDescent="0.25">
      <c r="A655" s="1">
        <v>42895</v>
      </c>
      <c r="B655" t="s">
        <v>451</v>
      </c>
      <c r="C655" s="5">
        <f>VLOOKUP(B655,$J$14:$K$64,2,0)</f>
        <v>350</v>
      </c>
      <c r="D655" t="str">
        <f t="shared" si="9"/>
        <v>Sandalias</v>
      </c>
    </row>
    <row r="656" spans="1:4" x14ac:dyDescent="0.25">
      <c r="A656" s="1">
        <v>43059</v>
      </c>
      <c r="B656" t="s">
        <v>459</v>
      </c>
      <c r="C656" s="5">
        <f>VLOOKUP(B656,$J$14:$K$64,2,0)</f>
        <v>1640.0000000000002</v>
      </c>
      <c r="D656" t="str">
        <f t="shared" ref="D656:D719" si="10">VLOOKUP(B656,$J$14:$L$64,3,0)</f>
        <v>Botas</v>
      </c>
    </row>
    <row r="657" spans="1:4" x14ac:dyDescent="0.25">
      <c r="A657" s="1">
        <v>42781</v>
      </c>
      <c r="B657" t="s">
        <v>496</v>
      </c>
      <c r="C657" s="5">
        <f>VLOOKUP(B657,$J$14:$K$64,2,0)</f>
        <v>1040</v>
      </c>
      <c r="D657" t="str">
        <f t="shared" si="10"/>
        <v>Deportivos</v>
      </c>
    </row>
    <row r="658" spans="1:4" x14ac:dyDescent="0.25">
      <c r="A658" s="1">
        <v>43045</v>
      </c>
      <c r="B658" t="s">
        <v>506</v>
      </c>
      <c r="C658" s="5">
        <f>VLOOKUP(B658,$J$14:$K$64,2,0)</f>
        <v>1230</v>
      </c>
      <c r="D658" t="str">
        <f t="shared" si="10"/>
        <v>Deportivos</v>
      </c>
    </row>
    <row r="659" spans="1:4" x14ac:dyDescent="0.25">
      <c r="A659" s="1">
        <v>43088</v>
      </c>
      <c r="B659" t="s">
        <v>492</v>
      </c>
      <c r="C659" s="5">
        <f>VLOOKUP(B659,$J$14:$K$64,2,0)</f>
        <v>1500</v>
      </c>
      <c r="D659" t="str">
        <f t="shared" si="10"/>
        <v>Deportivos</v>
      </c>
    </row>
    <row r="660" spans="1:4" x14ac:dyDescent="0.25">
      <c r="A660" s="1">
        <v>42776</v>
      </c>
      <c r="B660" t="s">
        <v>537</v>
      </c>
      <c r="C660" s="5">
        <f>VLOOKUP(B660,$J$14:$K$64,2,0)</f>
        <v>840</v>
      </c>
      <c r="D660" t="str">
        <f t="shared" si="10"/>
        <v>Formales</v>
      </c>
    </row>
    <row r="661" spans="1:4" x14ac:dyDescent="0.25">
      <c r="A661" s="1">
        <v>42948</v>
      </c>
      <c r="B661" t="s">
        <v>461</v>
      </c>
      <c r="C661" s="5">
        <f>VLOOKUP(B661,$J$14:$K$64,2,0)</f>
        <v>619.99999999999989</v>
      </c>
      <c r="D661" t="str">
        <f t="shared" si="10"/>
        <v>Sandalias</v>
      </c>
    </row>
    <row r="662" spans="1:4" x14ac:dyDescent="0.25">
      <c r="A662" s="1">
        <v>42847</v>
      </c>
      <c r="B662" t="s">
        <v>445</v>
      </c>
      <c r="C662" s="5">
        <f>VLOOKUP(B662,$J$14:$K$64,2,0)</f>
        <v>1680</v>
      </c>
      <c r="D662" t="str">
        <f t="shared" si="10"/>
        <v>Deportivos</v>
      </c>
    </row>
    <row r="663" spans="1:4" x14ac:dyDescent="0.25">
      <c r="A663" s="1">
        <v>42903</v>
      </c>
      <c r="B663" t="s">
        <v>500</v>
      </c>
      <c r="C663" s="5">
        <f>VLOOKUP(B663,$J$14:$K$64,2,0)</f>
        <v>1019.9999999999999</v>
      </c>
      <c r="D663" t="str">
        <f t="shared" si="10"/>
        <v>Casuales</v>
      </c>
    </row>
    <row r="664" spans="1:4" x14ac:dyDescent="0.25">
      <c r="A664" s="1">
        <v>42972</v>
      </c>
      <c r="B664" t="s">
        <v>486</v>
      </c>
      <c r="C664" s="5">
        <f>VLOOKUP(B664,$J$14:$K$64,2,0)</f>
        <v>2110</v>
      </c>
      <c r="D664" t="str">
        <f t="shared" si="10"/>
        <v>Botas</v>
      </c>
    </row>
    <row r="665" spans="1:4" x14ac:dyDescent="0.25">
      <c r="A665" s="1">
        <v>43002</v>
      </c>
      <c r="B665" t="s">
        <v>482</v>
      </c>
      <c r="C665" s="5">
        <f>VLOOKUP(B665,$J$14:$K$64,2,0)</f>
        <v>1490</v>
      </c>
      <c r="D665" t="str">
        <f t="shared" si="10"/>
        <v>Formales</v>
      </c>
    </row>
    <row r="666" spans="1:4" x14ac:dyDescent="0.25">
      <c r="A666" s="1">
        <v>43066</v>
      </c>
      <c r="B666" t="s">
        <v>504</v>
      </c>
      <c r="C666" s="5">
        <f>VLOOKUP(B666,$J$14:$K$64,2,0)</f>
        <v>1700</v>
      </c>
      <c r="D666" t="str">
        <f t="shared" si="10"/>
        <v>Deportivos</v>
      </c>
    </row>
    <row r="667" spans="1:4" x14ac:dyDescent="0.25">
      <c r="A667" s="1">
        <v>42854</v>
      </c>
      <c r="B667" t="s">
        <v>488</v>
      </c>
      <c r="C667" s="5">
        <f>VLOOKUP(B667,$J$14:$K$64,2,0)</f>
        <v>819.99999999999989</v>
      </c>
      <c r="D667" t="str">
        <f t="shared" si="10"/>
        <v>Casuales</v>
      </c>
    </row>
    <row r="668" spans="1:4" x14ac:dyDescent="0.25">
      <c r="A668" s="1">
        <v>42794</v>
      </c>
      <c r="B668" t="s">
        <v>476</v>
      </c>
      <c r="C668" s="5">
        <f>VLOOKUP(B668,$J$14:$K$64,2,0)</f>
        <v>1590</v>
      </c>
      <c r="D668" t="str">
        <f t="shared" si="10"/>
        <v>Botas</v>
      </c>
    </row>
    <row r="669" spans="1:4" x14ac:dyDescent="0.25">
      <c r="A669" s="1">
        <v>42873</v>
      </c>
      <c r="B669" t="s">
        <v>496</v>
      </c>
      <c r="C669" s="5">
        <f>VLOOKUP(B669,$J$14:$K$64,2,0)</f>
        <v>1040</v>
      </c>
      <c r="D669" t="str">
        <f t="shared" si="10"/>
        <v>Deportivos</v>
      </c>
    </row>
    <row r="670" spans="1:4" x14ac:dyDescent="0.25">
      <c r="A670" s="1">
        <v>43042</v>
      </c>
      <c r="B670" t="s">
        <v>537</v>
      </c>
      <c r="C670" s="5">
        <f>VLOOKUP(B670,$J$14:$K$64,2,0)</f>
        <v>840</v>
      </c>
      <c r="D670" t="str">
        <f t="shared" si="10"/>
        <v>Formales</v>
      </c>
    </row>
    <row r="671" spans="1:4" x14ac:dyDescent="0.25">
      <c r="A671" s="1">
        <v>43007</v>
      </c>
      <c r="B671" t="s">
        <v>448</v>
      </c>
      <c r="C671" s="5">
        <f>VLOOKUP(B671,$J$14:$K$64,2,0)</f>
        <v>2260</v>
      </c>
      <c r="D671" t="str">
        <f t="shared" si="10"/>
        <v>Botas</v>
      </c>
    </row>
    <row r="672" spans="1:4" x14ac:dyDescent="0.25">
      <c r="A672" s="1">
        <v>42982</v>
      </c>
      <c r="B672" t="s">
        <v>527</v>
      </c>
      <c r="C672" s="5">
        <f>VLOOKUP(B672,$J$14:$K$64,2,0)</f>
        <v>1180</v>
      </c>
      <c r="D672" t="str">
        <f t="shared" si="10"/>
        <v>Formales</v>
      </c>
    </row>
    <row r="673" spans="1:4" x14ac:dyDescent="0.25">
      <c r="A673" s="1">
        <v>42818</v>
      </c>
      <c r="B673" t="s">
        <v>547</v>
      </c>
      <c r="C673" s="5">
        <f>VLOOKUP(B673,$J$14:$K$64,2,0)</f>
        <v>1170</v>
      </c>
      <c r="D673" t="str">
        <f t="shared" si="10"/>
        <v>Formales</v>
      </c>
    </row>
    <row r="674" spans="1:4" x14ac:dyDescent="0.25">
      <c r="A674" s="1">
        <v>43073</v>
      </c>
      <c r="B674" t="s">
        <v>527</v>
      </c>
      <c r="C674" s="5">
        <f>VLOOKUP(B674,$J$14:$K$64,2,0)</f>
        <v>1180</v>
      </c>
      <c r="D674" t="str">
        <f t="shared" si="10"/>
        <v>Formales</v>
      </c>
    </row>
    <row r="675" spans="1:4" x14ac:dyDescent="0.25">
      <c r="A675" s="1">
        <v>42904</v>
      </c>
      <c r="B675" t="s">
        <v>448</v>
      </c>
      <c r="C675" s="5">
        <f>VLOOKUP(B675,$J$14:$K$64,2,0)</f>
        <v>2260</v>
      </c>
      <c r="D675" t="str">
        <f t="shared" si="10"/>
        <v>Botas</v>
      </c>
    </row>
    <row r="676" spans="1:4" x14ac:dyDescent="0.25">
      <c r="A676" s="1">
        <v>42906</v>
      </c>
      <c r="B676" t="s">
        <v>456</v>
      </c>
      <c r="C676" s="5">
        <f>VLOOKUP(B676,$J$14:$K$64,2,0)</f>
        <v>1780</v>
      </c>
      <c r="D676" t="str">
        <f t="shared" si="10"/>
        <v>Formales</v>
      </c>
    </row>
    <row r="677" spans="1:4" x14ac:dyDescent="0.25">
      <c r="A677" s="1">
        <v>42866</v>
      </c>
      <c r="B677" t="s">
        <v>531</v>
      </c>
      <c r="C677" s="5">
        <f>VLOOKUP(B677,$J$14:$K$64,2,0)</f>
        <v>1300</v>
      </c>
      <c r="D677" t="str">
        <f t="shared" si="10"/>
        <v>Casuales</v>
      </c>
    </row>
    <row r="678" spans="1:4" x14ac:dyDescent="0.25">
      <c r="A678" s="1">
        <v>42759</v>
      </c>
      <c r="B678" t="s">
        <v>506</v>
      </c>
      <c r="C678" s="5">
        <f>VLOOKUP(B678,$J$14:$K$64,2,0)</f>
        <v>1230</v>
      </c>
      <c r="D678" t="str">
        <f t="shared" si="10"/>
        <v>Deportivos</v>
      </c>
    </row>
    <row r="679" spans="1:4" x14ac:dyDescent="0.25">
      <c r="A679" s="1">
        <v>42847</v>
      </c>
      <c r="B679" t="s">
        <v>518</v>
      </c>
      <c r="C679" s="5">
        <f>VLOOKUP(B679,$J$14:$K$64,2,0)</f>
        <v>1090</v>
      </c>
      <c r="D679" t="str">
        <f t="shared" si="10"/>
        <v>Casuales</v>
      </c>
    </row>
    <row r="680" spans="1:4" x14ac:dyDescent="0.25">
      <c r="A680" s="1">
        <v>43080</v>
      </c>
      <c r="B680" t="s">
        <v>508</v>
      </c>
      <c r="C680" s="5">
        <f>VLOOKUP(B680,$J$14:$K$64,2,0)</f>
        <v>1100</v>
      </c>
      <c r="D680" t="str">
        <f t="shared" si="10"/>
        <v>Deportivos</v>
      </c>
    </row>
    <row r="681" spans="1:4" x14ac:dyDescent="0.25">
      <c r="A681" s="1">
        <v>43013</v>
      </c>
      <c r="B681" t="s">
        <v>547</v>
      </c>
      <c r="C681" s="5">
        <f>VLOOKUP(B681,$J$14:$K$64,2,0)</f>
        <v>1170</v>
      </c>
      <c r="D681" t="str">
        <f t="shared" si="10"/>
        <v>Formales</v>
      </c>
    </row>
    <row r="682" spans="1:4" x14ac:dyDescent="0.25">
      <c r="A682" s="1">
        <v>43068</v>
      </c>
      <c r="B682" t="s">
        <v>488</v>
      </c>
      <c r="C682" s="5">
        <f>VLOOKUP(B682,$J$14:$K$64,2,0)</f>
        <v>819.99999999999989</v>
      </c>
      <c r="D682" t="str">
        <f t="shared" si="10"/>
        <v>Casuales</v>
      </c>
    </row>
    <row r="683" spans="1:4" x14ac:dyDescent="0.25">
      <c r="A683" s="1">
        <v>42835</v>
      </c>
      <c r="B683" t="s">
        <v>535</v>
      </c>
      <c r="C683" s="5">
        <f>VLOOKUP(B683,$J$14:$K$64,2,0)</f>
        <v>1740.0000000000002</v>
      </c>
      <c r="D683" t="str">
        <f t="shared" si="10"/>
        <v>Formales</v>
      </c>
    </row>
    <row r="684" spans="1:4" x14ac:dyDescent="0.25">
      <c r="A684" s="1">
        <v>43092</v>
      </c>
      <c r="B684" t="s">
        <v>502</v>
      </c>
      <c r="C684" s="5">
        <f>VLOOKUP(B684,$J$14:$K$64,2,0)</f>
        <v>869.99999999999989</v>
      </c>
      <c r="D684" t="str">
        <f t="shared" si="10"/>
        <v>Casuales</v>
      </c>
    </row>
    <row r="685" spans="1:4" x14ac:dyDescent="0.25">
      <c r="A685" s="1">
        <v>42870</v>
      </c>
      <c r="B685" t="s">
        <v>448</v>
      </c>
      <c r="C685" s="5">
        <f>VLOOKUP(B685,$J$14:$K$64,2,0)</f>
        <v>2260</v>
      </c>
      <c r="D685" t="str">
        <f t="shared" si="10"/>
        <v>Botas</v>
      </c>
    </row>
    <row r="686" spans="1:4" x14ac:dyDescent="0.25">
      <c r="A686" s="1">
        <v>42974</v>
      </c>
      <c r="B686" t="s">
        <v>488</v>
      </c>
      <c r="C686" s="5">
        <f>VLOOKUP(B686,$J$14:$K$64,2,0)</f>
        <v>819.99999999999989</v>
      </c>
      <c r="D686" t="str">
        <f t="shared" si="10"/>
        <v>Casuales</v>
      </c>
    </row>
    <row r="687" spans="1:4" x14ac:dyDescent="0.25">
      <c r="A687" s="1">
        <v>42749</v>
      </c>
      <c r="B687" t="s">
        <v>514</v>
      </c>
      <c r="C687" s="5">
        <f>VLOOKUP(B687,$J$14:$K$64,2,0)</f>
        <v>960</v>
      </c>
      <c r="D687" t="str">
        <f t="shared" si="10"/>
        <v>Casuales</v>
      </c>
    </row>
    <row r="688" spans="1:4" x14ac:dyDescent="0.25">
      <c r="A688" s="1">
        <v>42759</v>
      </c>
      <c r="B688" t="s">
        <v>476</v>
      </c>
      <c r="C688" s="5">
        <f>VLOOKUP(B688,$J$14:$K$64,2,0)</f>
        <v>1590</v>
      </c>
      <c r="D688" t="str">
        <f t="shared" si="10"/>
        <v>Botas</v>
      </c>
    </row>
    <row r="689" spans="1:4" x14ac:dyDescent="0.25">
      <c r="A689" s="1">
        <v>43007</v>
      </c>
      <c r="B689" t="s">
        <v>500</v>
      </c>
      <c r="C689" s="5">
        <f>VLOOKUP(B689,$J$14:$K$64,2,0)</f>
        <v>1019.9999999999999</v>
      </c>
      <c r="D689" t="str">
        <f t="shared" si="10"/>
        <v>Casuales</v>
      </c>
    </row>
    <row r="690" spans="1:4" x14ac:dyDescent="0.25">
      <c r="A690" s="1">
        <v>42942</v>
      </c>
      <c r="B690" t="s">
        <v>504</v>
      </c>
      <c r="C690" s="5">
        <f>VLOOKUP(B690,$J$14:$K$64,2,0)</f>
        <v>1700</v>
      </c>
      <c r="D690" t="str">
        <f t="shared" si="10"/>
        <v>Deportivos</v>
      </c>
    </row>
    <row r="691" spans="1:4" x14ac:dyDescent="0.25">
      <c r="A691" s="1">
        <v>42825</v>
      </c>
      <c r="B691" t="s">
        <v>454</v>
      </c>
      <c r="C691" s="5">
        <f>VLOOKUP(B691,$J$14:$K$64,2,0)</f>
        <v>690</v>
      </c>
      <c r="D691" t="str">
        <f t="shared" si="10"/>
        <v>Sandalias</v>
      </c>
    </row>
    <row r="692" spans="1:4" x14ac:dyDescent="0.25">
      <c r="A692" s="1">
        <v>42763</v>
      </c>
      <c r="B692" t="s">
        <v>478</v>
      </c>
      <c r="C692" s="5">
        <f>VLOOKUP(B692,$J$14:$K$64,2,0)</f>
        <v>2130</v>
      </c>
      <c r="D692" t="str">
        <f t="shared" si="10"/>
        <v>Botas</v>
      </c>
    </row>
    <row r="693" spans="1:4" x14ac:dyDescent="0.25">
      <c r="A693" s="1">
        <v>42978</v>
      </c>
      <c r="B693" t="s">
        <v>490</v>
      </c>
      <c r="C693" s="5">
        <f>VLOOKUP(B693,$J$14:$K$64,2,0)</f>
        <v>560</v>
      </c>
      <c r="D693" t="str">
        <f t="shared" si="10"/>
        <v>Sandalias</v>
      </c>
    </row>
    <row r="694" spans="1:4" x14ac:dyDescent="0.25">
      <c r="A694" s="1">
        <v>42831</v>
      </c>
      <c r="B694" t="s">
        <v>492</v>
      </c>
      <c r="C694" s="5">
        <f>VLOOKUP(B694,$J$14:$K$64,2,0)</f>
        <v>1500</v>
      </c>
      <c r="D694" t="str">
        <f t="shared" si="10"/>
        <v>Deportivos</v>
      </c>
    </row>
    <row r="695" spans="1:4" x14ac:dyDescent="0.25">
      <c r="A695" s="1">
        <v>43069</v>
      </c>
      <c r="B695" t="s">
        <v>529</v>
      </c>
      <c r="C695" s="5">
        <f>VLOOKUP(B695,$J$14:$K$64,2,0)</f>
        <v>2480</v>
      </c>
      <c r="D695" t="str">
        <f t="shared" si="10"/>
        <v>Botas</v>
      </c>
    </row>
    <row r="696" spans="1:4" x14ac:dyDescent="0.25">
      <c r="A696" s="1">
        <v>42796</v>
      </c>
      <c r="B696" t="s">
        <v>486</v>
      </c>
      <c r="C696" s="5">
        <f>VLOOKUP(B696,$J$14:$K$64,2,0)</f>
        <v>2110</v>
      </c>
      <c r="D696" t="str">
        <f t="shared" si="10"/>
        <v>Botas</v>
      </c>
    </row>
    <row r="697" spans="1:4" x14ac:dyDescent="0.25">
      <c r="A697" s="1">
        <v>43097</v>
      </c>
      <c r="B697" t="s">
        <v>476</v>
      </c>
      <c r="C697" s="5">
        <f>VLOOKUP(B697,$J$14:$K$64,2,0)</f>
        <v>1590</v>
      </c>
      <c r="D697" t="str">
        <f t="shared" si="10"/>
        <v>Botas</v>
      </c>
    </row>
    <row r="698" spans="1:4" x14ac:dyDescent="0.25">
      <c r="A698" s="1">
        <v>42816</v>
      </c>
      <c r="B698" t="s">
        <v>502</v>
      </c>
      <c r="C698" s="5">
        <f>VLOOKUP(B698,$J$14:$K$64,2,0)</f>
        <v>869.99999999999989</v>
      </c>
      <c r="D698" t="str">
        <f t="shared" si="10"/>
        <v>Casuales</v>
      </c>
    </row>
    <row r="699" spans="1:4" x14ac:dyDescent="0.25">
      <c r="A699" s="1">
        <v>42807</v>
      </c>
      <c r="B699" t="s">
        <v>488</v>
      </c>
      <c r="C699" s="5">
        <f>VLOOKUP(B699,$J$14:$K$64,2,0)</f>
        <v>819.99999999999989</v>
      </c>
      <c r="D699" t="str">
        <f t="shared" si="10"/>
        <v>Casuales</v>
      </c>
    </row>
    <row r="700" spans="1:4" x14ac:dyDescent="0.25">
      <c r="A700" s="1">
        <v>42833</v>
      </c>
      <c r="B700" t="s">
        <v>480</v>
      </c>
      <c r="C700" s="5">
        <f>VLOOKUP(B700,$J$14:$K$64,2,0)</f>
        <v>1750</v>
      </c>
      <c r="D700" t="str">
        <f t="shared" si="10"/>
        <v>Deportivos</v>
      </c>
    </row>
    <row r="701" spans="1:4" x14ac:dyDescent="0.25">
      <c r="A701" s="1">
        <v>42856</v>
      </c>
      <c r="B701" t="s">
        <v>486</v>
      </c>
      <c r="C701" s="5">
        <f>VLOOKUP(B701,$J$14:$K$64,2,0)</f>
        <v>2110</v>
      </c>
      <c r="D701" t="str">
        <f t="shared" si="10"/>
        <v>Botas</v>
      </c>
    </row>
    <row r="702" spans="1:4" x14ac:dyDescent="0.25">
      <c r="A702" s="1">
        <v>42987</v>
      </c>
      <c r="B702" t="s">
        <v>459</v>
      </c>
      <c r="C702" s="5">
        <f>VLOOKUP(B702,$J$14:$K$64,2,0)</f>
        <v>1640.0000000000002</v>
      </c>
      <c r="D702" t="str">
        <f t="shared" si="10"/>
        <v>Botas</v>
      </c>
    </row>
    <row r="703" spans="1:4" x14ac:dyDescent="0.25">
      <c r="A703" s="1">
        <v>42764</v>
      </c>
      <c r="B703" t="s">
        <v>533</v>
      </c>
      <c r="C703" s="5">
        <f>VLOOKUP(B703,$J$14:$K$64,2,0)</f>
        <v>1120</v>
      </c>
      <c r="D703" t="str">
        <f t="shared" si="10"/>
        <v>Formales</v>
      </c>
    </row>
    <row r="704" spans="1:4" x14ac:dyDescent="0.25">
      <c r="A704" s="1">
        <v>43048</v>
      </c>
      <c r="B704" t="s">
        <v>510</v>
      </c>
      <c r="C704" s="5">
        <f>VLOOKUP(B704,$J$14:$K$64,2,0)</f>
        <v>969.99999999999989</v>
      </c>
      <c r="D704" t="str">
        <f t="shared" si="10"/>
        <v>Formales</v>
      </c>
    </row>
    <row r="705" spans="1:4" x14ac:dyDescent="0.25">
      <c r="A705" s="1">
        <v>42897</v>
      </c>
      <c r="B705" t="s">
        <v>472</v>
      </c>
      <c r="C705" s="5">
        <f>VLOOKUP(B705,$J$14:$K$64,2,0)</f>
        <v>1710.0000000000002</v>
      </c>
      <c r="D705" t="str">
        <f t="shared" si="10"/>
        <v>Formales</v>
      </c>
    </row>
    <row r="706" spans="1:4" x14ac:dyDescent="0.25">
      <c r="A706" s="1">
        <v>42931</v>
      </c>
      <c r="B706" t="s">
        <v>496</v>
      </c>
      <c r="C706" s="5">
        <f>VLOOKUP(B706,$J$14:$K$64,2,0)</f>
        <v>1040</v>
      </c>
      <c r="D706" t="str">
        <f t="shared" si="10"/>
        <v>Deportivos</v>
      </c>
    </row>
    <row r="707" spans="1:4" x14ac:dyDescent="0.25">
      <c r="A707" s="1">
        <v>43055</v>
      </c>
      <c r="B707" t="s">
        <v>498</v>
      </c>
      <c r="C707" s="5">
        <f>VLOOKUP(B707,$J$14:$K$64,2,0)</f>
        <v>840</v>
      </c>
      <c r="D707" t="str">
        <f t="shared" si="10"/>
        <v>Deportivos</v>
      </c>
    </row>
    <row r="708" spans="1:4" x14ac:dyDescent="0.25">
      <c r="A708" s="1">
        <v>42854</v>
      </c>
      <c r="B708" t="s">
        <v>537</v>
      </c>
      <c r="C708" s="5">
        <f>VLOOKUP(B708,$J$14:$K$64,2,0)</f>
        <v>840</v>
      </c>
      <c r="D708" t="str">
        <f t="shared" si="10"/>
        <v>Formales</v>
      </c>
    </row>
    <row r="709" spans="1:4" x14ac:dyDescent="0.25">
      <c r="A709" s="1">
        <v>42833</v>
      </c>
      <c r="B709" t="s">
        <v>494</v>
      </c>
      <c r="C709" s="5">
        <f>VLOOKUP(B709,$J$14:$K$64,2,0)</f>
        <v>1480</v>
      </c>
      <c r="D709" t="str">
        <f t="shared" si="10"/>
        <v>Deportivos</v>
      </c>
    </row>
    <row r="710" spans="1:4" x14ac:dyDescent="0.25">
      <c r="A710" s="1">
        <v>42884</v>
      </c>
      <c r="B710" t="s">
        <v>472</v>
      </c>
      <c r="C710" s="5">
        <f>VLOOKUP(B710,$J$14:$K$64,2,0)</f>
        <v>1710.0000000000002</v>
      </c>
      <c r="D710" t="str">
        <f t="shared" si="10"/>
        <v>Formales</v>
      </c>
    </row>
    <row r="711" spans="1:4" x14ac:dyDescent="0.25">
      <c r="A711" s="1">
        <v>43094</v>
      </c>
      <c r="B711" t="s">
        <v>523</v>
      </c>
      <c r="C711" s="5">
        <f>VLOOKUP(B711,$J$14:$K$64,2,0)</f>
        <v>1050</v>
      </c>
      <c r="D711" t="str">
        <f t="shared" si="10"/>
        <v>Formales</v>
      </c>
    </row>
    <row r="712" spans="1:4" x14ac:dyDescent="0.25">
      <c r="A712" s="1">
        <v>42829</v>
      </c>
      <c r="B712" t="s">
        <v>488</v>
      </c>
      <c r="C712" s="5">
        <f>VLOOKUP(B712,$J$14:$K$64,2,0)</f>
        <v>819.99999999999989</v>
      </c>
      <c r="D712" t="str">
        <f t="shared" si="10"/>
        <v>Casuales</v>
      </c>
    </row>
    <row r="713" spans="1:4" x14ac:dyDescent="0.25">
      <c r="A713" s="1">
        <v>43058</v>
      </c>
      <c r="B713" t="s">
        <v>454</v>
      </c>
      <c r="C713" s="5">
        <f>VLOOKUP(B713,$J$14:$K$64,2,0)</f>
        <v>690</v>
      </c>
      <c r="D713" t="str">
        <f t="shared" si="10"/>
        <v>Sandalias</v>
      </c>
    </row>
    <row r="714" spans="1:4" x14ac:dyDescent="0.25">
      <c r="A714" s="1">
        <v>42831</v>
      </c>
      <c r="B714" t="s">
        <v>537</v>
      </c>
      <c r="C714" s="5">
        <f>VLOOKUP(B714,$J$14:$K$64,2,0)</f>
        <v>840</v>
      </c>
      <c r="D714" t="str">
        <f t="shared" si="10"/>
        <v>Formales</v>
      </c>
    </row>
    <row r="715" spans="1:4" x14ac:dyDescent="0.25">
      <c r="A715" s="1">
        <v>42996</v>
      </c>
      <c r="B715" t="s">
        <v>518</v>
      </c>
      <c r="C715" s="5">
        <f>VLOOKUP(B715,$J$14:$K$64,2,0)</f>
        <v>1090</v>
      </c>
      <c r="D715" t="str">
        <f t="shared" si="10"/>
        <v>Casuales</v>
      </c>
    </row>
    <row r="716" spans="1:4" x14ac:dyDescent="0.25">
      <c r="A716" s="1">
        <v>43061</v>
      </c>
      <c r="B716" t="s">
        <v>488</v>
      </c>
      <c r="C716" s="5">
        <f>VLOOKUP(B716,$J$14:$K$64,2,0)</f>
        <v>819.99999999999989</v>
      </c>
      <c r="D716" t="str">
        <f t="shared" si="10"/>
        <v>Casuales</v>
      </c>
    </row>
    <row r="717" spans="1:4" x14ac:dyDescent="0.25">
      <c r="A717" s="1">
        <v>42871</v>
      </c>
      <c r="B717" t="s">
        <v>448</v>
      </c>
      <c r="C717" s="5">
        <f>VLOOKUP(B717,$J$14:$K$64,2,0)</f>
        <v>2260</v>
      </c>
      <c r="D717" t="str">
        <f t="shared" si="10"/>
        <v>Botas</v>
      </c>
    </row>
    <row r="718" spans="1:4" x14ac:dyDescent="0.25">
      <c r="A718" s="1">
        <v>42843</v>
      </c>
      <c r="B718" t="s">
        <v>547</v>
      </c>
      <c r="C718" s="5">
        <f>VLOOKUP(B718,$J$14:$K$64,2,0)</f>
        <v>1170</v>
      </c>
      <c r="D718" t="str">
        <f t="shared" si="10"/>
        <v>Formales</v>
      </c>
    </row>
    <row r="719" spans="1:4" x14ac:dyDescent="0.25">
      <c r="A719" s="1">
        <v>42763</v>
      </c>
      <c r="B719" t="s">
        <v>461</v>
      </c>
      <c r="C719" s="5">
        <f>VLOOKUP(B719,$J$14:$K$64,2,0)</f>
        <v>619.99999999999989</v>
      </c>
      <c r="D719" t="str">
        <f t="shared" si="10"/>
        <v>Sandalias</v>
      </c>
    </row>
    <row r="720" spans="1:4" x14ac:dyDescent="0.25">
      <c r="A720" s="1">
        <v>42808</v>
      </c>
      <c r="B720" t="s">
        <v>476</v>
      </c>
      <c r="C720" s="5">
        <f>VLOOKUP(B720,$J$14:$K$64,2,0)</f>
        <v>1590</v>
      </c>
      <c r="D720" t="str">
        <f t="shared" ref="D720:D783" si="11">VLOOKUP(B720,$J$14:$L$64,3,0)</f>
        <v>Botas</v>
      </c>
    </row>
    <row r="721" spans="1:4" x14ac:dyDescent="0.25">
      <c r="A721" s="1">
        <v>42998</v>
      </c>
      <c r="B721" t="s">
        <v>480</v>
      </c>
      <c r="C721" s="5">
        <f>VLOOKUP(B721,$J$14:$K$64,2,0)</f>
        <v>1750</v>
      </c>
      <c r="D721" t="str">
        <f t="shared" si="11"/>
        <v>Deportivos</v>
      </c>
    </row>
    <row r="722" spans="1:4" x14ac:dyDescent="0.25">
      <c r="A722" s="1">
        <v>42934</v>
      </c>
      <c r="B722" t="s">
        <v>547</v>
      </c>
      <c r="C722" s="5">
        <f>VLOOKUP(B722,$J$14:$K$64,2,0)</f>
        <v>1170</v>
      </c>
      <c r="D722" t="str">
        <f t="shared" si="11"/>
        <v>Formales</v>
      </c>
    </row>
    <row r="723" spans="1:4" x14ac:dyDescent="0.25">
      <c r="A723" s="1">
        <v>42813</v>
      </c>
      <c r="B723" t="s">
        <v>523</v>
      </c>
      <c r="C723" s="5">
        <f>VLOOKUP(B723,$J$14:$K$64,2,0)</f>
        <v>1050</v>
      </c>
      <c r="D723" t="str">
        <f t="shared" si="11"/>
        <v>Formales</v>
      </c>
    </row>
    <row r="724" spans="1:4" x14ac:dyDescent="0.25">
      <c r="A724" s="1">
        <v>42962</v>
      </c>
      <c r="B724" t="s">
        <v>476</v>
      </c>
      <c r="C724" s="5">
        <f>VLOOKUP(B724,$J$14:$K$64,2,0)</f>
        <v>1590</v>
      </c>
      <c r="D724" t="str">
        <f t="shared" si="11"/>
        <v>Botas</v>
      </c>
    </row>
    <row r="725" spans="1:4" x14ac:dyDescent="0.25">
      <c r="A725" s="1">
        <v>42943</v>
      </c>
      <c r="B725" t="s">
        <v>459</v>
      </c>
      <c r="C725" s="5">
        <f>VLOOKUP(B725,$J$14:$K$64,2,0)</f>
        <v>1640.0000000000002</v>
      </c>
      <c r="D725" t="str">
        <f t="shared" si="11"/>
        <v>Botas</v>
      </c>
    </row>
    <row r="726" spans="1:4" x14ac:dyDescent="0.25">
      <c r="A726" s="1">
        <v>42757</v>
      </c>
      <c r="B726" t="s">
        <v>523</v>
      </c>
      <c r="C726" s="5">
        <f>VLOOKUP(B726,$J$14:$K$64,2,0)</f>
        <v>1050</v>
      </c>
      <c r="D726" t="str">
        <f t="shared" si="11"/>
        <v>Formales</v>
      </c>
    </row>
    <row r="727" spans="1:4" x14ac:dyDescent="0.25">
      <c r="A727" s="1">
        <v>42910</v>
      </c>
      <c r="B727" t="s">
        <v>541</v>
      </c>
      <c r="C727" s="5">
        <f>VLOOKUP(B727,$J$14:$K$64,2,0)</f>
        <v>1240</v>
      </c>
      <c r="D727" t="str">
        <f t="shared" si="11"/>
        <v>Formales</v>
      </c>
    </row>
    <row r="728" spans="1:4" x14ac:dyDescent="0.25">
      <c r="A728" s="1">
        <v>42813</v>
      </c>
      <c r="B728" t="s">
        <v>492</v>
      </c>
      <c r="C728" s="5">
        <f>VLOOKUP(B728,$J$14:$K$64,2,0)</f>
        <v>1500</v>
      </c>
      <c r="D728" t="str">
        <f t="shared" si="11"/>
        <v>Deportivos</v>
      </c>
    </row>
    <row r="729" spans="1:4" x14ac:dyDescent="0.25">
      <c r="A729" s="1">
        <v>42784</v>
      </c>
      <c r="B729" t="s">
        <v>525</v>
      </c>
      <c r="C729" s="5">
        <f>VLOOKUP(B729,$J$14:$K$64,2,0)</f>
        <v>2130</v>
      </c>
      <c r="D729" t="str">
        <f t="shared" si="11"/>
        <v>Botas</v>
      </c>
    </row>
    <row r="730" spans="1:4" x14ac:dyDescent="0.25">
      <c r="A730" s="1">
        <v>43033</v>
      </c>
      <c r="B730" t="s">
        <v>525</v>
      </c>
      <c r="C730" s="5">
        <f>VLOOKUP(B730,$J$14:$K$64,2,0)</f>
        <v>2130</v>
      </c>
      <c r="D730" t="str">
        <f t="shared" si="11"/>
        <v>Botas</v>
      </c>
    </row>
    <row r="731" spans="1:4" x14ac:dyDescent="0.25">
      <c r="A731" s="1">
        <v>43041</v>
      </c>
      <c r="B731" t="s">
        <v>465</v>
      </c>
      <c r="C731" s="5">
        <f>VLOOKUP(B731,$J$14:$K$64,2,0)</f>
        <v>1560</v>
      </c>
      <c r="D731" t="str">
        <f t="shared" si="11"/>
        <v>Botas</v>
      </c>
    </row>
    <row r="732" spans="1:4" x14ac:dyDescent="0.25">
      <c r="A732" s="1">
        <v>42782</v>
      </c>
      <c r="B732" t="s">
        <v>488</v>
      </c>
      <c r="C732" s="5">
        <f>VLOOKUP(B732,$J$14:$K$64,2,0)</f>
        <v>819.99999999999989</v>
      </c>
      <c r="D732" t="str">
        <f t="shared" si="11"/>
        <v>Casuales</v>
      </c>
    </row>
    <row r="733" spans="1:4" x14ac:dyDescent="0.25">
      <c r="A733" s="1">
        <v>42970</v>
      </c>
      <c r="B733" t="s">
        <v>445</v>
      </c>
      <c r="C733" s="5">
        <f>VLOOKUP(B733,$J$14:$K$64,2,0)</f>
        <v>1680</v>
      </c>
      <c r="D733" t="str">
        <f t="shared" si="11"/>
        <v>Deportivos</v>
      </c>
    </row>
    <row r="734" spans="1:4" x14ac:dyDescent="0.25">
      <c r="A734" s="1">
        <v>42763</v>
      </c>
      <c r="B734" t="s">
        <v>465</v>
      </c>
      <c r="C734" s="5">
        <f>VLOOKUP(B734,$J$14:$K$64,2,0)</f>
        <v>1560</v>
      </c>
      <c r="D734" t="str">
        <f t="shared" si="11"/>
        <v>Botas</v>
      </c>
    </row>
    <row r="735" spans="1:4" x14ac:dyDescent="0.25">
      <c r="A735" s="1">
        <v>42751</v>
      </c>
      <c r="B735" t="s">
        <v>508</v>
      </c>
      <c r="C735" s="5">
        <f>VLOOKUP(B735,$J$14:$K$64,2,0)</f>
        <v>1100</v>
      </c>
      <c r="D735" t="str">
        <f t="shared" si="11"/>
        <v>Deportivos</v>
      </c>
    </row>
    <row r="736" spans="1:4" x14ac:dyDescent="0.25">
      <c r="A736" s="1">
        <v>42799</v>
      </c>
      <c r="B736" t="s">
        <v>525</v>
      </c>
      <c r="C736" s="5">
        <f>VLOOKUP(B736,$J$14:$K$64,2,0)</f>
        <v>2130</v>
      </c>
      <c r="D736" t="str">
        <f t="shared" si="11"/>
        <v>Botas</v>
      </c>
    </row>
    <row r="737" spans="1:4" x14ac:dyDescent="0.25">
      <c r="A737" s="1">
        <v>43023</v>
      </c>
      <c r="B737" t="s">
        <v>494</v>
      </c>
      <c r="C737" s="5">
        <f>VLOOKUP(B737,$J$14:$K$64,2,0)</f>
        <v>1480</v>
      </c>
      <c r="D737" t="str">
        <f t="shared" si="11"/>
        <v>Deportivos</v>
      </c>
    </row>
    <row r="738" spans="1:4" x14ac:dyDescent="0.25">
      <c r="A738" s="1">
        <v>42841</v>
      </c>
      <c r="B738" t="s">
        <v>514</v>
      </c>
      <c r="C738" s="5">
        <f>VLOOKUP(B738,$J$14:$K$64,2,0)</f>
        <v>960</v>
      </c>
      <c r="D738" t="str">
        <f t="shared" si="11"/>
        <v>Casuales</v>
      </c>
    </row>
    <row r="739" spans="1:4" x14ac:dyDescent="0.25">
      <c r="A739" s="1">
        <v>42959</v>
      </c>
      <c r="B739" t="s">
        <v>547</v>
      </c>
      <c r="C739" s="5">
        <f>VLOOKUP(B739,$J$14:$K$64,2,0)</f>
        <v>1170</v>
      </c>
      <c r="D739" t="str">
        <f t="shared" si="11"/>
        <v>Formales</v>
      </c>
    </row>
    <row r="740" spans="1:4" x14ac:dyDescent="0.25">
      <c r="A740" s="1">
        <v>42767</v>
      </c>
      <c r="B740" t="s">
        <v>480</v>
      </c>
      <c r="C740" s="5">
        <f>VLOOKUP(B740,$J$14:$K$64,2,0)</f>
        <v>1750</v>
      </c>
      <c r="D740" t="str">
        <f t="shared" si="11"/>
        <v>Deportivos</v>
      </c>
    </row>
    <row r="741" spans="1:4" x14ac:dyDescent="0.25">
      <c r="A741" s="1">
        <v>42846</v>
      </c>
      <c r="B741" t="s">
        <v>456</v>
      </c>
      <c r="C741" s="5">
        <f>VLOOKUP(B741,$J$14:$K$64,2,0)</f>
        <v>1780</v>
      </c>
      <c r="D741" t="str">
        <f t="shared" si="11"/>
        <v>Formales</v>
      </c>
    </row>
    <row r="742" spans="1:4" x14ac:dyDescent="0.25">
      <c r="A742" s="1">
        <v>42989</v>
      </c>
      <c r="B742" t="s">
        <v>543</v>
      </c>
      <c r="C742" s="5">
        <f>VLOOKUP(B742,$J$14:$K$64,2,0)</f>
        <v>1710.0000000000002</v>
      </c>
      <c r="D742" t="str">
        <f t="shared" si="11"/>
        <v>Deportivos</v>
      </c>
    </row>
    <row r="743" spans="1:4" x14ac:dyDescent="0.25">
      <c r="A743" s="1">
        <v>42845</v>
      </c>
      <c r="B743" t="s">
        <v>541</v>
      </c>
      <c r="C743" s="5">
        <f>VLOOKUP(B743,$J$14:$K$64,2,0)</f>
        <v>1240</v>
      </c>
      <c r="D743" t="str">
        <f t="shared" si="11"/>
        <v>Formales</v>
      </c>
    </row>
    <row r="744" spans="1:4" x14ac:dyDescent="0.25">
      <c r="A744" s="1">
        <v>43010</v>
      </c>
      <c r="B744" t="s">
        <v>498</v>
      </c>
      <c r="C744" s="5">
        <f>VLOOKUP(B744,$J$14:$K$64,2,0)</f>
        <v>840</v>
      </c>
      <c r="D744" t="str">
        <f t="shared" si="11"/>
        <v>Deportivos</v>
      </c>
    </row>
    <row r="745" spans="1:4" x14ac:dyDescent="0.25">
      <c r="A745" s="1">
        <v>42828</v>
      </c>
      <c r="B745" t="s">
        <v>463</v>
      </c>
      <c r="C745" s="5">
        <f>VLOOKUP(B745,$J$14:$K$64,2,0)</f>
        <v>940</v>
      </c>
      <c r="D745" t="str">
        <f t="shared" si="11"/>
        <v>Formales</v>
      </c>
    </row>
    <row r="746" spans="1:4" x14ac:dyDescent="0.25">
      <c r="A746" s="1">
        <v>42955</v>
      </c>
      <c r="B746" t="s">
        <v>470</v>
      </c>
      <c r="C746" s="5">
        <f>VLOOKUP(B746,$J$14:$K$64,2,0)</f>
        <v>300</v>
      </c>
      <c r="D746" t="str">
        <f t="shared" si="11"/>
        <v>Sandalias</v>
      </c>
    </row>
    <row r="747" spans="1:4" x14ac:dyDescent="0.25">
      <c r="A747" s="1">
        <v>43048</v>
      </c>
      <c r="B747" t="s">
        <v>510</v>
      </c>
      <c r="C747" s="5">
        <f>VLOOKUP(B747,$J$14:$K$64,2,0)</f>
        <v>969.99999999999989</v>
      </c>
      <c r="D747" t="str">
        <f t="shared" si="11"/>
        <v>Formales</v>
      </c>
    </row>
    <row r="748" spans="1:4" x14ac:dyDescent="0.25">
      <c r="A748" s="1">
        <v>43049</v>
      </c>
      <c r="B748" t="s">
        <v>486</v>
      </c>
      <c r="C748" s="5">
        <f>VLOOKUP(B748,$J$14:$K$64,2,0)</f>
        <v>2110</v>
      </c>
      <c r="D748" t="str">
        <f t="shared" si="11"/>
        <v>Botas</v>
      </c>
    </row>
    <row r="749" spans="1:4" x14ac:dyDescent="0.25">
      <c r="A749" s="1">
        <v>43025</v>
      </c>
      <c r="B749" t="s">
        <v>467</v>
      </c>
      <c r="C749" s="5">
        <f>VLOOKUP(B749,$J$14:$K$64,2,0)</f>
        <v>1130</v>
      </c>
      <c r="D749" t="str">
        <f t="shared" si="11"/>
        <v>Casuales</v>
      </c>
    </row>
    <row r="750" spans="1:4" x14ac:dyDescent="0.25">
      <c r="A750" s="1">
        <v>42965</v>
      </c>
      <c r="B750" t="s">
        <v>518</v>
      </c>
      <c r="C750" s="5">
        <f>VLOOKUP(B750,$J$14:$K$64,2,0)</f>
        <v>1090</v>
      </c>
      <c r="D750" t="str">
        <f t="shared" si="11"/>
        <v>Casuales</v>
      </c>
    </row>
    <row r="751" spans="1:4" x14ac:dyDescent="0.25">
      <c r="A751" s="1">
        <v>42781</v>
      </c>
      <c r="B751" t="s">
        <v>454</v>
      </c>
      <c r="C751" s="5">
        <f>VLOOKUP(B751,$J$14:$K$64,2,0)</f>
        <v>690</v>
      </c>
      <c r="D751" t="str">
        <f t="shared" si="11"/>
        <v>Sandalias</v>
      </c>
    </row>
    <row r="752" spans="1:4" x14ac:dyDescent="0.25">
      <c r="A752" s="1">
        <v>43047</v>
      </c>
      <c r="B752" t="s">
        <v>531</v>
      </c>
      <c r="C752" s="5">
        <f>VLOOKUP(B752,$J$14:$K$64,2,0)</f>
        <v>1300</v>
      </c>
      <c r="D752" t="str">
        <f t="shared" si="11"/>
        <v>Casuales</v>
      </c>
    </row>
    <row r="753" spans="1:4" x14ac:dyDescent="0.25">
      <c r="A753" s="1">
        <v>42782</v>
      </c>
      <c r="B753" t="s">
        <v>474</v>
      </c>
      <c r="C753" s="5">
        <f>VLOOKUP(B753,$J$14:$K$64,2,0)</f>
        <v>1620.0000000000002</v>
      </c>
      <c r="D753" t="str">
        <f t="shared" si="11"/>
        <v>Formales</v>
      </c>
    </row>
    <row r="754" spans="1:4" x14ac:dyDescent="0.25">
      <c r="A754" s="1">
        <v>42758</v>
      </c>
      <c r="B754" t="s">
        <v>535</v>
      </c>
      <c r="C754" s="5">
        <f>VLOOKUP(B754,$J$14:$K$64,2,0)</f>
        <v>1740.0000000000002</v>
      </c>
      <c r="D754" t="str">
        <f t="shared" si="11"/>
        <v>Formales</v>
      </c>
    </row>
    <row r="755" spans="1:4" x14ac:dyDescent="0.25">
      <c r="A755" s="1">
        <v>42737</v>
      </c>
      <c r="B755" t="s">
        <v>514</v>
      </c>
      <c r="C755" s="5">
        <f>VLOOKUP(B755,$J$14:$K$64,2,0)</f>
        <v>960</v>
      </c>
      <c r="D755" t="str">
        <f t="shared" si="11"/>
        <v>Casuales</v>
      </c>
    </row>
    <row r="756" spans="1:4" x14ac:dyDescent="0.25">
      <c r="A756" s="1">
        <v>42924</v>
      </c>
      <c r="B756" t="s">
        <v>476</v>
      </c>
      <c r="C756" s="5">
        <f>VLOOKUP(B756,$J$14:$K$64,2,0)</f>
        <v>1590</v>
      </c>
      <c r="D756" t="str">
        <f t="shared" si="11"/>
        <v>Botas</v>
      </c>
    </row>
    <row r="757" spans="1:4" x14ac:dyDescent="0.25">
      <c r="A757" s="1">
        <v>42762</v>
      </c>
      <c r="B757" t="s">
        <v>533</v>
      </c>
      <c r="C757" s="5">
        <f>VLOOKUP(B757,$J$14:$K$64,2,0)</f>
        <v>1120</v>
      </c>
      <c r="D757" t="str">
        <f t="shared" si="11"/>
        <v>Formales</v>
      </c>
    </row>
    <row r="758" spans="1:4" x14ac:dyDescent="0.25">
      <c r="A758" s="1">
        <v>42806</v>
      </c>
      <c r="B758" t="s">
        <v>486</v>
      </c>
      <c r="C758" s="5">
        <f>VLOOKUP(B758,$J$14:$K$64,2,0)</f>
        <v>2110</v>
      </c>
      <c r="D758" t="str">
        <f t="shared" si="11"/>
        <v>Botas</v>
      </c>
    </row>
    <row r="759" spans="1:4" x14ac:dyDescent="0.25">
      <c r="A759" s="1">
        <v>43043</v>
      </c>
      <c r="B759" t="s">
        <v>454</v>
      </c>
      <c r="C759" s="5">
        <f>VLOOKUP(B759,$J$14:$K$64,2,0)</f>
        <v>690</v>
      </c>
      <c r="D759" t="str">
        <f t="shared" si="11"/>
        <v>Sandalias</v>
      </c>
    </row>
    <row r="760" spans="1:4" x14ac:dyDescent="0.25">
      <c r="A760" s="1">
        <v>43092</v>
      </c>
      <c r="B760" t="s">
        <v>494</v>
      </c>
      <c r="C760" s="5">
        <f>VLOOKUP(B760,$J$14:$K$64,2,0)</f>
        <v>1480</v>
      </c>
      <c r="D760" t="str">
        <f t="shared" si="11"/>
        <v>Deportivos</v>
      </c>
    </row>
    <row r="761" spans="1:4" x14ac:dyDescent="0.25">
      <c r="A761" s="1">
        <v>43011</v>
      </c>
      <c r="B761" t="s">
        <v>500</v>
      </c>
      <c r="C761" s="5">
        <f>VLOOKUP(B761,$J$14:$K$64,2,0)</f>
        <v>1019.9999999999999</v>
      </c>
      <c r="D761" t="str">
        <f t="shared" si="11"/>
        <v>Casuales</v>
      </c>
    </row>
    <row r="762" spans="1:4" x14ac:dyDescent="0.25">
      <c r="A762" s="1">
        <v>42847</v>
      </c>
      <c r="B762" t="s">
        <v>525</v>
      </c>
      <c r="C762" s="5">
        <f>VLOOKUP(B762,$J$14:$K$64,2,0)</f>
        <v>2130</v>
      </c>
      <c r="D762" t="str">
        <f t="shared" si="11"/>
        <v>Botas</v>
      </c>
    </row>
    <row r="763" spans="1:4" x14ac:dyDescent="0.25">
      <c r="A763" s="1">
        <v>42782</v>
      </c>
      <c r="B763" t="s">
        <v>535</v>
      </c>
      <c r="C763" s="5">
        <f>VLOOKUP(B763,$J$14:$K$64,2,0)</f>
        <v>1740.0000000000002</v>
      </c>
      <c r="D763" t="str">
        <f t="shared" si="11"/>
        <v>Formales</v>
      </c>
    </row>
    <row r="764" spans="1:4" x14ac:dyDescent="0.25">
      <c r="A764" s="1">
        <v>42931</v>
      </c>
      <c r="B764" t="s">
        <v>521</v>
      </c>
      <c r="C764" s="5">
        <f>VLOOKUP(B764,$J$14:$K$64,2,0)</f>
        <v>1160</v>
      </c>
      <c r="D764" t="str">
        <f t="shared" si="11"/>
        <v>Casuales</v>
      </c>
    </row>
    <row r="765" spans="1:4" x14ac:dyDescent="0.25">
      <c r="A765" s="1">
        <v>42880</v>
      </c>
      <c r="B765" t="s">
        <v>459</v>
      </c>
      <c r="C765" s="5">
        <f>VLOOKUP(B765,$J$14:$K$64,2,0)</f>
        <v>1640.0000000000002</v>
      </c>
      <c r="D765" t="str">
        <f t="shared" si="11"/>
        <v>Botas</v>
      </c>
    </row>
    <row r="766" spans="1:4" x14ac:dyDescent="0.25">
      <c r="A766" s="1">
        <v>42986</v>
      </c>
      <c r="B766" t="s">
        <v>527</v>
      </c>
      <c r="C766" s="5">
        <f>VLOOKUP(B766,$J$14:$K$64,2,0)</f>
        <v>1180</v>
      </c>
      <c r="D766" t="str">
        <f t="shared" si="11"/>
        <v>Formales</v>
      </c>
    </row>
    <row r="767" spans="1:4" x14ac:dyDescent="0.25">
      <c r="A767" s="1">
        <v>42845</v>
      </c>
      <c r="B767" t="s">
        <v>500</v>
      </c>
      <c r="C767" s="5">
        <f>VLOOKUP(B767,$J$14:$K$64,2,0)</f>
        <v>1019.9999999999999</v>
      </c>
      <c r="D767" t="str">
        <f t="shared" si="11"/>
        <v>Casuales</v>
      </c>
    </row>
    <row r="768" spans="1:4" x14ac:dyDescent="0.25">
      <c r="A768" s="1">
        <v>43005</v>
      </c>
      <c r="B768" t="s">
        <v>504</v>
      </c>
      <c r="C768" s="5">
        <f>VLOOKUP(B768,$J$14:$K$64,2,0)</f>
        <v>1700</v>
      </c>
      <c r="D768" t="str">
        <f t="shared" si="11"/>
        <v>Deportivos</v>
      </c>
    </row>
    <row r="769" spans="1:4" x14ac:dyDescent="0.25">
      <c r="A769" s="1">
        <v>42790</v>
      </c>
      <c r="B769" t="s">
        <v>465</v>
      </c>
      <c r="C769" s="5">
        <f>VLOOKUP(B769,$J$14:$K$64,2,0)</f>
        <v>1560</v>
      </c>
      <c r="D769" t="str">
        <f t="shared" si="11"/>
        <v>Botas</v>
      </c>
    </row>
    <row r="770" spans="1:4" x14ac:dyDescent="0.25">
      <c r="A770" s="1">
        <v>42870</v>
      </c>
      <c r="B770" t="s">
        <v>478</v>
      </c>
      <c r="C770" s="5">
        <f>VLOOKUP(B770,$J$14:$K$64,2,0)</f>
        <v>2130</v>
      </c>
      <c r="D770" t="str">
        <f t="shared" si="11"/>
        <v>Botas</v>
      </c>
    </row>
    <row r="771" spans="1:4" x14ac:dyDescent="0.25">
      <c r="A771" s="1">
        <v>42770</v>
      </c>
      <c r="B771" t="s">
        <v>537</v>
      </c>
      <c r="C771" s="5">
        <f>VLOOKUP(B771,$J$14:$K$64,2,0)</f>
        <v>840</v>
      </c>
      <c r="D771" t="str">
        <f t="shared" si="11"/>
        <v>Formales</v>
      </c>
    </row>
    <row r="772" spans="1:4" x14ac:dyDescent="0.25">
      <c r="A772" s="1">
        <v>42881</v>
      </c>
      <c r="B772" t="s">
        <v>465</v>
      </c>
      <c r="C772" s="5">
        <f>VLOOKUP(B772,$J$14:$K$64,2,0)</f>
        <v>1560</v>
      </c>
      <c r="D772" t="str">
        <f t="shared" si="11"/>
        <v>Botas</v>
      </c>
    </row>
    <row r="773" spans="1:4" x14ac:dyDescent="0.25">
      <c r="A773" s="1">
        <v>42984</v>
      </c>
      <c r="B773" t="s">
        <v>525</v>
      </c>
      <c r="C773" s="5">
        <f>VLOOKUP(B773,$J$14:$K$64,2,0)</f>
        <v>2130</v>
      </c>
      <c r="D773" t="str">
        <f t="shared" si="11"/>
        <v>Botas</v>
      </c>
    </row>
    <row r="774" spans="1:4" x14ac:dyDescent="0.25">
      <c r="A774" s="1">
        <v>43017</v>
      </c>
      <c r="B774" t="s">
        <v>488</v>
      </c>
      <c r="C774" s="5">
        <f>VLOOKUP(B774,$J$14:$K$64,2,0)</f>
        <v>819.99999999999989</v>
      </c>
      <c r="D774" t="str">
        <f t="shared" si="11"/>
        <v>Casuales</v>
      </c>
    </row>
    <row r="775" spans="1:4" x14ac:dyDescent="0.25">
      <c r="A775" s="1">
        <v>43045</v>
      </c>
      <c r="B775" t="s">
        <v>488</v>
      </c>
      <c r="C775" s="5">
        <f>VLOOKUP(B775,$J$14:$K$64,2,0)</f>
        <v>819.99999999999989</v>
      </c>
      <c r="D775" t="str">
        <f t="shared" si="11"/>
        <v>Casuales</v>
      </c>
    </row>
    <row r="776" spans="1:4" x14ac:dyDescent="0.25">
      <c r="A776" s="1">
        <v>42855</v>
      </c>
      <c r="B776" t="s">
        <v>498</v>
      </c>
      <c r="C776" s="5">
        <f>VLOOKUP(B776,$J$14:$K$64,2,0)</f>
        <v>840</v>
      </c>
      <c r="D776" t="str">
        <f t="shared" si="11"/>
        <v>Deportivos</v>
      </c>
    </row>
    <row r="777" spans="1:4" x14ac:dyDescent="0.25">
      <c r="A777" s="1">
        <v>42885</v>
      </c>
      <c r="B777" t="s">
        <v>482</v>
      </c>
      <c r="C777" s="5">
        <f>VLOOKUP(B777,$J$14:$K$64,2,0)</f>
        <v>1490</v>
      </c>
      <c r="D777" t="str">
        <f t="shared" si="11"/>
        <v>Formales</v>
      </c>
    </row>
    <row r="778" spans="1:4" x14ac:dyDescent="0.25">
      <c r="A778" s="1">
        <v>42965</v>
      </c>
      <c r="B778" t="s">
        <v>492</v>
      </c>
      <c r="C778" s="5">
        <f>VLOOKUP(B778,$J$14:$K$64,2,0)</f>
        <v>1500</v>
      </c>
      <c r="D778" t="str">
        <f t="shared" si="11"/>
        <v>Deportivos</v>
      </c>
    </row>
    <row r="779" spans="1:4" x14ac:dyDescent="0.25">
      <c r="A779" s="1">
        <v>42914</v>
      </c>
      <c r="B779" t="s">
        <v>500</v>
      </c>
      <c r="C779" s="5">
        <f>VLOOKUP(B779,$J$14:$K$64,2,0)</f>
        <v>1019.9999999999999</v>
      </c>
      <c r="D779" t="str">
        <f t="shared" si="11"/>
        <v>Casuales</v>
      </c>
    </row>
    <row r="780" spans="1:4" x14ac:dyDescent="0.25">
      <c r="A780" s="1">
        <v>43081</v>
      </c>
      <c r="B780" t="s">
        <v>451</v>
      </c>
      <c r="C780" s="5">
        <f>VLOOKUP(B780,$J$14:$K$64,2,0)</f>
        <v>350</v>
      </c>
      <c r="D780" t="str">
        <f t="shared" si="11"/>
        <v>Sandalias</v>
      </c>
    </row>
    <row r="781" spans="1:4" x14ac:dyDescent="0.25">
      <c r="A781" s="1">
        <v>42848</v>
      </c>
      <c r="B781" t="s">
        <v>518</v>
      </c>
      <c r="C781" s="5">
        <f>VLOOKUP(B781,$J$14:$K$64,2,0)</f>
        <v>1090</v>
      </c>
      <c r="D781" t="str">
        <f t="shared" si="11"/>
        <v>Casuales</v>
      </c>
    </row>
    <row r="782" spans="1:4" x14ac:dyDescent="0.25">
      <c r="A782" s="1">
        <v>42948</v>
      </c>
      <c r="B782" t="s">
        <v>488</v>
      </c>
      <c r="C782" s="5">
        <f>VLOOKUP(B782,$J$14:$K$64,2,0)</f>
        <v>819.99999999999989</v>
      </c>
      <c r="D782" t="str">
        <f t="shared" si="11"/>
        <v>Casuales</v>
      </c>
    </row>
    <row r="783" spans="1:4" x14ac:dyDescent="0.25">
      <c r="A783" s="1">
        <v>42753</v>
      </c>
      <c r="B783" t="s">
        <v>543</v>
      </c>
      <c r="C783" s="5">
        <f>VLOOKUP(B783,$J$14:$K$64,2,0)</f>
        <v>1710.0000000000002</v>
      </c>
      <c r="D783" t="str">
        <f t="shared" si="11"/>
        <v>Deportivos</v>
      </c>
    </row>
    <row r="784" spans="1:4" x14ac:dyDescent="0.25">
      <c r="A784" s="1">
        <v>43085</v>
      </c>
      <c r="B784" t="s">
        <v>535</v>
      </c>
      <c r="C784" s="5">
        <f>VLOOKUP(B784,$J$14:$K$64,2,0)</f>
        <v>1740.0000000000002</v>
      </c>
      <c r="D784" t="str">
        <f t="shared" ref="D784:D847" si="12">VLOOKUP(B784,$J$14:$L$64,3,0)</f>
        <v>Formales</v>
      </c>
    </row>
    <row r="785" spans="1:4" x14ac:dyDescent="0.25">
      <c r="A785" s="1">
        <v>42958</v>
      </c>
      <c r="B785" t="s">
        <v>535</v>
      </c>
      <c r="C785" s="5">
        <f>VLOOKUP(B785,$J$14:$K$64,2,0)</f>
        <v>1740.0000000000002</v>
      </c>
      <c r="D785" t="str">
        <f t="shared" si="12"/>
        <v>Formales</v>
      </c>
    </row>
    <row r="786" spans="1:4" x14ac:dyDescent="0.25">
      <c r="A786" s="1">
        <v>42992</v>
      </c>
      <c r="B786" t="s">
        <v>492</v>
      </c>
      <c r="C786" s="5">
        <f>VLOOKUP(B786,$J$14:$K$64,2,0)</f>
        <v>1500</v>
      </c>
      <c r="D786" t="str">
        <f t="shared" si="12"/>
        <v>Deportivos</v>
      </c>
    </row>
    <row r="787" spans="1:4" x14ac:dyDescent="0.25">
      <c r="A787" s="1">
        <v>42966</v>
      </c>
      <c r="B787" t="s">
        <v>504</v>
      </c>
      <c r="C787" s="5">
        <f>VLOOKUP(B787,$J$14:$K$64,2,0)</f>
        <v>1700</v>
      </c>
      <c r="D787" t="str">
        <f t="shared" si="12"/>
        <v>Deportivos</v>
      </c>
    </row>
    <row r="788" spans="1:4" x14ac:dyDescent="0.25">
      <c r="A788" s="1">
        <v>43038</v>
      </c>
      <c r="B788" t="s">
        <v>492</v>
      </c>
      <c r="C788" s="5">
        <f>VLOOKUP(B788,$J$14:$K$64,2,0)</f>
        <v>1500</v>
      </c>
      <c r="D788" t="str">
        <f t="shared" si="12"/>
        <v>Deportivos</v>
      </c>
    </row>
    <row r="789" spans="1:4" x14ac:dyDescent="0.25">
      <c r="A789" s="1">
        <v>42804</v>
      </c>
      <c r="B789" t="s">
        <v>472</v>
      </c>
      <c r="C789" s="5">
        <f>VLOOKUP(B789,$J$14:$K$64,2,0)</f>
        <v>1710.0000000000002</v>
      </c>
      <c r="D789" t="str">
        <f t="shared" si="12"/>
        <v>Formales</v>
      </c>
    </row>
    <row r="790" spans="1:4" x14ac:dyDescent="0.25">
      <c r="A790" s="1">
        <v>42760</v>
      </c>
      <c r="B790" t="s">
        <v>506</v>
      </c>
      <c r="C790" s="5">
        <f>VLOOKUP(B790,$J$14:$K$64,2,0)</f>
        <v>1230</v>
      </c>
      <c r="D790" t="str">
        <f t="shared" si="12"/>
        <v>Deportivos</v>
      </c>
    </row>
    <row r="791" spans="1:4" x14ac:dyDescent="0.25">
      <c r="A791" s="1">
        <v>42909</v>
      </c>
      <c r="B791" t="s">
        <v>496</v>
      </c>
      <c r="C791" s="5">
        <f>VLOOKUP(B791,$J$14:$K$64,2,0)</f>
        <v>1040</v>
      </c>
      <c r="D791" t="str">
        <f t="shared" si="12"/>
        <v>Deportivos</v>
      </c>
    </row>
    <row r="792" spans="1:4" x14ac:dyDescent="0.25">
      <c r="A792" s="1">
        <v>43046</v>
      </c>
      <c r="B792" t="s">
        <v>484</v>
      </c>
      <c r="C792" s="5">
        <f>VLOOKUP(B792,$J$14:$K$64,2,0)</f>
        <v>1530</v>
      </c>
      <c r="D792" t="str">
        <f t="shared" si="12"/>
        <v>Formales</v>
      </c>
    </row>
    <row r="793" spans="1:4" x14ac:dyDescent="0.25">
      <c r="A793" s="1">
        <v>42799</v>
      </c>
      <c r="B793" t="s">
        <v>525</v>
      </c>
      <c r="C793" s="5">
        <f>VLOOKUP(B793,$J$14:$K$64,2,0)</f>
        <v>2130</v>
      </c>
      <c r="D793" t="str">
        <f t="shared" si="12"/>
        <v>Botas</v>
      </c>
    </row>
    <row r="794" spans="1:4" x14ac:dyDescent="0.25">
      <c r="A794" s="1">
        <v>43091</v>
      </c>
      <c r="B794" t="s">
        <v>448</v>
      </c>
      <c r="C794" s="5">
        <f>VLOOKUP(B794,$J$14:$K$64,2,0)</f>
        <v>2260</v>
      </c>
      <c r="D794" t="str">
        <f t="shared" si="12"/>
        <v>Botas</v>
      </c>
    </row>
    <row r="795" spans="1:4" x14ac:dyDescent="0.25">
      <c r="A795" s="1">
        <v>42985</v>
      </c>
      <c r="B795" t="s">
        <v>521</v>
      </c>
      <c r="C795" s="5">
        <f>VLOOKUP(B795,$J$14:$K$64,2,0)</f>
        <v>1160</v>
      </c>
      <c r="D795" t="str">
        <f t="shared" si="12"/>
        <v>Casuales</v>
      </c>
    </row>
    <row r="796" spans="1:4" x14ac:dyDescent="0.25">
      <c r="A796" s="1">
        <v>42978</v>
      </c>
      <c r="B796" t="s">
        <v>508</v>
      </c>
      <c r="C796" s="5">
        <f>VLOOKUP(B796,$J$14:$K$64,2,0)</f>
        <v>1100</v>
      </c>
      <c r="D796" t="str">
        <f t="shared" si="12"/>
        <v>Deportivos</v>
      </c>
    </row>
    <row r="797" spans="1:4" x14ac:dyDescent="0.25">
      <c r="A797" s="1">
        <v>42765</v>
      </c>
      <c r="B797" t="s">
        <v>445</v>
      </c>
      <c r="C797" s="5">
        <f>VLOOKUP(B797,$J$14:$K$64,2,0)</f>
        <v>1680</v>
      </c>
      <c r="D797" t="str">
        <f t="shared" si="12"/>
        <v>Deportivos</v>
      </c>
    </row>
    <row r="798" spans="1:4" x14ac:dyDescent="0.25">
      <c r="A798" s="1">
        <v>43029</v>
      </c>
      <c r="B798" t="s">
        <v>490</v>
      </c>
      <c r="C798" s="5">
        <f>VLOOKUP(B798,$J$14:$K$64,2,0)</f>
        <v>560</v>
      </c>
      <c r="D798" t="str">
        <f t="shared" si="12"/>
        <v>Sandalias</v>
      </c>
    </row>
    <row r="799" spans="1:4" x14ac:dyDescent="0.25">
      <c r="A799" s="1">
        <v>43008</v>
      </c>
      <c r="B799" t="s">
        <v>533</v>
      </c>
      <c r="C799" s="5">
        <f>VLOOKUP(B799,$J$14:$K$64,2,0)</f>
        <v>1120</v>
      </c>
      <c r="D799" t="str">
        <f t="shared" si="12"/>
        <v>Formales</v>
      </c>
    </row>
    <row r="800" spans="1:4" x14ac:dyDescent="0.25">
      <c r="A800" s="1">
        <v>42844</v>
      </c>
      <c r="B800" t="s">
        <v>488</v>
      </c>
      <c r="C800" s="5">
        <f>VLOOKUP(B800,$J$14:$K$64,2,0)</f>
        <v>819.99999999999989</v>
      </c>
      <c r="D800" t="str">
        <f t="shared" si="12"/>
        <v>Casuales</v>
      </c>
    </row>
    <row r="801" spans="1:4" x14ac:dyDescent="0.25">
      <c r="A801" s="1">
        <v>42823</v>
      </c>
      <c r="B801" t="s">
        <v>472</v>
      </c>
      <c r="C801" s="5">
        <f>VLOOKUP(B801,$J$14:$K$64,2,0)</f>
        <v>1710.0000000000002</v>
      </c>
      <c r="D801" t="str">
        <f t="shared" si="12"/>
        <v>Formales</v>
      </c>
    </row>
    <row r="802" spans="1:4" x14ac:dyDescent="0.25">
      <c r="A802" s="1">
        <v>42742</v>
      </c>
      <c r="B802" t="s">
        <v>488</v>
      </c>
      <c r="C802" s="5">
        <f>VLOOKUP(B802,$J$14:$K$64,2,0)</f>
        <v>819.99999999999989</v>
      </c>
      <c r="D802" t="str">
        <f t="shared" si="12"/>
        <v>Casuales</v>
      </c>
    </row>
    <row r="803" spans="1:4" x14ac:dyDescent="0.25">
      <c r="A803" s="1">
        <v>42776</v>
      </c>
      <c r="B803" t="s">
        <v>480</v>
      </c>
      <c r="C803" s="5">
        <f>VLOOKUP(B803,$J$14:$K$64,2,0)</f>
        <v>1750</v>
      </c>
      <c r="D803" t="str">
        <f t="shared" si="12"/>
        <v>Deportivos</v>
      </c>
    </row>
    <row r="804" spans="1:4" x14ac:dyDescent="0.25">
      <c r="A804" s="1">
        <v>43096</v>
      </c>
      <c r="B804" t="s">
        <v>498</v>
      </c>
      <c r="C804" s="5">
        <f>VLOOKUP(B804,$J$14:$K$64,2,0)</f>
        <v>840</v>
      </c>
      <c r="D804" t="str">
        <f t="shared" si="12"/>
        <v>Deportivos</v>
      </c>
    </row>
    <row r="805" spans="1:4" x14ac:dyDescent="0.25">
      <c r="A805" s="1">
        <v>42906</v>
      </c>
      <c r="B805" t="s">
        <v>456</v>
      </c>
      <c r="C805" s="5">
        <f>VLOOKUP(B805,$J$14:$K$64,2,0)</f>
        <v>1780</v>
      </c>
      <c r="D805" t="str">
        <f t="shared" si="12"/>
        <v>Formales</v>
      </c>
    </row>
    <row r="806" spans="1:4" x14ac:dyDescent="0.25">
      <c r="A806" s="1">
        <v>43081</v>
      </c>
      <c r="B806" t="s">
        <v>545</v>
      </c>
      <c r="C806" s="5">
        <f>VLOOKUP(B806,$J$14:$K$64,2,0)</f>
        <v>1840.0000000000002</v>
      </c>
      <c r="D806" t="str">
        <f t="shared" si="12"/>
        <v>Botas</v>
      </c>
    </row>
    <row r="807" spans="1:4" x14ac:dyDescent="0.25">
      <c r="A807" s="1">
        <v>43080</v>
      </c>
      <c r="B807" t="s">
        <v>463</v>
      </c>
      <c r="C807" s="5">
        <f>VLOOKUP(B807,$J$14:$K$64,2,0)</f>
        <v>940</v>
      </c>
      <c r="D807" t="str">
        <f t="shared" si="12"/>
        <v>Formales</v>
      </c>
    </row>
    <row r="808" spans="1:4" x14ac:dyDescent="0.25">
      <c r="A808" s="1">
        <v>43035</v>
      </c>
      <c r="B808" t="s">
        <v>488</v>
      </c>
      <c r="C808" s="5">
        <f>VLOOKUP(B808,$J$14:$K$64,2,0)</f>
        <v>819.99999999999989</v>
      </c>
      <c r="D808" t="str">
        <f t="shared" si="12"/>
        <v>Casuales</v>
      </c>
    </row>
    <row r="809" spans="1:4" x14ac:dyDescent="0.25">
      <c r="A809" s="1">
        <v>42789</v>
      </c>
      <c r="B809" t="s">
        <v>514</v>
      </c>
      <c r="C809" s="5">
        <f>VLOOKUP(B809,$J$14:$K$64,2,0)</f>
        <v>960</v>
      </c>
      <c r="D809" t="str">
        <f t="shared" si="12"/>
        <v>Casuales</v>
      </c>
    </row>
    <row r="810" spans="1:4" x14ac:dyDescent="0.25">
      <c r="A810" s="1">
        <v>42855</v>
      </c>
      <c r="B810" t="s">
        <v>518</v>
      </c>
      <c r="C810" s="5">
        <f>VLOOKUP(B810,$J$14:$K$64,2,0)</f>
        <v>1090</v>
      </c>
      <c r="D810" t="str">
        <f t="shared" si="12"/>
        <v>Casuales</v>
      </c>
    </row>
    <row r="811" spans="1:4" x14ac:dyDescent="0.25">
      <c r="A811" s="1">
        <v>43053</v>
      </c>
      <c r="B811" t="s">
        <v>459</v>
      </c>
      <c r="C811" s="5">
        <f>VLOOKUP(B811,$J$14:$K$64,2,0)</f>
        <v>1640.0000000000002</v>
      </c>
      <c r="D811" t="str">
        <f t="shared" si="12"/>
        <v>Botas</v>
      </c>
    </row>
    <row r="812" spans="1:4" x14ac:dyDescent="0.25">
      <c r="A812" s="1">
        <v>42884</v>
      </c>
      <c r="B812" t="s">
        <v>545</v>
      </c>
      <c r="C812" s="5">
        <f>VLOOKUP(B812,$J$14:$K$64,2,0)</f>
        <v>1840.0000000000002</v>
      </c>
      <c r="D812" t="str">
        <f t="shared" si="12"/>
        <v>Botas</v>
      </c>
    </row>
    <row r="813" spans="1:4" x14ac:dyDescent="0.25">
      <c r="A813" s="1">
        <v>43022</v>
      </c>
      <c r="B813" t="s">
        <v>506</v>
      </c>
      <c r="C813" s="5">
        <f>VLOOKUP(B813,$J$14:$K$64,2,0)</f>
        <v>1230</v>
      </c>
      <c r="D813" t="str">
        <f t="shared" si="12"/>
        <v>Deportivos</v>
      </c>
    </row>
    <row r="814" spans="1:4" x14ac:dyDescent="0.25">
      <c r="A814" s="1">
        <v>42821</v>
      </c>
      <c r="B814" t="s">
        <v>490</v>
      </c>
      <c r="C814" s="5">
        <f>VLOOKUP(B814,$J$14:$K$64,2,0)</f>
        <v>560</v>
      </c>
      <c r="D814" t="str">
        <f t="shared" si="12"/>
        <v>Sandalias</v>
      </c>
    </row>
    <row r="815" spans="1:4" x14ac:dyDescent="0.25">
      <c r="A815" s="1">
        <v>43026</v>
      </c>
      <c r="B815" t="s">
        <v>448</v>
      </c>
      <c r="C815" s="5">
        <f>VLOOKUP(B815,$J$14:$K$64,2,0)</f>
        <v>2260</v>
      </c>
      <c r="D815" t="str">
        <f t="shared" si="12"/>
        <v>Botas</v>
      </c>
    </row>
    <row r="816" spans="1:4" x14ac:dyDescent="0.25">
      <c r="A816" s="1">
        <v>42803</v>
      </c>
      <c r="B816" t="s">
        <v>504</v>
      </c>
      <c r="C816" s="5">
        <f>VLOOKUP(B816,$J$14:$K$64,2,0)</f>
        <v>1700</v>
      </c>
      <c r="D816" t="str">
        <f t="shared" si="12"/>
        <v>Deportivos</v>
      </c>
    </row>
    <row r="817" spans="1:4" x14ac:dyDescent="0.25">
      <c r="A817" s="1">
        <v>42835</v>
      </c>
      <c r="B817" t="s">
        <v>539</v>
      </c>
      <c r="C817" s="5">
        <f>VLOOKUP(B817,$J$14:$K$64,2,0)</f>
        <v>950</v>
      </c>
      <c r="D817" t="str">
        <f t="shared" si="12"/>
        <v>Casuales</v>
      </c>
    </row>
    <row r="818" spans="1:4" x14ac:dyDescent="0.25">
      <c r="A818" s="1">
        <v>42756</v>
      </c>
      <c r="B818" t="s">
        <v>494</v>
      </c>
      <c r="C818" s="5">
        <f>VLOOKUP(B818,$J$14:$K$64,2,0)</f>
        <v>1480</v>
      </c>
      <c r="D818" t="str">
        <f t="shared" si="12"/>
        <v>Deportivos</v>
      </c>
    </row>
    <row r="819" spans="1:4" x14ac:dyDescent="0.25">
      <c r="A819" s="1">
        <v>42848</v>
      </c>
      <c r="B819" t="s">
        <v>482</v>
      </c>
      <c r="C819" s="5">
        <f>VLOOKUP(B819,$J$14:$K$64,2,0)</f>
        <v>1490</v>
      </c>
      <c r="D819" t="str">
        <f t="shared" si="12"/>
        <v>Formales</v>
      </c>
    </row>
    <row r="820" spans="1:4" x14ac:dyDescent="0.25">
      <c r="A820" s="1">
        <v>42749</v>
      </c>
      <c r="B820" t="s">
        <v>529</v>
      </c>
      <c r="C820" s="5">
        <f>VLOOKUP(B820,$J$14:$K$64,2,0)</f>
        <v>2480</v>
      </c>
      <c r="D820" t="str">
        <f t="shared" si="12"/>
        <v>Botas</v>
      </c>
    </row>
    <row r="821" spans="1:4" x14ac:dyDescent="0.25">
      <c r="A821" s="1">
        <v>42901</v>
      </c>
      <c r="B821" t="s">
        <v>474</v>
      </c>
      <c r="C821" s="5">
        <f>VLOOKUP(B821,$J$14:$K$64,2,0)</f>
        <v>1620.0000000000002</v>
      </c>
      <c r="D821" t="str">
        <f t="shared" si="12"/>
        <v>Formales</v>
      </c>
    </row>
    <row r="822" spans="1:4" x14ac:dyDescent="0.25">
      <c r="A822" s="1">
        <v>42774</v>
      </c>
      <c r="B822" t="s">
        <v>527</v>
      </c>
      <c r="C822" s="5">
        <f>VLOOKUP(B822,$J$14:$K$64,2,0)</f>
        <v>1180</v>
      </c>
      <c r="D822" t="str">
        <f t="shared" si="12"/>
        <v>Formales</v>
      </c>
    </row>
    <row r="823" spans="1:4" x14ac:dyDescent="0.25">
      <c r="A823" s="1">
        <v>42901</v>
      </c>
      <c r="B823" t="s">
        <v>492</v>
      </c>
      <c r="C823" s="5">
        <f>VLOOKUP(B823,$J$14:$K$64,2,0)</f>
        <v>1500</v>
      </c>
      <c r="D823" t="str">
        <f t="shared" si="12"/>
        <v>Deportivos</v>
      </c>
    </row>
    <row r="824" spans="1:4" x14ac:dyDescent="0.25">
      <c r="A824" s="1">
        <v>42831</v>
      </c>
      <c r="B824" t="s">
        <v>459</v>
      </c>
      <c r="C824" s="5">
        <f>VLOOKUP(B824,$J$14:$K$64,2,0)</f>
        <v>1640.0000000000002</v>
      </c>
      <c r="D824" t="str">
        <f t="shared" si="12"/>
        <v>Botas</v>
      </c>
    </row>
    <row r="825" spans="1:4" x14ac:dyDescent="0.25">
      <c r="A825" s="1">
        <v>42752</v>
      </c>
      <c r="B825" t="s">
        <v>494</v>
      </c>
      <c r="C825" s="5">
        <f>VLOOKUP(B825,$J$14:$K$64,2,0)</f>
        <v>1480</v>
      </c>
      <c r="D825" t="str">
        <f t="shared" si="12"/>
        <v>Deportivos</v>
      </c>
    </row>
    <row r="826" spans="1:4" x14ac:dyDescent="0.25">
      <c r="A826" s="1">
        <v>43079</v>
      </c>
      <c r="B826" t="s">
        <v>486</v>
      </c>
      <c r="C826" s="5">
        <f>VLOOKUP(B826,$J$14:$K$64,2,0)</f>
        <v>2110</v>
      </c>
      <c r="D826" t="str">
        <f t="shared" si="12"/>
        <v>Botas</v>
      </c>
    </row>
    <row r="827" spans="1:4" x14ac:dyDescent="0.25">
      <c r="A827" s="1">
        <v>42934</v>
      </c>
      <c r="B827" t="s">
        <v>484</v>
      </c>
      <c r="C827" s="5">
        <f>VLOOKUP(B827,$J$14:$K$64,2,0)</f>
        <v>1530</v>
      </c>
      <c r="D827" t="str">
        <f t="shared" si="12"/>
        <v>Formales</v>
      </c>
    </row>
    <row r="828" spans="1:4" x14ac:dyDescent="0.25">
      <c r="A828" s="1">
        <v>42914</v>
      </c>
      <c r="B828" t="s">
        <v>484</v>
      </c>
      <c r="C828" s="5">
        <f>VLOOKUP(B828,$J$14:$K$64,2,0)</f>
        <v>1530</v>
      </c>
      <c r="D828" t="str">
        <f t="shared" si="12"/>
        <v>Formales</v>
      </c>
    </row>
    <row r="829" spans="1:4" x14ac:dyDescent="0.25">
      <c r="A829" s="1">
        <v>42780</v>
      </c>
      <c r="B829" t="s">
        <v>448</v>
      </c>
      <c r="C829" s="5">
        <f>VLOOKUP(B829,$J$14:$K$64,2,0)</f>
        <v>2260</v>
      </c>
      <c r="D829" t="str">
        <f t="shared" si="12"/>
        <v>Botas</v>
      </c>
    </row>
    <row r="830" spans="1:4" x14ac:dyDescent="0.25">
      <c r="A830" s="1">
        <v>42786</v>
      </c>
      <c r="B830" t="s">
        <v>448</v>
      </c>
      <c r="C830" s="5">
        <f>VLOOKUP(B830,$J$14:$K$64,2,0)</f>
        <v>2260</v>
      </c>
      <c r="D830" t="str">
        <f t="shared" si="12"/>
        <v>Botas</v>
      </c>
    </row>
    <row r="831" spans="1:4" x14ac:dyDescent="0.25">
      <c r="A831" s="1">
        <v>42789</v>
      </c>
      <c r="B831" t="s">
        <v>527</v>
      </c>
      <c r="C831" s="5">
        <f>VLOOKUP(B831,$J$14:$K$64,2,0)</f>
        <v>1180</v>
      </c>
      <c r="D831" t="str">
        <f t="shared" si="12"/>
        <v>Formales</v>
      </c>
    </row>
    <row r="832" spans="1:4" x14ac:dyDescent="0.25">
      <c r="A832" s="1">
        <v>42900</v>
      </c>
      <c r="B832" t="s">
        <v>488</v>
      </c>
      <c r="C832" s="5">
        <f>VLOOKUP(B832,$J$14:$K$64,2,0)</f>
        <v>819.99999999999989</v>
      </c>
      <c r="D832" t="str">
        <f t="shared" si="12"/>
        <v>Casuales</v>
      </c>
    </row>
    <row r="833" spans="1:4" x14ac:dyDescent="0.25">
      <c r="A833" s="1">
        <v>43002</v>
      </c>
      <c r="B833" t="s">
        <v>451</v>
      </c>
      <c r="C833" s="5">
        <f>VLOOKUP(B833,$J$14:$K$64,2,0)</f>
        <v>350</v>
      </c>
      <c r="D833" t="str">
        <f t="shared" si="12"/>
        <v>Sandalias</v>
      </c>
    </row>
    <row r="834" spans="1:4" x14ac:dyDescent="0.25">
      <c r="A834" s="1">
        <v>42923</v>
      </c>
      <c r="B834" t="s">
        <v>500</v>
      </c>
      <c r="C834" s="5">
        <f>VLOOKUP(B834,$J$14:$K$64,2,0)</f>
        <v>1019.9999999999999</v>
      </c>
      <c r="D834" t="str">
        <f t="shared" si="12"/>
        <v>Casuales</v>
      </c>
    </row>
    <row r="835" spans="1:4" x14ac:dyDescent="0.25">
      <c r="A835" s="1">
        <v>42943</v>
      </c>
      <c r="B835" t="s">
        <v>529</v>
      </c>
      <c r="C835" s="5">
        <f>VLOOKUP(B835,$J$14:$K$64,2,0)</f>
        <v>2480</v>
      </c>
      <c r="D835" t="str">
        <f t="shared" si="12"/>
        <v>Botas</v>
      </c>
    </row>
    <row r="836" spans="1:4" x14ac:dyDescent="0.25">
      <c r="A836" s="1">
        <v>43027</v>
      </c>
      <c r="B836" t="s">
        <v>547</v>
      </c>
      <c r="C836" s="5">
        <f>VLOOKUP(B836,$J$14:$K$64,2,0)</f>
        <v>1170</v>
      </c>
      <c r="D836" t="str">
        <f t="shared" si="12"/>
        <v>Formales</v>
      </c>
    </row>
    <row r="837" spans="1:4" x14ac:dyDescent="0.25">
      <c r="A837" s="1">
        <v>42904</v>
      </c>
      <c r="B837" t="s">
        <v>504</v>
      </c>
      <c r="C837" s="5">
        <f>VLOOKUP(B837,$J$14:$K$64,2,0)</f>
        <v>1700</v>
      </c>
      <c r="D837" t="str">
        <f t="shared" si="12"/>
        <v>Deportivos</v>
      </c>
    </row>
    <row r="838" spans="1:4" x14ac:dyDescent="0.25">
      <c r="A838" s="1">
        <v>42750</v>
      </c>
      <c r="B838" t="s">
        <v>478</v>
      </c>
      <c r="C838" s="5">
        <f>VLOOKUP(B838,$J$14:$K$64,2,0)</f>
        <v>2130</v>
      </c>
      <c r="D838" t="str">
        <f t="shared" si="12"/>
        <v>Botas</v>
      </c>
    </row>
    <row r="839" spans="1:4" x14ac:dyDescent="0.25">
      <c r="A839" s="1">
        <v>42759</v>
      </c>
      <c r="B839" t="s">
        <v>448</v>
      </c>
      <c r="C839" s="5">
        <f>VLOOKUP(B839,$J$14:$K$64,2,0)</f>
        <v>2260</v>
      </c>
      <c r="D839" t="str">
        <f t="shared" si="12"/>
        <v>Botas</v>
      </c>
    </row>
    <row r="840" spans="1:4" x14ac:dyDescent="0.25">
      <c r="A840" s="1">
        <v>42826</v>
      </c>
      <c r="B840" t="s">
        <v>531</v>
      </c>
      <c r="C840" s="5">
        <f>VLOOKUP(B840,$J$14:$K$64,2,0)</f>
        <v>1300</v>
      </c>
      <c r="D840" t="str">
        <f t="shared" si="12"/>
        <v>Casuales</v>
      </c>
    </row>
    <row r="841" spans="1:4" x14ac:dyDescent="0.25">
      <c r="A841" s="1">
        <v>42929</v>
      </c>
      <c r="B841" t="s">
        <v>537</v>
      </c>
      <c r="C841" s="5">
        <f>VLOOKUP(B841,$J$14:$K$64,2,0)</f>
        <v>840</v>
      </c>
      <c r="D841" t="str">
        <f t="shared" si="12"/>
        <v>Formales</v>
      </c>
    </row>
    <row r="842" spans="1:4" x14ac:dyDescent="0.25">
      <c r="A842" s="1">
        <v>42785</v>
      </c>
      <c r="B842" t="s">
        <v>454</v>
      </c>
      <c r="C842" s="5">
        <f>VLOOKUP(B842,$J$14:$K$64,2,0)</f>
        <v>690</v>
      </c>
      <c r="D842" t="str">
        <f t="shared" si="12"/>
        <v>Sandalias</v>
      </c>
    </row>
    <row r="843" spans="1:4" x14ac:dyDescent="0.25">
      <c r="A843" s="1">
        <v>42971</v>
      </c>
      <c r="B843" t="s">
        <v>488</v>
      </c>
      <c r="C843" s="5">
        <f>VLOOKUP(B843,$J$14:$K$64,2,0)</f>
        <v>819.99999999999989</v>
      </c>
      <c r="D843" t="str">
        <f t="shared" si="12"/>
        <v>Casuales</v>
      </c>
    </row>
    <row r="844" spans="1:4" x14ac:dyDescent="0.25">
      <c r="A844" s="1">
        <v>42786</v>
      </c>
      <c r="B844" t="s">
        <v>445</v>
      </c>
      <c r="C844" s="5">
        <f>VLOOKUP(B844,$J$14:$K$64,2,0)</f>
        <v>1680</v>
      </c>
      <c r="D844" t="str">
        <f t="shared" si="12"/>
        <v>Deportivos</v>
      </c>
    </row>
    <row r="845" spans="1:4" x14ac:dyDescent="0.25">
      <c r="A845" s="1">
        <v>43070</v>
      </c>
      <c r="B845" t="s">
        <v>451</v>
      </c>
      <c r="C845" s="5">
        <f>VLOOKUP(B845,$J$14:$K$64,2,0)</f>
        <v>350</v>
      </c>
      <c r="D845" t="str">
        <f t="shared" si="12"/>
        <v>Sandalias</v>
      </c>
    </row>
    <row r="846" spans="1:4" x14ac:dyDescent="0.25">
      <c r="A846" s="1">
        <v>42945</v>
      </c>
      <c r="B846" t="s">
        <v>486</v>
      </c>
      <c r="C846" s="5">
        <f>VLOOKUP(B846,$J$14:$K$64,2,0)</f>
        <v>2110</v>
      </c>
      <c r="D846" t="str">
        <f t="shared" si="12"/>
        <v>Botas</v>
      </c>
    </row>
    <row r="847" spans="1:4" x14ac:dyDescent="0.25">
      <c r="A847" s="1">
        <v>42798</v>
      </c>
      <c r="B847" t="s">
        <v>496</v>
      </c>
      <c r="C847" s="5">
        <f>VLOOKUP(B847,$J$14:$K$64,2,0)</f>
        <v>1040</v>
      </c>
      <c r="D847" t="str">
        <f t="shared" si="12"/>
        <v>Deportivos</v>
      </c>
    </row>
    <row r="848" spans="1:4" x14ac:dyDescent="0.25">
      <c r="A848" s="1">
        <v>43040</v>
      </c>
      <c r="B848" t="s">
        <v>488</v>
      </c>
      <c r="C848" s="5">
        <f>VLOOKUP(B848,$J$14:$K$64,2,0)</f>
        <v>819.99999999999989</v>
      </c>
      <c r="D848" t="str">
        <f t="shared" ref="D848:D911" si="13">VLOOKUP(B848,$J$14:$L$64,3,0)</f>
        <v>Casuales</v>
      </c>
    </row>
    <row r="849" spans="1:4" x14ac:dyDescent="0.25">
      <c r="A849" s="1">
        <v>42738</v>
      </c>
      <c r="B849" t="s">
        <v>506</v>
      </c>
      <c r="C849" s="5">
        <f>VLOOKUP(B849,$J$14:$K$64,2,0)</f>
        <v>1230</v>
      </c>
      <c r="D849" t="str">
        <f t="shared" si="13"/>
        <v>Deportivos</v>
      </c>
    </row>
    <row r="850" spans="1:4" x14ac:dyDescent="0.25">
      <c r="A850" s="1">
        <v>42763</v>
      </c>
      <c r="B850" t="s">
        <v>486</v>
      </c>
      <c r="C850" s="5">
        <f>VLOOKUP(B850,$J$14:$K$64,2,0)</f>
        <v>2110</v>
      </c>
      <c r="D850" t="str">
        <f t="shared" si="13"/>
        <v>Botas</v>
      </c>
    </row>
    <row r="851" spans="1:4" x14ac:dyDescent="0.25">
      <c r="A851" s="1">
        <v>42953</v>
      </c>
      <c r="B851" t="s">
        <v>465</v>
      </c>
      <c r="C851" s="5">
        <f>VLOOKUP(B851,$J$14:$K$64,2,0)</f>
        <v>1560</v>
      </c>
      <c r="D851" t="str">
        <f t="shared" si="13"/>
        <v>Botas</v>
      </c>
    </row>
    <row r="852" spans="1:4" x14ac:dyDescent="0.25">
      <c r="A852" s="1">
        <v>42901</v>
      </c>
      <c r="B852" t="s">
        <v>465</v>
      </c>
      <c r="C852" s="5">
        <f>VLOOKUP(B852,$J$14:$K$64,2,0)</f>
        <v>1560</v>
      </c>
      <c r="D852" t="str">
        <f t="shared" si="13"/>
        <v>Botas</v>
      </c>
    </row>
    <row r="853" spans="1:4" x14ac:dyDescent="0.25">
      <c r="A853" s="1">
        <v>42971</v>
      </c>
      <c r="B853" t="s">
        <v>459</v>
      </c>
      <c r="C853" s="5">
        <f>VLOOKUP(B853,$J$14:$K$64,2,0)</f>
        <v>1640.0000000000002</v>
      </c>
      <c r="D853" t="str">
        <f t="shared" si="13"/>
        <v>Botas</v>
      </c>
    </row>
    <row r="854" spans="1:4" x14ac:dyDescent="0.25">
      <c r="A854" s="1">
        <v>43043</v>
      </c>
      <c r="B854" t="s">
        <v>492</v>
      </c>
      <c r="C854" s="5">
        <f>VLOOKUP(B854,$J$14:$K$64,2,0)</f>
        <v>1500</v>
      </c>
      <c r="D854" t="str">
        <f t="shared" si="13"/>
        <v>Deportivos</v>
      </c>
    </row>
    <row r="855" spans="1:4" x14ac:dyDescent="0.25">
      <c r="A855" s="1">
        <v>42784</v>
      </c>
      <c r="B855" t="s">
        <v>533</v>
      </c>
      <c r="C855" s="5">
        <f>VLOOKUP(B855,$J$14:$K$64,2,0)</f>
        <v>1120</v>
      </c>
      <c r="D855" t="str">
        <f t="shared" si="13"/>
        <v>Formales</v>
      </c>
    </row>
    <row r="856" spans="1:4" x14ac:dyDescent="0.25">
      <c r="A856" s="1">
        <v>42793</v>
      </c>
      <c r="B856" t="s">
        <v>523</v>
      </c>
      <c r="C856" s="5">
        <f>VLOOKUP(B856,$J$14:$K$64,2,0)</f>
        <v>1050</v>
      </c>
      <c r="D856" t="str">
        <f t="shared" si="13"/>
        <v>Formales</v>
      </c>
    </row>
    <row r="857" spans="1:4" x14ac:dyDescent="0.25">
      <c r="A857" s="1">
        <v>43090</v>
      </c>
      <c r="B857" t="s">
        <v>523</v>
      </c>
      <c r="C857" s="5">
        <f>VLOOKUP(B857,$J$14:$K$64,2,0)</f>
        <v>1050</v>
      </c>
      <c r="D857" t="str">
        <f t="shared" si="13"/>
        <v>Formales</v>
      </c>
    </row>
    <row r="858" spans="1:4" x14ac:dyDescent="0.25">
      <c r="A858" s="1">
        <v>42829</v>
      </c>
      <c r="B858" t="s">
        <v>494</v>
      </c>
      <c r="C858" s="5">
        <f>VLOOKUP(B858,$J$14:$K$64,2,0)</f>
        <v>1480</v>
      </c>
      <c r="D858" t="str">
        <f t="shared" si="13"/>
        <v>Deportivos</v>
      </c>
    </row>
    <row r="859" spans="1:4" x14ac:dyDescent="0.25">
      <c r="A859" s="1">
        <v>43008</v>
      </c>
      <c r="B859" t="s">
        <v>518</v>
      </c>
      <c r="C859" s="5">
        <f>VLOOKUP(B859,$J$14:$K$64,2,0)</f>
        <v>1090</v>
      </c>
      <c r="D859" t="str">
        <f t="shared" si="13"/>
        <v>Casuales</v>
      </c>
    </row>
    <row r="860" spans="1:4" x14ac:dyDescent="0.25">
      <c r="A860" s="1">
        <v>42958</v>
      </c>
      <c r="B860" t="s">
        <v>533</v>
      </c>
      <c r="C860" s="5">
        <f>VLOOKUP(B860,$J$14:$K$64,2,0)</f>
        <v>1120</v>
      </c>
      <c r="D860" t="str">
        <f t="shared" si="13"/>
        <v>Formales</v>
      </c>
    </row>
    <row r="861" spans="1:4" x14ac:dyDescent="0.25">
      <c r="A861" s="1">
        <v>43012</v>
      </c>
      <c r="B861" t="s">
        <v>541</v>
      </c>
      <c r="C861" s="5">
        <f>VLOOKUP(B861,$J$14:$K$64,2,0)</f>
        <v>1240</v>
      </c>
      <c r="D861" t="str">
        <f t="shared" si="13"/>
        <v>Formales</v>
      </c>
    </row>
    <row r="862" spans="1:4" x14ac:dyDescent="0.25">
      <c r="A862" s="1">
        <v>42762</v>
      </c>
      <c r="B862" t="s">
        <v>465</v>
      </c>
      <c r="C862" s="5">
        <f>VLOOKUP(B862,$J$14:$K$64,2,0)</f>
        <v>1560</v>
      </c>
      <c r="D862" t="str">
        <f t="shared" si="13"/>
        <v>Botas</v>
      </c>
    </row>
    <row r="863" spans="1:4" x14ac:dyDescent="0.25">
      <c r="A863" s="1">
        <v>43093</v>
      </c>
      <c r="B863" t="s">
        <v>535</v>
      </c>
      <c r="C863" s="5">
        <f>VLOOKUP(B863,$J$14:$K$64,2,0)</f>
        <v>1740.0000000000002</v>
      </c>
      <c r="D863" t="str">
        <f t="shared" si="13"/>
        <v>Formales</v>
      </c>
    </row>
    <row r="864" spans="1:4" x14ac:dyDescent="0.25">
      <c r="A864" s="1">
        <v>42859</v>
      </c>
      <c r="B864" t="s">
        <v>512</v>
      </c>
      <c r="C864" s="5">
        <f>VLOOKUP(B864,$J$14:$K$64,2,0)</f>
        <v>1050</v>
      </c>
      <c r="D864" t="str">
        <f t="shared" si="13"/>
        <v>Formales</v>
      </c>
    </row>
    <row r="865" spans="1:4" x14ac:dyDescent="0.25">
      <c r="A865" s="1">
        <v>43087</v>
      </c>
      <c r="B865" t="s">
        <v>508</v>
      </c>
      <c r="C865" s="5">
        <f>VLOOKUP(B865,$J$14:$K$64,2,0)</f>
        <v>1100</v>
      </c>
      <c r="D865" t="str">
        <f t="shared" si="13"/>
        <v>Deportivos</v>
      </c>
    </row>
    <row r="866" spans="1:4" x14ac:dyDescent="0.25">
      <c r="A866" s="1">
        <v>42804</v>
      </c>
      <c r="B866" t="s">
        <v>508</v>
      </c>
      <c r="C866" s="5">
        <f>VLOOKUP(B866,$J$14:$K$64,2,0)</f>
        <v>1100</v>
      </c>
      <c r="D866" t="str">
        <f t="shared" si="13"/>
        <v>Deportivos</v>
      </c>
    </row>
    <row r="867" spans="1:4" x14ac:dyDescent="0.25">
      <c r="A867" s="1">
        <v>42845</v>
      </c>
      <c r="B867" t="s">
        <v>547</v>
      </c>
      <c r="C867" s="5">
        <f>VLOOKUP(B867,$J$14:$K$64,2,0)</f>
        <v>1170</v>
      </c>
      <c r="D867" t="str">
        <f t="shared" si="13"/>
        <v>Formales</v>
      </c>
    </row>
    <row r="868" spans="1:4" x14ac:dyDescent="0.25">
      <c r="A868" s="1">
        <v>42989</v>
      </c>
      <c r="B868" t="s">
        <v>498</v>
      </c>
      <c r="C868" s="5">
        <f>VLOOKUP(B868,$J$14:$K$64,2,0)</f>
        <v>840</v>
      </c>
      <c r="D868" t="str">
        <f t="shared" si="13"/>
        <v>Deportivos</v>
      </c>
    </row>
    <row r="869" spans="1:4" x14ac:dyDescent="0.25">
      <c r="A869" s="1">
        <v>43047</v>
      </c>
      <c r="B869" t="s">
        <v>472</v>
      </c>
      <c r="C869" s="5">
        <f>VLOOKUP(B869,$J$14:$K$64,2,0)</f>
        <v>1710.0000000000002</v>
      </c>
      <c r="D869" t="str">
        <f t="shared" si="13"/>
        <v>Formales</v>
      </c>
    </row>
    <row r="870" spans="1:4" x14ac:dyDescent="0.25">
      <c r="A870" s="1">
        <v>42765</v>
      </c>
      <c r="B870" t="s">
        <v>465</v>
      </c>
      <c r="C870" s="5">
        <f>VLOOKUP(B870,$J$14:$K$64,2,0)</f>
        <v>1560</v>
      </c>
      <c r="D870" t="str">
        <f t="shared" si="13"/>
        <v>Botas</v>
      </c>
    </row>
    <row r="871" spans="1:4" x14ac:dyDescent="0.25">
      <c r="A871" s="1">
        <v>42980</v>
      </c>
      <c r="B871" t="s">
        <v>451</v>
      </c>
      <c r="C871" s="5">
        <f>VLOOKUP(B871,$J$14:$K$64,2,0)</f>
        <v>350</v>
      </c>
      <c r="D871" t="str">
        <f t="shared" si="13"/>
        <v>Sandalias</v>
      </c>
    </row>
    <row r="872" spans="1:4" x14ac:dyDescent="0.25">
      <c r="A872" s="1">
        <v>42973</v>
      </c>
      <c r="B872" t="s">
        <v>472</v>
      </c>
      <c r="C872" s="5">
        <f>VLOOKUP(B872,$J$14:$K$64,2,0)</f>
        <v>1710.0000000000002</v>
      </c>
      <c r="D872" t="str">
        <f t="shared" si="13"/>
        <v>Formales</v>
      </c>
    </row>
    <row r="873" spans="1:4" x14ac:dyDescent="0.25">
      <c r="A873" s="1">
        <v>42918</v>
      </c>
      <c r="B873" t="s">
        <v>518</v>
      </c>
      <c r="C873" s="5">
        <f>VLOOKUP(B873,$J$14:$K$64,2,0)</f>
        <v>1090</v>
      </c>
      <c r="D873" t="str">
        <f t="shared" si="13"/>
        <v>Casuales</v>
      </c>
    </row>
    <row r="874" spans="1:4" x14ac:dyDescent="0.25">
      <c r="A874" s="1">
        <v>42815</v>
      </c>
      <c r="B874" t="s">
        <v>521</v>
      </c>
      <c r="C874" s="5">
        <f>VLOOKUP(B874,$J$14:$K$64,2,0)</f>
        <v>1160</v>
      </c>
      <c r="D874" t="str">
        <f t="shared" si="13"/>
        <v>Casuales</v>
      </c>
    </row>
    <row r="875" spans="1:4" x14ac:dyDescent="0.25">
      <c r="A875" s="1">
        <v>43097</v>
      </c>
      <c r="B875" t="s">
        <v>474</v>
      </c>
      <c r="C875" s="5">
        <f>VLOOKUP(B875,$J$14:$K$64,2,0)</f>
        <v>1620.0000000000002</v>
      </c>
      <c r="D875" t="str">
        <f t="shared" si="13"/>
        <v>Formales</v>
      </c>
    </row>
    <row r="876" spans="1:4" x14ac:dyDescent="0.25">
      <c r="A876" s="1">
        <v>42903</v>
      </c>
      <c r="B876" t="s">
        <v>494</v>
      </c>
      <c r="C876" s="5">
        <f>VLOOKUP(B876,$J$14:$K$64,2,0)</f>
        <v>1480</v>
      </c>
      <c r="D876" t="str">
        <f t="shared" si="13"/>
        <v>Deportivos</v>
      </c>
    </row>
    <row r="877" spans="1:4" x14ac:dyDescent="0.25">
      <c r="A877" s="1">
        <v>42999</v>
      </c>
      <c r="B877" t="s">
        <v>525</v>
      </c>
      <c r="C877" s="5">
        <f>VLOOKUP(B877,$J$14:$K$64,2,0)</f>
        <v>2130</v>
      </c>
      <c r="D877" t="str">
        <f t="shared" si="13"/>
        <v>Botas</v>
      </c>
    </row>
    <row r="878" spans="1:4" x14ac:dyDescent="0.25">
      <c r="A878" s="1">
        <v>42781</v>
      </c>
      <c r="B878" t="s">
        <v>490</v>
      </c>
      <c r="C878" s="5">
        <f>VLOOKUP(B878,$J$14:$K$64,2,0)</f>
        <v>560</v>
      </c>
      <c r="D878" t="str">
        <f t="shared" si="13"/>
        <v>Sandalias</v>
      </c>
    </row>
    <row r="879" spans="1:4" x14ac:dyDescent="0.25">
      <c r="A879" s="1">
        <v>43012</v>
      </c>
      <c r="B879" t="s">
        <v>465</v>
      </c>
      <c r="C879" s="5">
        <f>VLOOKUP(B879,$J$14:$K$64,2,0)</f>
        <v>1560</v>
      </c>
      <c r="D879" t="str">
        <f t="shared" si="13"/>
        <v>Botas</v>
      </c>
    </row>
    <row r="880" spans="1:4" x14ac:dyDescent="0.25">
      <c r="A880" s="1">
        <v>42808</v>
      </c>
      <c r="B880" t="s">
        <v>508</v>
      </c>
      <c r="C880" s="5">
        <f>VLOOKUP(B880,$J$14:$K$64,2,0)</f>
        <v>1100</v>
      </c>
      <c r="D880" t="str">
        <f t="shared" si="13"/>
        <v>Deportivos</v>
      </c>
    </row>
    <row r="881" spans="1:4" x14ac:dyDescent="0.25">
      <c r="A881" s="1">
        <v>43101</v>
      </c>
      <c r="B881" t="s">
        <v>510</v>
      </c>
      <c r="C881" s="5">
        <f>VLOOKUP(B881,$J$14:$K$64,2,0)</f>
        <v>969.99999999999989</v>
      </c>
      <c r="D881" t="str">
        <f t="shared" si="13"/>
        <v>Formales</v>
      </c>
    </row>
    <row r="882" spans="1:4" x14ac:dyDescent="0.25">
      <c r="A882" s="1">
        <v>42769</v>
      </c>
      <c r="B882" t="s">
        <v>484</v>
      </c>
      <c r="C882" s="5">
        <f>VLOOKUP(B882,$J$14:$K$64,2,0)</f>
        <v>1530</v>
      </c>
      <c r="D882" t="str">
        <f t="shared" si="13"/>
        <v>Formales</v>
      </c>
    </row>
    <row r="883" spans="1:4" x14ac:dyDescent="0.25">
      <c r="A883" s="1">
        <v>42752</v>
      </c>
      <c r="B883" t="s">
        <v>502</v>
      </c>
      <c r="C883" s="5">
        <f>VLOOKUP(B883,$J$14:$K$64,2,0)</f>
        <v>869.99999999999989</v>
      </c>
      <c r="D883" t="str">
        <f t="shared" si="13"/>
        <v>Casuales</v>
      </c>
    </row>
    <row r="884" spans="1:4" x14ac:dyDescent="0.25">
      <c r="A884" s="1">
        <v>42762</v>
      </c>
      <c r="B884" t="s">
        <v>514</v>
      </c>
      <c r="C884" s="5">
        <f>VLOOKUP(B884,$J$14:$K$64,2,0)</f>
        <v>960</v>
      </c>
      <c r="D884" t="str">
        <f t="shared" si="13"/>
        <v>Casuales</v>
      </c>
    </row>
    <row r="885" spans="1:4" x14ac:dyDescent="0.25">
      <c r="A885" s="1">
        <v>42861</v>
      </c>
      <c r="B885" t="s">
        <v>514</v>
      </c>
      <c r="C885" s="5">
        <f>VLOOKUP(B885,$J$14:$K$64,2,0)</f>
        <v>960</v>
      </c>
      <c r="D885" t="str">
        <f t="shared" si="13"/>
        <v>Casuales</v>
      </c>
    </row>
    <row r="886" spans="1:4" x14ac:dyDescent="0.25">
      <c r="A886" s="1">
        <v>42836</v>
      </c>
      <c r="B886" t="s">
        <v>494</v>
      </c>
      <c r="C886" s="5">
        <f>VLOOKUP(B886,$J$14:$K$64,2,0)</f>
        <v>1480</v>
      </c>
      <c r="D886" t="str">
        <f t="shared" si="13"/>
        <v>Deportivos</v>
      </c>
    </row>
    <row r="887" spans="1:4" x14ac:dyDescent="0.25">
      <c r="A887" s="1">
        <v>42969</v>
      </c>
      <c r="B887" t="s">
        <v>516</v>
      </c>
      <c r="C887" s="5">
        <f>VLOOKUP(B887,$J$14:$K$64,2,0)</f>
        <v>979.99999999999989</v>
      </c>
      <c r="D887" t="str">
        <f t="shared" si="13"/>
        <v>Casuales</v>
      </c>
    </row>
    <row r="888" spans="1:4" x14ac:dyDescent="0.25">
      <c r="A888" s="1">
        <v>43065</v>
      </c>
      <c r="B888" t="s">
        <v>488</v>
      </c>
      <c r="C888" s="5">
        <f>VLOOKUP(B888,$J$14:$K$64,2,0)</f>
        <v>819.99999999999989</v>
      </c>
      <c r="D888" t="str">
        <f t="shared" si="13"/>
        <v>Casuales</v>
      </c>
    </row>
    <row r="889" spans="1:4" x14ac:dyDescent="0.25">
      <c r="A889" s="1">
        <v>43068</v>
      </c>
      <c r="B889" t="s">
        <v>465</v>
      </c>
      <c r="C889" s="5">
        <f>VLOOKUP(B889,$J$14:$K$64,2,0)</f>
        <v>1560</v>
      </c>
      <c r="D889" t="str">
        <f t="shared" si="13"/>
        <v>Botas</v>
      </c>
    </row>
    <row r="890" spans="1:4" x14ac:dyDescent="0.25">
      <c r="A890" s="1">
        <v>42921</v>
      </c>
      <c r="B890" t="s">
        <v>488</v>
      </c>
      <c r="C890" s="5">
        <f>VLOOKUP(B890,$J$14:$K$64,2,0)</f>
        <v>819.99999999999989</v>
      </c>
      <c r="D890" t="str">
        <f t="shared" si="13"/>
        <v>Casuales</v>
      </c>
    </row>
    <row r="891" spans="1:4" x14ac:dyDescent="0.25">
      <c r="A891" s="1">
        <v>43024</v>
      </c>
      <c r="B891" t="s">
        <v>541</v>
      </c>
      <c r="C891" s="5">
        <f>VLOOKUP(B891,$J$14:$K$64,2,0)</f>
        <v>1240</v>
      </c>
      <c r="D891" t="str">
        <f t="shared" si="13"/>
        <v>Formales</v>
      </c>
    </row>
    <row r="892" spans="1:4" x14ac:dyDescent="0.25">
      <c r="A892" s="1">
        <v>43076</v>
      </c>
      <c r="B892" t="s">
        <v>518</v>
      </c>
      <c r="C892" s="5">
        <f>VLOOKUP(B892,$J$14:$K$64,2,0)</f>
        <v>1090</v>
      </c>
      <c r="D892" t="str">
        <f t="shared" si="13"/>
        <v>Casuales</v>
      </c>
    </row>
    <row r="893" spans="1:4" x14ac:dyDescent="0.25">
      <c r="A893" s="1">
        <v>42817</v>
      </c>
      <c r="B893" t="s">
        <v>539</v>
      </c>
      <c r="C893" s="5">
        <f>VLOOKUP(B893,$J$14:$K$64,2,0)</f>
        <v>950</v>
      </c>
      <c r="D893" t="str">
        <f t="shared" si="13"/>
        <v>Casuales</v>
      </c>
    </row>
    <row r="894" spans="1:4" x14ac:dyDescent="0.25">
      <c r="A894" s="1">
        <v>42754</v>
      </c>
      <c r="B894" t="s">
        <v>490</v>
      </c>
      <c r="C894" s="5">
        <f>VLOOKUP(B894,$J$14:$K$64,2,0)</f>
        <v>560</v>
      </c>
      <c r="D894" t="str">
        <f t="shared" si="13"/>
        <v>Sandalias</v>
      </c>
    </row>
    <row r="895" spans="1:4" x14ac:dyDescent="0.25">
      <c r="A895" s="1">
        <v>42969</v>
      </c>
      <c r="B895" t="s">
        <v>494</v>
      </c>
      <c r="C895" s="5">
        <f>VLOOKUP(B895,$J$14:$K$64,2,0)</f>
        <v>1480</v>
      </c>
      <c r="D895" t="str">
        <f t="shared" si="13"/>
        <v>Deportivos</v>
      </c>
    </row>
    <row r="896" spans="1:4" x14ac:dyDescent="0.25">
      <c r="A896" s="1">
        <v>43053</v>
      </c>
      <c r="B896" t="s">
        <v>480</v>
      </c>
      <c r="C896" s="5">
        <f>VLOOKUP(B896,$J$14:$K$64,2,0)</f>
        <v>1750</v>
      </c>
      <c r="D896" t="str">
        <f t="shared" si="13"/>
        <v>Deportivos</v>
      </c>
    </row>
    <row r="897" spans="1:4" x14ac:dyDescent="0.25">
      <c r="A897" s="1">
        <v>43054</v>
      </c>
      <c r="B897" t="s">
        <v>539</v>
      </c>
      <c r="C897" s="5">
        <f>VLOOKUP(B897,$J$14:$K$64,2,0)</f>
        <v>950</v>
      </c>
      <c r="D897" t="str">
        <f t="shared" si="13"/>
        <v>Casuales</v>
      </c>
    </row>
    <row r="898" spans="1:4" x14ac:dyDescent="0.25">
      <c r="A898" s="1">
        <v>42791</v>
      </c>
      <c r="B898" t="s">
        <v>472</v>
      </c>
      <c r="C898" s="5">
        <f>VLOOKUP(B898,$J$14:$K$64,2,0)</f>
        <v>1710.0000000000002</v>
      </c>
      <c r="D898" t="str">
        <f t="shared" si="13"/>
        <v>Formales</v>
      </c>
    </row>
    <row r="899" spans="1:4" x14ac:dyDescent="0.25">
      <c r="A899" s="1">
        <v>42831</v>
      </c>
      <c r="B899" t="s">
        <v>504</v>
      </c>
      <c r="C899" s="5">
        <f>VLOOKUP(B899,$J$14:$K$64,2,0)</f>
        <v>1700</v>
      </c>
      <c r="D899" t="str">
        <f t="shared" si="13"/>
        <v>Deportivos</v>
      </c>
    </row>
    <row r="900" spans="1:4" x14ac:dyDescent="0.25">
      <c r="A900" s="1">
        <v>42851</v>
      </c>
      <c r="B900" t="s">
        <v>492</v>
      </c>
      <c r="C900" s="5">
        <f>VLOOKUP(B900,$J$14:$K$64,2,0)</f>
        <v>1500</v>
      </c>
      <c r="D900" t="str">
        <f t="shared" si="13"/>
        <v>Deportivos</v>
      </c>
    </row>
    <row r="901" spans="1:4" x14ac:dyDescent="0.25">
      <c r="A901" s="1">
        <v>42871</v>
      </c>
      <c r="B901" t="s">
        <v>500</v>
      </c>
      <c r="C901" s="5">
        <f>VLOOKUP(B901,$J$14:$K$64,2,0)</f>
        <v>1019.9999999999999</v>
      </c>
      <c r="D901" t="str">
        <f t="shared" si="13"/>
        <v>Casuales</v>
      </c>
    </row>
    <row r="902" spans="1:4" x14ac:dyDescent="0.25">
      <c r="A902" s="1">
        <v>43023</v>
      </c>
      <c r="B902" t="s">
        <v>533</v>
      </c>
      <c r="C902" s="5">
        <f>VLOOKUP(B902,$J$14:$K$64,2,0)</f>
        <v>1120</v>
      </c>
      <c r="D902" t="str">
        <f t="shared" si="13"/>
        <v>Formales</v>
      </c>
    </row>
    <row r="903" spans="1:4" x14ac:dyDescent="0.25">
      <c r="A903" s="1">
        <v>42800</v>
      </c>
      <c r="B903" t="s">
        <v>543</v>
      </c>
      <c r="C903" s="5">
        <f>VLOOKUP(B903,$J$14:$K$64,2,0)</f>
        <v>1710.0000000000002</v>
      </c>
      <c r="D903" t="str">
        <f t="shared" si="13"/>
        <v>Deportivos</v>
      </c>
    </row>
    <row r="904" spans="1:4" x14ac:dyDescent="0.25">
      <c r="A904" s="1">
        <v>42856</v>
      </c>
      <c r="B904" t="s">
        <v>545</v>
      </c>
      <c r="C904" s="5">
        <f>VLOOKUP(B904,$J$14:$K$64,2,0)</f>
        <v>1840.0000000000002</v>
      </c>
      <c r="D904" t="str">
        <f t="shared" si="13"/>
        <v>Botas</v>
      </c>
    </row>
    <row r="905" spans="1:4" x14ac:dyDescent="0.25">
      <c r="A905" s="1">
        <v>42836</v>
      </c>
      <c r="B905" t="s">
        <v>539</v>
      </c>
      <c r="C905" s="5">
        <f>VLOOKUP(B905,$J$14:$K$64,2,0)</f>
        <v>950</v>
      </c>
      <c r="D905" t="str">
        <f t="shared" si="13"/>
        <v>Casuales</v>
      </c>
    </row>
    <row r="906" spans="1:4" x14ac:dyDescent="0.25">
      <c r="A906" s="1">
        <v>42943</v>
      </c>
      <c r="B906" t="s">
        <v>486</v>
      </c>
      <c r="C906" s="5">
        <f>VLOOKUP(B906,$J$14:$K$64,2,0)</f>
        <v>2110</v>
      </c>
      <c r="D906" t="str">
        <f t="shared" si="13"/>
        <v>Botas</v>
      </c>
    </row>
    <row r="907" spans="1:4" x14ac:dyDescent="0.25">
      <c r="A907" s="1">
        <v>42959</v>
      </c>
      <c r="B907" t="s">
        <v>527</v>
      </c>
      <c r="C907" s="5">
        <f>VLOOKUP(B907,$J$14:$K$64,2,0)</f>
        <v>1180</v>
      </c>
      <c r="D907" t="str">
        <f t="shared" si="13"/>
        <v>Formales</v>
      </c>
    </row>
    <row r="908" spans="1:4" x14ac:dyDescent="0.25">
      <c r="A908" s="1">
        <v>43094</v>
      </c>
      <c r="B908" t="s">
        <v>514</v>
      </c>
      <c r="C908" s="5">
        <f>VLOOKUP(B908,$J$14:$K$64,2,0)</f>
        <v>960</v>
      </c>
      <c r="D908" t="str">
        <f t="shared" si="13"/>
        <v>Casuales</v>
      </c>
    </row>
    <row r="909" spans="1:4" x14ac:dyDescent="0.25">
      <c r="A909" s="1">
        <v>42766</v>
      </c>
      <c r="B909" t="s">
        <v>463</v>
      </c>
      <c r="C909" s="5">
        <f>VLOOKUP(B909,$J$14:$K$64,2,0)</f>
        <v>940</v>
      </c>
      <c r="D909" t="str">
        <f t="shared" si="13"/>
        <v>Formales</v>
      </c>
    </row>
    <row r="910" spans="1:4" x14ac:dyDescent="0.25">
      <c r="A910" s="1">
        <v>42887</v>
      </c>
      <c r="B910" t="s">
        <v>474</v>
      </c>
      <c r="C910" s="5">
        <f>VLOOKUP(B910,$J$14:$K$64,2,0)</f>
        <v>1620.0000000000002</v>
      </c>
      <c r="D910" t="str">
        <f t="shared" si="13"/>
        <v>Formales</v>
      </c>
    </row>
    <row r="911" spans="1:4" x14ac:dyDescent="0.25">
      <c r="A911" s="1">
        <v>42966</v>
      </c>
      <c r="B911" t="s">
        <v>518</v>
      </c>
      <c r="C911" s="5">
        <f>VLOOKUP(B911,$J$14:$K$64,2,0)</f>
        <v>1090</v>
      </c>
      <c r="D911" t="str">
        <f t="shared" si="13"/>
        <v>Casuales</v>
      </c>
    </row>
    <row r="912" spans="1:4" x14ac:dyDescent="0.25">
      <c r="A912" s="1">
        <v>43068</v>
      </c>
      <c r="B912" t="s">
        <v>474</v>
      </c>
      <c r="C912" s="5">
        <f>VLOOKUP(B912,$J$14:$K$64,2,0)</f>
        <v>1620.0000000000002</v>
      </c>
      <c r="D912" t="str">
        <f t="shared" ref="D912:D975" si="14">VLOOKUP(B912,$J$14:$L$64,3,0)</f>
        <v>Formales</v>
      </c>
    </row>
    <row r="913" spans="1:4" x14ac:dyDescent="0.25">
      <c r="A913" s="1">
        <v>42781</v>
      </c>
      <c r="B913" t="s">
        <v>480</v>
      </c>
      <c r="C913" s="5">
        <f>VLOOKUP(B913,$J$14:$K$64,2,0)</f>
        <v>1750</v>
      </c>
      <c r="D913" t="str">
        <f t="shared" si="14"/>
        <v>Deportivos</v>
      </c>
    </row>
    <row r="914" spans="1:4" x14ac:dyDescent="0.25">
      <c r="A914" s="1">
        <v>43077</v>
      </c>
      <c r="B914" t="s">
        <v>529</v>
      </c>
      <c r="C914" s="5">
        <f>VLOOKUP(B914,$J$14:$K$64,2,0)</f>
        <v>2480</v>
      </c>
      <c r="D914" t="str">
        <f t="shared" si="14"/>
        <v>Botas</v>
      </c>
    </row>
    <row r="915" spans="1:4" x14ac:dyDescent="0.25">
      <c r="A915" s="1">
        <v>42821</v>
      </c>
      <c r="B915" t="s">
        <v>459</v>
      </c>
      <c r="C915" s="5">
        <f>VLOOKUP(B915,$J$14:$K$64,2,0)</f>
        <v>1640.0000000000002</v>
      </c>
      <c r="D915" t="str">
        <f t="shared" si="14"/>
        <v>Botas</v>
      </c>
    </row>
    <row r="916" spans="1:4" x14ac:dyDescent="0.25">
      <c r="A916" s="1">
        <v>42777</v>
      </c>
      <c r="B916" t="s">
        <v>541</v>
      </c>
      <c r="C916" s="5">
        <f>VLOOKUP(B916,$J$14:$K$64,2,0)</f>
        <v>1240</v>
      </c>
      <c r="D916" t="str">
        <f t="shared" si="14"/>
        <v>Formales</v>
      </c>
    </row>
    <row r="917" spans="1:4" x14ac:dyDescent="0.25">
      <c r="A917" s="1">
        <v>42889</v>
      </c>
      <c r="B917" t="s">
        <v>510</v>
      </c>
      <c r="C917" s="5">
        <f>VLOOKUP(B917,$J$14:$K$64,2,0)</f>
        <v>969.99999999999989</v>
      </c>
      <c r="D917" t="str">
        <f t="shared" si="14"/>
        <v>Formales</v>
      </c>
    </row>
    <row r="918" spans="1:4" x14ac:dyDescent="0.25">
      <c r="A918" s="1">
        <v>42838</v>
      </c>
      <c r="B918" t="s">
        <v>506</v>
      </c>
      <c r="C918" s="5">
        <f>VLOOKUP(B918,$J$14:$K$64,2,0)</f>
        <v>1230</v>
      </c>
      <c r="D918" t="str">
        <f t="shared" si="14"/>
        <v>Deportivos</v>
      </c>
    </row>
    <row r="919" spans="1:4" x14ac:dyDescent="0.25">
      <c r="A919" s="1">
        <v>43037</v>
      </c>
      <c r="B919" t="s">
        <v>529</v>
      </c>
      <c r="C919" s="5">
        <f>VLOOKUP(B919,$J$14:$K$64,2,0)</f>
        <v>2480</v>
      </c>
      <c r="D919" t="str">
        <f t="shared" si="14"/>
        <v>Botas</v>
      </c>
    </row>
    <row r="920" spans="1:4" x14ac:dyDescent="0.25">
      <c r="A920" s="1">
        <v>42811</v>
      </c>
      <c r="B920" t="s">
        <v>488</v>
      </c>
      <c r="C920" s="5">
        <f>VLOOKUP(B920,$J$14:$K$64,2,0)</f>
        <v>819.99999999999989</v>
      </c>
      <c r="D920" t="str">
        <f t="shared" si="14"/>
        <v>Casuales</v>
      </c>
    </row>
    <row r="921" spans="1:4" x14ac:dyDescent="0.25">
      <c r="A921" s="1">
        <v>42781</v>
      </c>
      <c r="B921" t="s">
        <v>454</v>
      </c>
      <c r="C921" s="5">
        <f>VLOOKUP(B921,$J$14:$K$64,2,0)</f>
        <v>690</v>
      </c>
      <c r="D921" t="str">
        <f t="shared" si="14"/>
        <v>Sandalias</v>
      </c>
    </row>
    <row r="922" spans="1:4" x14ac:dyDescent="0.25">
      <c r="A922" s="1">
        <v>43085</v>
      </c>
      <c r="B922" t="s">
        <v>498</v>
      </c>
      <c r="C922" s="5">
        <f>VLOOKUP(B922,$J$14:$K$64,2,0)</f>
        <v>840</v>
      </c>
      <c r="D922" t="str">
        <f t="shared" si="14"/>
        <v>Deportivos</v>
      </c>
    </row>
    <row r="923" spans="1:4" x14ac:dyDescent="0.25">
      <c r="A923" s="1">
        <v>42771</v>
      </c>
      <c r="B923" t="s">
        <v>445</v>
      </c>
      <c r="C923" s="5">
        <f>VLOOKUP(B923,$J$14:$K$64,2,0)</f>
        <v>1680</v>
      </c>
      <c r="D923" t="str">
        <f t="shared" si="14"/>
        <v>Deportivos</v>
      </c>
    </row>
    <row r="924" spans="1:4" x14ac:dyDescent="0.25">
      <c r="A924" s="1">
        <v>42868</v>
      </c>
      <c r="B924" t="s">
        <v>445</v>
      </c>
      <c r="C924" s="5">
        <f>VLOOKUP(B924,$J$14:$K$64,2,0)</f>
        <v>1680</v>
      </c>
      <c r="D924" t="str">
        <f t="shared" si="14"/>
        <v>Deportivos</v>
      </c>
    </row>
    <row r="925" spans="1:4" x14ac:dyDescent="0.25">
      <c r="A925" s="1">
        <v>42864</v>
      </c>
      <c r="B925" t="s">
        <v>478</v>
      </c>
      <c r="C925" s="5">
        <f>VLOOKUP(B925,$J$14:$K$64,2,0)</f>
        <v>2130</v>
      </c>
      <c r="D925" t="str">
        <f t="shared" si="14"/>
        <v>Botas</v>
      </c>
    </row>
    <row r="926" spans="1:4" x14ac:dyDescent="0.25">
      <c r="A926" s="1">
        <v>42822</v>
      </c>
      <c r="B926" t="s">
        <v>547</v>
      </c>
      <c r="C926" s="5">
        <f>VLOOKUP(B926,$J$14:$K$64,2,0)</f>
        <v>1170</v>
      </c>
      <c r="D926" t="str">
        <f t="shared" si="14"/>
        <v>Formales</v>
      </c>
    </row>
    <row r="927" spans="1:4" x14ac:dyDescent="0.25">
      <c r="A927" s="1">
        <v>42809</v>
      </c>
      <c r="B927" t="s">
        <v>494</v>
      </c>
      <c r="C927" s="5">
        <f>VLOOKUP(B927,$J$14:$K$64,2,0)</f>
        <v>1480</v>
      </c>
      <c r="D927" t="str">
        <f t="shared" si="14"/>
        <v>Deportivos</v>
      </c>
    </row>
    <row r="928" spans="1:4" x14ac:dyDescent="0.25">
      <c r="A928" s="1">
        <v>43085</v>
      </c>
      <c r="B928" t="s">
        <v>506</v>
      </c>
      <c r="C928" s="5">
        <f>VLOOKUP(B928,$J$14:$K$64,2,0)</f>
        <v>1230</v>
      </c>
      <c r="D928" t="str">
        <f t="shared" si="14"/>
        <v>Deportivos</v>
      </c>
    </row>
    <row r="929" spans="1:4" x14ac:dyDescent="0.25">
      <c r="A929" s="1">
        <v>42862</v>
      </c>
      <c r="B929" t="s">
        <v>478</v>
      </c>
      <c r="C929" s="5">
        <f>VLOOKUP(B929,$J$14:$K$64,2,0)</f>
        <v>2130</v>
      </c>
      <c r="D929" t="str">
        <f t="shared" si="14"/>
        <v>Botas</v>
      </c>
    </row>
    <row r="930" spans="1:4" x14ac:dyDescent="0.25">
      <c r="A930" s="1">
        <v>42746</v>
      </c>
      <c r="B930" t="s">
        <v>533</v>
      </c>
      <c r="C930" s="5">
        <f>VLOOKUP(B930,$J$14:$K$64,2,0)</f>
        <v>1120</v>
      </c>
      <c r="D930" t="str">
        <f t="shared" si="14"/>
        <v>Formales</v>
      </c>
    </row>
    <row r="931" spans="1:4" x14ac:dyDescent="0.25">
      <c r="A931" s="1">
        <v>42871</v>
      </c>
      <c r="B931" t="s">
        <v>545</v>
      </c>
      <c r="C931" s="5">
        <f>VLOOKUP(B931,$J$14:$K$64,2,0)</f>
        <v>1840.0000000000002</v>
      </c>
      <c r="D931" t="str">
        <f t="shared" si="14"/>
        <v>Botas</v>
      </c>
    </row>
    <row r="932" spans="1:4" x14ac:dyDescent="0.25">
      <c r="A932" s="1">
        <v>42759</v>
      </c>
      <c r="B932" t="s">
        <v>504</v>
      </c>
      <c r="C932" s="5">
        <f>VLOOKUP(B932,$J$14:$K$64,2,0)</f>
        <v>1700</v>
      </c>
      <c r="D932" t="str">
        <f t="shared" si="14"/>
        <v>Deportivos</v>
      </c>
    </row>
    <row r="933" spans="1:4" x14ac:dyDescent="0.25">
      <c r="A933" s="1">
        <v>43089</v>
      </c>
      <c r="B933" t="s">
        <v>543</v>
      </c>
      <c r="C933" s="5">
        <f>VLOOKUP(B933,$J$14:$K$64,2,0)</f>
        <v>1710.0000000000002</v>
      </c>
      <c r="D933" t="str">
        <f t="shared" si="14"/>
        <v>Deportivos</v>
      </c>
    </row>
    <row r="934" spans="1:4" x14ac:dyDescent="0.25">
      <c r="A934" s="1">
        <v>42988</v>
      </c>
      <c r="B934" t="s">
        <v>521</v>
      </c>
      <c r="C934" s="5">
        <f>VLOOKUP(B934,$J$14:$K$64,2,0)</f>
        <v>1160</v>
      </c>
      <c r="D934" t="str">
        <f t="shared" si="14"/>
        <v>Casuales</v>
      </c>
    </row>
    <row r="935" spans="1:4" x14ac:dyDescent="0.25">
      <c r="A935" s="1">
        <v>42855</v>
      </c>
      <c r="B935" t="s">
        <v>529</v>
      </c>
      <c r="C935" s="5">
        <f>VLOOKUP(B935,$J$14:$K$64,2,0)</f>
        <v>2480</v>
      </c>
      <c r="D935" t="str">
        <f t="shared" si="14"/>
        <v>Botas</v>
      </c>
    </row>
    <row r="936" spans="1:4" x14ac:dyDescent="0.25">
      <c r="A936" s="1">
        <v>43029</v>
      </c>
      <c r="B936" t="s">
        <v>492</v>
      </c>
      <c r="C936" s="5">
        <f>VLOOKUP(B936,$J$14:$K$64,2,0)</f>
        <v>1500</v>
      </c>
      <c r="D936" t="str">
        <f t="shared" si="14"/>
        <v>Deportivos</v>
      </c>
    </row>
    <row r="937" spans="1:4" x14ac:dyDescent="0.25">
      <c r="A937" s="1">
        <v>43053</v>
      </c>
      <c r="B937" t="s">
        <v>486</v>
      </c>
      <c r="C937" s="5">
        <f>VLOOKUP(B937,$J$14:$K$64,2,0)</f>
        <v>2110</v>
      </c>
      <c r="D937" t="str">
        <f t="shared" si="14"/>
        <v>Botas</v>
      </c>
    </row>
    <row r="938" spans="1:4" x14ac:dyDescent="0.25">
      <c r="A938" s="1">
        <v>42798</v>
      </c>
      <c r="B938" t="s">
        <v>504</v>
      </c>
      <c r="C938" s="5">
        <f>VLOOKUP(B938,$J$14:$K$64,2,0)</f>
        <v>1700</v>
      </c>
      <c r="D938" t="str">
        <f t="shared" si="14"/>
        <v>Deportivos</v>
      </c>
    </row>
    <row r="939" spans="1:4" x14ac:dyDescent="0.25">
      <c r="A939" s="1">
        <v>42850</v>
      </c>
      <c r="B939" t="s">
        <v>459</v>
      </c>
      <c r="C939" s="5">
        <f>VLOOKUP(B939,$J$14:$K$64,2,0)</f>
        <v>1640.0000000000002</v>
      </c>
      <c r="D939" t="str">
        <f t="shared" si="14"/>
        <v>Botas</v>
      </c>
    </row>
    <row r="940" spans="1:4" x14ac:dyDescent="0.25">
      <c r="A940" s="1">
        <v>42833</v>
      </c>
      <c r="B940" t="s">
        <v>525</v>
      </c>
      <c r="C940" s="5">
        <f>VLOOKUP(B940,$J$14:$K$64,2,0)</f>
        <v>2130</v>
      </c>
      <c r="D940" t="str">
        <f t="shared" si="14"/>
        <v>Botas</v>
      </c>
    </row>
    <row r="941" spans="1:4" x14ac:dyDescent="0.25">
      <c r="A941" s="1">
        <v>42932</v>
      </c>
      <c r="B941" t="s">
        <v>463</v>
      </c>
      <c r="C941" s="5">
        <f>VLOOKUP(B941,$J$14:$K$64,2,0)</f>
        <v>940</v>
      </c>
      <c r="D941" t="str">
        <f t="shared" si="14"/>
        <v>Formales</v>
      </c>
    </row>
    <row r="942" spans="1:4" x14ac:dyDescent="0.25">
      <c r="A942" s="1">
        <v>42944</v>
      </c>
      <c r="B942" t="s">
        <v>543</v>
      </c>
      <c r="C942" s="5">
        <f>VLOOKUP(B942,$J$14:$K$64,2,0)</f>
        <v>1710.0000000000002</v>
      </c>
      <c r="D942" t="str">
        <f t="shared" si="14"/>
        <v>Deportivos</v>
      </c>
    </row>
    <row r="943" spans="1:4" x14ac:dyDescent="0.25">
      <c r="A943" s="1">
        <v>42836</v>
      </c>
      <c r="B943" t="s">
        <v>488</v>
      </c>
      <c r="C943" s="5">
        <f>VLOOKUP(B943,$J$14:$K$64,2,0)</f>
        <v>819.99999999999989</v>
      </c>
      <c r="D943" t="str">
        <f t="shared" si="14"/>
        <v>Casuales</v>
      </c>
    </row>
    <row r="944" spans="1:4" x14ac:dyDescent="0.25">
      <c r="A944" s="1">
        <v>42754</v>
      </c>
      <c r="B944" t="s">
        <v>445</v>
      </c>
      <c r="C944" s="5">
        <f>VLOOKUP(B944,$J$14:$K$64,2,0)</f>
        <v>1680</v>
      </c>
      <c r="D944" t="str">
        <f t="shared" si="14"/>
        <v>Deportivos</v>
      </c>
    </row>
    <row r="945" spans="1:4" x14ac:dyDescent="0.25">
      <c r="A945" s="1">
        <v>42790</v>
      </c>
      <c r="B945" t="s">
        <v>482</v>
      </c>
      <c r="C945" s="5">
        <f>VLOOKUP(B945,$J$14:$K$64,2,0)</f>
        <v>1490</v>
      </c>
      <c r="D945" t="str">
        <f t="shared" si="14"/>
        <v>Formales</v>
      </c>
    </row>
    <row r="946" spans="1:4" x14ac:dyDescent="0.25">
      <c r="A946" s="1">
        <v>42803</v>
      </c>
      <c r="B946" t="s">
        <v>527</v>
      </c>
      <c r="C946" s="5">
        <f>VLOOKUP(B946,$J$14:$K$64,2,0)</f>
        <v>1180</v>
      </c>
      <c r="D946" t="str">
        <f t="shared" si="14"/>
        <v>Formales</v>
      </c>
    </row>
    <row r="947" spans="1:4" x14ac:dyDescent="0.25">
      <c r="A947" s="1">
        <v>42876</v>
      </c>
      <c r="B947" t="s">
        <v>472</v>
      </c>
      <c r="C947" s="5">
        <f>VLOOKUP(B947,$J$14:$K$64,2,0)</f>
        <v>1710.0000000000002</v>
      </c>
      <c r="D947" t="str">
        <f t="shared" si="14"/>
        <v>Formales</v>
      </c>
    </row>
    <row r="948" spans="1:4" x14ac:dyDescent="0.25">
      <c r="A948" s="1">
        <v>43061</v>
      </c>
      <c r="B948" t="s">
        <v>445</v>
      </c>
      <c r="C948" s="5">
        <f>VLOOKUP(B948,$J$14:$K$64,2,0)</f>
        <v>1680</v>
      </c>
      <c r="D948" t="str">
        <f t="shared" si="14"/>
        <v>Deportivos</v>
      </c>
    </row>
    <row r="949" spans="1:4" x14ac:dyDescent="0.25">
      <c r="A949" s="1">
        <v>42923</v>
      </c>
      <c r="B949" t="s">
        <v>482</v>
      </c>
      <c r="C949" s="5">
        <f>VLOOKUP(B949,$J$14:$K$64,2,0)</f>
        <v>1490</v>
      </c>
      <c r="D949" t="str">
        <f t="shared" si="14"/>
        <v>Formales</v>
      </c>
    </row>
    <row r="950" spans="1:4" x14ac:dyDescent="0.25">
      <c r="A950" s="1">
        <v>43070</v>
      </c>
      <c r="B950" t="s">
        <v>461</v>
      </c>
      <c r="C950" s="5">
        <f>VLOOKUP(B950,$J$14:$K$64,2,0)</f>
        <v>619.99999999999989</v>
      </c>
      <c r="D950" t="str">
        <f t="shared" si="14"/>
        <v>Sandalias</v>
      </c>
    </row>
    <row r="951" spans="1:4" x14ac:dyDescent="0.25">
      <c r="A951" s="1">
        <v>42780</v>
      </c>
      <c r="B951" t="s">
        <v>451</v>
      </c>
      <c r="C951" s="5">
        <f>VLOOKUP(B951,$J$14:$K$64,2,0)</f>
        <v>350</v>
      </c>
      <c r="D951" t="str">
        <f t="shared" si="14"/>
        <v>Sandalias</v>
      </c>
    </row>
    <row r="952" spans="1:4" x14ac:dyDescent="0.25">
      <c r="A952" s="1">
        <v>43091</v>
      </c>
      <c r="B952" t="s">
        <v>500</v>
      </c>
      <c r="C952" s="5">
        <f>VLOOKUP(B952,$J$14:$K$64,2,0)</f>
        <v>1019.9999999999999</v>
      </c>
      <c r="D952" t="str">
        <f t="shared" si="14"/>
        <v>Casuales</v>
      </c>
    </row>
    <row r="953" spans="1:4" x14ac:dyDescent="0.25">
      <c r="A953" s="1">
        <v>43054</v>
      </c>
      <c r="B953" t="s">
        <v>533</v>
      </c>
      <c r="C953" s="5">
        <f>VLOOKUP(B953,$J$14:$K$64,2,0)</f>
        <v>1120</v>
      </c>
      <c r="D953" t="str">
        <f t="shared" si="14"/>
        <v>Formales</v>
      </c>
    </row>
    <row r="954" spans="1:4" x14ac:dyDescent="0.25">
      <c r="A954" s="1">
        <v>43081</v>
      </c>
      <c r="B954" t="s">
        <v>488</v>
      </c>
      <c r="C954" s="5">
        <f>VLOOKUP(B954,$J$14:$K$64,2,0)</f>
        <v>819.99999999999989</v>
      </c>
      <c r="D954" t="str">
        <f t="shared" si="14"/>
        <v>Casuales</v>
      </c>
    </row>
    <row r="955" spans="1:4" x14ac:dyDescent="0.25">
      <c r="A955" s="1">
        <v>43032</v>
      </c>
      <c r="B955" t="s">
        <v>527</v>
      </c>
      <c r="C955" s="5">
        <f>VLOOKUP(B955,$J$14:$K$64,2,0)</f>
        <v>1180</v>
      </c>
      <c r="D955" t="str">
        <f t="shared" si="14"/>
        <v>Formales</v>
      </c>
    </row>
    <row r="956" spans="1:4" x14ac:dyDescent="0.25">
      <c r="A956" s="1">
        <v>43014</v>
      </c>
      <c r="B956" t="s">
        <v>463</v>
      </c>
      <c r="C956" s="5">
        <f>VLOOKUP(B956,$J$14:$K$64,2,0)</f>
        <v>940</v>
      </c>
      <c r="D956" t="str">
        <f t="shared" si="14"/>
        <v>Formales</v>
      </c>
    </row>
    <row r="957" spans="1:4" x14ac:dyDescent="0.25">
      <c r="A957" s="1">
        <v>42810</v>
      </c>
      <c r="B957" t="s">
        <v>492</v>
      </c>
      <c r="C957" s="5">
        <f>VLOOKUP(B957,$J$14:$K$64,2,0)</f>
        <v>1500</v>
      </c>
      <c r="D957" t="str">
        <f t="shared" si="14"/>
        <v>Deportivos</v>
      </c>
    </row>
    <row r="958" spans="1:4" x14ac:dyDescent="0.25">
      <c r="A958" s="1">
        <v>42924</v>
      </c>
      <c r="B958" t="s">
        <v>456</v>
      </c>
      <c r="C958" s="5">
        <f>VLOOKUP(B958,$J$14:$K$64,2,0)</f>
        <v>1780</v>
      </c>
      <c r="D958" t="str">
        <f t="shared" si="14"/>
        <v>Formales</v>
      </c>
    </row>
    <row r="959" spans="1:4" x14ac:dyDescent="0.25">
      <c r="A959" s="1">
        <v>43015</v>
      </c>
      <c r="B959" t="s">
        <v>500</v>
      </c>
      <c r="C959" s="5">
        <f>VLOOKUP(B959,$J$14:$K$64,2,0)</f>
        <v>1019.9999999999999</v>
      </c>
      <c r="D959" t="str">
        <f t="shared" si="14"/>
        <v>Casuales</v>
      </c>
    </row>
    <row r="960" spans="1:4" x14ac:dyDescent="0.25">
      <c r="A960" s="1">
        <v>42975</v>
      </c>
      <c r="B960" t="s">
        <v>451</v>
      </c>
      <c r="C960" s="5">
        <f>VLOOKUP(B960,$J$14:$K$64,2,0)</f>
        <v>350</v>
      </c>
      <c r="D960" t="str">
        <f t="shared" si="14"/>
        <v>Sandalias</v>
      </c>
    </row>
    <row r="961" spans="1:4" x14ac:dyDescent="0.25">
      <c r="A961" s="1">
        <v>42868</v>
      </c>
      <c r="B961" t="s">
        <v>484</v>
      </c>
      <c r="C961" s="5">
        <f>VLOOKUP(B961,$J$14:$K$64,2,0)</f>
        <v>1530</v>
      </c>
      <c r="D961" t="str">
        <f t="shared" si="14"/>
        <v>Formales</v>
      </c>
    </row>
    <row r="962" spans="1:4" x14ac:dyDescent="0.25">
      <c r="A962" s="1">
        <v>42989</v>
      </c>
      <c r="B962" t="s">
        <v>488</v>
      </c>
      <c r="C962" s="5">
        <f>VLOOKUP(B962,$J$14:$K$64,2,0)</f>
        <v>819.99999999999989</v>
      </c>
      <c r="D962" t="str">
        <f t="shared" si="14"/>
        <v>Casuales</v>
      </c>
    </row>
    <row r="963" spans="1:4" x14ac:dyDescent="0.25">
      <c r="A963" s="1">
        <v>42885</v>
      </c>
      <c r="B963" t="s">
        <v>500</v>
      </c>
      <c r="C963" s="5">
        <f>VLOOKUP(B963,$J$14:$K$64,2,0)</f>
        <v>1019.9999999999999</v>
      </c>
      <c r="D963" t="str">
        <f t="shared" si="14"/>
        <v>Casuales</v>
      </c>
    </row>
    <row r="964" spans="1:4" x14ac:dyDescent="0.25">
      <c r="A964" s="1">
        <v>42743</v>
      </c>
      <c r="B964" t="s">
        <v>474</v>
      </c>
      <c r="C964" s="5">
        <f>VLOOKUP(B964,$J$14:$K$64,2,0)</f>
        <v>1620.0000000000002</v>
      </c>
      <c r="D964" t="str">
        <f t="shared" si="14"/>
        <v>Formales</v>
      </c>
    </row>
    <row r="965" spans="1:4" x14ac:dyDescent="0.25">
      <c r="A965" s="1">
        <v>42747</v>
      </c>
      <c r="B965" t="s">
        <v>490</v>
      </c>
      <c r="C965" s="5">
        <f>VLOOKUP(B965,$J$14:$K$64,2,0)</f>
        <v>560</v>
      </c>
      <c r="D965" t="str">
        <f t="shared" si="14"/>
        <v>Sandalias</v>
      </c>
    </row>
    <row r="966" spans="1:4" x14ac:dyDescent="0.25">
      <c r="A966" s="1">
        <v>42776</v>
      </c>
      <c r="B966" t="s">
        <v>529</v>
      </c>
      <c r="C966" s="5">
        <f>VLOOKUP(B966,$J$14:$K$64,2,0)</f>
        <v>2480</v>
      </c>
      <c r="D966" t="str">
        <f t="shared" si="14"/>
        <v>Botas</v>
      </c>
    </row>
    <row r="967" spans="1:4" x14ac:dyDescent="0.25">
      <c r="A967" s="1">
        <v>43021</v>
      </c>
      <c r="B967" t="s">
        <v>451</v>
      </c>
      <c r="C967" s="5">
        <f>VLOOKUP(B967,$J$14:$K$64,2,0)</f>
        <v>350</v>
      </c>
      <c r="D967" t="str">
        <f t="shared" si="14"/>
        <v>Sandalias</v>
      </c>
    </row>
    <row r="968" spans="1:4" x14ac:dyDescent="0.25">
      <c r="A968" s="1">
        <v>43085</v>
      </c>
      <c r="B968" t="s">
        <v>461</v>
      </c>
      <c r="C968" s="5">
        <f>VLOOKUP(B968,$J$14:$K$64,2,0)</f>
        <v>619.99999999999989</v>
      </c>
      <c r="D968" t="str">
        <f t="shared" si="14"/>
        <v>Sandalias</v>
      </c>
    </row>
    <row r="969" spans="1:4" x14ac:dyDescent="0.25">
      <c r="A969" s="1">
        <v>42780</v>
      </c>
      <c r="B969" t="s">
        <v>498</v>
      </c>
      <c r="C969" s="5">
        <f>VLOOKUP(B969,$J$14:$K$64,2,0)</f>
        <v>840</v>
      </c>
      <c r="D969" t="str">
        <f t="shared" si="14"/>
        <v>Deportivos</v>
      </c>
    </row>
    <row r="970" spans="1:4" x14ac:dyDescent="0.25">
      <c r="A970" s="1">
        <v>42750</v>
      </c>
      <c r="B970" t="s">
        <v>492</v>
      </c>
      <c r="C970" s="5">
        <f>VLOOKUP(B970,$J$14:$K$64,2,0)</f>
        <v>1500</v>
      </c>
      <c r="D970" t="str">
        <f t="shared" si="14"/>
        <v>Deportivos</v>
      </c>
    </row>
    <row r="971" spans="1:4" x14ac:dyDescent="0.25">
      <c r="A971" s="1">
        <v>42774</v>
      </c>
      <c r="B971" t="s">
        <v>498</v>
      </c>
      <c r="C971" s="5">
        <f>VLOOKUP(B971,$J$14:$K$64,2,0)</f>
        <v>840</v>
      </c>
      <c r="D971" t="str">
        <f t="shared" si="14"/>
        <v>Deportivos</v>
      </c>
    </row>
    <row r="972" spans="1:4" x14ac:dyDescent="0.25">
      <c r="A972" s="1">
        <v>42866</v>
      </c>
      <c r="B972" t="s">
        <v>467</v>
      </c>
      <c r="C972" s="5">
        <f>VLOOKUP(B972,$J$14:$K$64,2,0)</f>
        <v>1130</v>
      </c>
      <c r="D972" t="str">
        <f t="shared" si="14"/>
        <v>Casuales</v>
      </c>
    </row>
    <row r="973" spans="1:4" x14ac:dyDescent="0.25">
      <c r="A973" s="1">
        <v>42737</v>
      </c>
      <c r="B973" t="s">
        <v>461</v>
      </c>
      <c r="C973" s="5">
        <f>VLOOKUP(B973,$J$14:$K$64,2,0)</f>
        <v>619.99999999999989</v>
      </c>
      <c r="D973" t="str">
        <f t="shared" si="14"/>
        <v>Sandalias</v>
      </c>
    </row>
    <row r="974" spans="1:4" x14ac:dyDescent="0.25">
      <c r="A974" s="1">
        <v>43023</v>
      </c>
      <c r="B974" t="s">
        <v>525</v>
      </c>
      <c r="C974" s="5">
        <f>VLOOKUP(B974,$J$14:$K$64,2,0)</f>
        <v>2130</v>
      </c>
      <c r="D974" t="str">
        <f t="shared" si="14"/>
        <v>Botas</v>
      </c>
    </row>
    <row r="975" spans="1:4" x14ac:dyDescent="0.25">
      <c r="A975" s="1">
        <v>43073</v>
      </c>
      <c r="B975" t="s">
        <v>537</v>
      </c>
      <c r="C975" s="5">
        <f>VLOOKUP(B975,$J$14:$K$64,2,0)</f>
        <v>840</v>
      </c>
      <c r="D975" t="str">
        <f t="shared" si="14"/>
        <v>Formales</v>
      </c>
    </row>
    <row r="976" spans="1:4" x14ac:dyDescent="0.25">
      <c r="A976" s="1">
        <v>42862</v>
      </c>
      <c r="B976" t="s">
        <v>448</v>
      </c>
      <c r="C976" s="5">
        <f>VLOOKUP(B976,$J$14:$K$64,2,0)</f>
        <v>2260</v>
      </c>
      <c r="D976" t="str">
        <f t="shared" ref="D976:D1039" si="15">VLOOKUP(B976,$J$14:$L$64,3,0)</f>
        <v>Botas</v>
      </c>
    </row>
    <row r="977" spans="1:4" x14ac:dyDescent="0.25">
      <c r="A977" s="1">
        <v>42863</v>
      </c>
      <c r="B977" t="s">
        <v>533</v>
      </c>
      <c r="C977" s="5">
        <f>VLOOKUP(B977,$J$14:$K$64,2,0)</f>
        <v>1120</v>
      </c>
      <c r="D977" t="str">
        <f t="shared" si="15"/>
        <v>Formales</v>
      </c>
    </row>
    <row r="978" spans="1:4" x14ac:dyDescent="0.25">
      <c r="A978" s="1">
        <v>42848</v>
      </c>
      <c r="B978" t="s">
        <v>510</v>
      </c>
      <c r="C978" s="5">
        <f>VLOOKUP(B978,$J$14:$K$64,2,0)</f>
        <v>969.99999999999989</v>
      </c>
      <c r="D978" t="str">
        <f t="shared" si="15"/>
        <v>Formales</v>
      </c>
    </row>
    <row r="979" spans="1:4" x14ac:dyDescent="0.25">
      <c r="A979" s="1">
        <v>42759</v>
      </c>
      <c r="B979" t="s">
        <v>482</v>
      </c>
      <c r="C979" s="5">
        <f>VLOOKUP(B979,$J$14:$K$64,2,0)</f>
        <v>1490</v>
      </c>
      <c r="D979" t="str">
        <f t="shared" si="15"/>
        <v>Formales</v>
      </c>
    </row>
    <row r="980" spans="1:4" x14ac:dyDescent="0.25">
      <c r="A980" s="1">
        <v>43067</v>
      </c>
      <c r="B980" t="s">
        <v>523</v>
      </c>
      <c r="C980" s="5">
        <f>VLOOKUP(B980,$J$14:$K$64,2,0)</f>
        <v>1050</v>
      </c>
      <c r="D980" t="str">
        <f t="shared" si="15"/>
        <v>Formales</v>
      </c>
    </row>
    <row r="981" spans="1:4" x14ac:dyDescent="0.25">
      <c r="A981" s="1">
        <v>43050</v>
      </c>
      <c r="B981" t="s">
        <v>531</v>
      </c>
      <c r="C981" s="5">
        <f>VLOOKUP(B981,$J$14:$K$64,2,0)</f>
        <v>1300</v>
      </c>
      <c r="D981" t="str">
        <f t="shared" si="15"/>
        <v>Casuales</v>
      </c>
    </row>
    <row r="982" spans="1:4" x14ac:dyDescent="0.25">
      <c r="A982" s="1">
        <v>42870</v>
      </c>
      <c r="B982" t="s">
        <v>525</v>
      </c>
      <c r="C982" s="5">
        <f>VLOOKUP(B982,$J$14:$K$64,2,0)</f>
        <v>2130</v>
      </c>
      <c r="D982" t="str">
        <f t="shared" si="15"/>
        <v>Botas</v>
      </c>
    </row>
    <row r="983" spans="1:4" x14ac:dyDescent="0.25">
      <c r="A983" s="1">
        <v>43049</v>
      </c>
      <c r="B983" t="s">
        <v>467</v>
      </c>
      <c r="C983" s="5">
        <f>VLOOKUP(B983,$J$14:$K$64,2,0)</f>
        <v>1130</v>
      </c>
      <c r="D983" t="str">
        <f t="shared" si="15"/>
        <v>Casuales</v>
      </c>
    </row>
    <row r="984" spans="1:4" x14ac:dyDescent="0.25">
      <c r="A984" s="1">
        <v>42934</v>
      </c>
      <c r="B984" t="s">
        <v>500</v>
      </c>
      <c r="C984" s="5">
        <f>VLOOKUP(B984,$J$14:$K$64,2,0)</f>
        <v>1019.9999999999999</v>
      </c>
      <c r="D984" t="str">
        <f t="shared" si="15"/>
        <v>Casuales</v>
      </c>
    </row>
    <row r="985" spans="1:4" x14ac:dyDescent="0.25">
      <c r="A985" s="1">
        <v>42787</v>
      </c>
      <c r="B985" t="s">
        <v>516</v>
      </c>
      <c r="C985" s="5">
        <f>VLOOKUP(B985,$J$14:$K$64,2,0)</f>
        <v>979.99999999999989</v>
      </c>
      <c r="D985" t="str">
        <f t="shared" si="15"/>
        <v>Casuales</v>
      </c>
    </row>
    <row r="986" spans="1:4" x14ac:dyDescent="0.25">
      <c r="A986" s="1">
        <v>43040</v>
      </c>
      <c r="B986" t="s">
        <v>456</v>
      </c>
      <c r="C986" s="5">
        <f>VLOOKUP(B986,$J$14:$K$64,2,0)</f>
        <v>1780</v>
      </c>
      <c r="D986" t="str">
        <f t="shared" si="15"/>
        <v>Formales</v>
      </c>
    </row>
    <row r="987" spans="1:4" x14ac:dyDescent="0.25">
      <c r="A987" s="1">
        <v>42867</v>
      </c>
      <c r="B987" t="s">
        <v>533</v>
      </c>
      <c r="C987" s="5">
        <f>VLOOKUP(B987,$J$14:$K$64,2,0)</f>
        <v>1120</v>
      </c>
      <c r="D987" t="str">
        <f t="shared" si="15"/>
        <v>Formales</v>
      </c>
    </row>
    <row r="988" spans="1:4" x14ac:dyDescent="0.25">
      <c r="A988" s="1">
        <v>43053</v>
      </c>
      <c r="B988" t="s">
        <v>480</v>
      </c>
      <c r="C988" s="5">
        <f>VLOOKUP(B988,$J$14:$K$64,2,0)</f>
        <v>1750</v>
      </c>
      <c r="D988" t="str">
        <f t="shared" si="15"/>
        <v>Deportivos</v>
      </c>
    </row>
    <row r="989" spans="1:4" x14ac:dyDescent="0.25">
      <c r="A989" s="1">
        <v>42889</v>
      </c>
      <c r="B989" t="s">
        <v>467</v>
      </c>
      <c r="C989" s="5">
        <f>VLOOKUP(B989,$J$14:$K$64,2,0)</f>
        <v>1130</v>
      </c>
      <c r="D989" t="str">
        <f t="shared" si="15"/>
        <v>Casuales</v>
      </c>
    </row>
    <row r="990" spans="1:4" x14ac:dyDescent="0.25">
      <c r="A990" s="1">
        <v>43077</v>
      </c>
      <c r="B990" t="s">
        <v>474</v>
      </c>
      <c r="C990" s="5">
        <f>VLOOKUP(B990,$J$14:$K$64,2,0)</f>
        <v>1620.0000000000002</v>
      </c>
      <c r="D990" t="str">
        <f t="shared" si="15"/>
        <v>Formales</v>
      </c>
    </row>
    <row r="991" spans="1:4" x14ac:dyDescent="0.25">
      <c r="A991" s="1">
        <v>42907</v>
      </c>
      <c r="B991" t="s">
        <v>508</v>
      </c>
      <c r="C991" s="5">
        <f>VLOOKUP(B991,$J$14:$K$64,2,0)</f>
        <v>1100</v>
      </c>
      <c r="D991" t="str">
        <f t="shared" si="15"/>
        <v>Deportivos</v>
      </c>
    </row>
    <row r="992" spans="1:4" x14ac:dyDescent="0.25">
      <c r="A992" s="1">
        <v>43023</v>
      </c>
      <c r="B992" t="s">
        <v>510</v>
      </c>
      <c r="C992" s="5">
        <f>VLOOKUP(B992,$J$14:$K$64,2,0)</f>
        <v>969.99999999999989</v>
      </c>
      <c r="D992" t="str">
        <f t="shared" si="15"/>
        <v>Formales</v>
      </c>
    </row>
    <row r="993" spans="1:4" x14ac:dyDescent="0.25">
      <c r="A993" s="1">
        <v>42751</v>
      </c>
      <c r="B993" t="s">
        <v>543</v>
      </c>
      <c r="C993" s="5">
        <f>VLOOKUP(B993,$J$14:$K$64,2,0)</f>
        <v>1710.0000000000002</v>
      </c>
      <c r="D993" t="str">
        <f t="shared" si="15"/>
        <v>Deportivos</v>
      </c>
    </row>
    <row r="994" spans="1:4" x14ac:dyDescent="0.25">
      <c r="A994" s="1">
        <v>42898</v>
      </c>
      <c r="B994" t="s">
        <v>543</v>
      </c>
      <c r="C994" s="5">
        <f>VLOOKUP(B994,$J$14:$K$64,2,0)</f>
        <v>1710.0000000000002</v>
      </c>
      <c r="D994" t="str">
        <f t="shared" si="15"/>
        <v>Deportivos</v>
      </c>
    </row>
    <row r="995" spans="1:4" x14ac:dyDescent="0.25">
      <c r="A995" s="1">
        <v>43074</v>
      </c>
      <c r="B995" t="s">
        <v>478</v>
      </c>
      <c r="C995" s="5">
        <f>VLOOKUP(B995,$J$14:$K$64,2,0)</f>
        <v>2130</v>
      </c>
      <c r="D995" t="str">
        <f t="shared" si="15"/>
        <v>Botas</v>
      </c>
    </row>
    <row r="996" spans="1:4" x14ac:dyDescent="0.25">
      <c r="A996" s="1">
        <v>43074</v>
      </c>
      <c r="B996" t="s">
        <v>454</v>
      </c>
      <c r="C996" s="5">
        <f>VLOOKUP(B996,$J$14:$K$64,2,0)</f>
        <v>690</v>
      </c>
      <c r="D996" t="str">
        <f t="shared" si="15"/>
        <v>Sandalias</v>
      </c>
    </row>
    <row r="997" spans="1:4" x14ac:dyDescent="0.25">
      <c r="A997" s="1">
        <v>42738</v>
      </c>
      <c r="B997" t="s">
        <v>488</v>
      </c>
      <c r="C997" s="5">
        <f>VLOOKUP(B997,$J$14:$K$64,2,0)</f>
        <v>819.99999999999989</v>
      </c>
      <c r="D997" t="str">
        <f t="shared" si="15"/>
        <v>Casuales</v>
      </c>
    </row>
    <row r="998" spans="1:4" x14ac:dyDescent="0.25">
      <c r="A998" s="1">
        <v>43028</v>
      </c>
      <c r="B998" t="s">
        <v>454</v>
      </c>
      <c r="C998" s="5">
        <f>VLOOKUP(B998,$J$14:$K$64,2,0)</f>
        <v>690</v>
      </c>
      <c r="D998" t="str">
        <f t="shared" si="15"/>
        <v>Sandalias</v>
      </c>
    </row>
    <row r="999" spans="1:4" x14ac:dyDescent="0.25">
      <c r="A999" s="1">
        <v>42964</v>
      </c>
      <c r="B999" t="s">
        <v>459</v>
      </c>
      <c r="C999" s="5">
        <f>VLOOKUP(B999,$J$14:$K$64,2,0)</f>
        <v>1640.0000000000002</v>
      </c>
      <c r="D999" t="str">
        <f t="shared" si="15"/>
        <v>Botas</v>
      </c>
    </row>
    <row r="1000" spans="1:4" x14ac:dyDescent="0.25">
      <c r="A1000" s="1">
        <v>42976</v>
      </c>
      <c r="B1000" t="s">
        <v>496</v>
      </c>
      <c r="C1000" s="5">
        <f>VLOOKUP(B1000,$J$14:$K$64,2,0)</f>
        <v>1040</v>
      </c>
      <c r="D1000" t="str">
        <f t="shared" si="15"/>
        <v>Deportivos</v>
      </c>
    </row>
    <row r="1001" spans="1:4" x14ac:dyDescent="0.25">
      <c r="A1001" s="1">
        <v>42963</v>
      </c>
      <c r="B1001" t="s">
        <v>498</v>
      </c>
      <c r="C1001" s="5">
        <f>VLOOKUP(B1001,$J$14:$K$64,2,0)</f>
        <v>840</v>
      </c>
      <c r="D1001" t="str">
        <f t="shared" si="15"/>
        <v>Deportivos</v>
      </c>
    </row>
    <row r="1002" spans="1:4" x14ac:dyDescent="0.25">
      <c r="A1002" s="1">
        <v>42857</v>
      </c>
      <c r="B1002" t="s">
        <v>445</v>
      </c>
      <c r="C1002" s="5">
        <f>VLOOKUP(B1002,$J$14:$K$64,2,0)</f>
        <v>1680</v>
      </c>
      <c r="D1002" t="str">
        <f t="shared" si="15"/>
        <v>Deportivos</v>
      </c>
    </row>
    <row r="1003" spans="1:4" x14ac:dyDescent="0.25">
      <c r="A1003" s="1">
        <v>42962</v>
      </c>
      <c r="B1003" t="s">
        <v>463</v>
      </c>
      <c r="C1003" s="5">
        <f>VLOOKUP(B1003,$J$14:$K$64,2,0)</f>
        <v>940</v>
      </c>
      <c r="D1003" t="str">
        <f t="shared" si="15"/>
        <v>Formales</v>
      </c>
    </row>
    <row r="1004" spans="1:4" x14ac:dyDescent="0.25">
      <c r="A1004" s="1">
        <v>42989</v>
      </c>
      <c r="B1004" t="s">
        <v>461</v>
      </c>
      <c r="C1004" s="5">
        <f>VLOOKUP(B1004,$J$14:$K$64,2,0)</f>
        <v>619.99999999999989</v>
      </c>
      <c r="D1004" t="str">
        <f t="shared" si="15"/>
        <v>Sandalias</v>
      </c>
    </row>
    <row r="1005" spans="1:4" x14ac:dyDescent="0.25">
      <c r="A1005" s="1">
        <v>42945</v>
      </c>
      <c r="B1005" t="s">
        <v>496</v>
      </c>
      <c r="C1005" s="5">
        <f>VLOOKUP(B1005,$J$14:$K$64,2,0)</f>
        <v>1040</v>
      </c>
      <c r="D1005" t="str">
        <f t="shared" si="15"/>
        <v>Deportivos</v>
      </c>
    </row>
    <row r="1006" spans="1:4" x14ac:dyDescent="0.25">
      <c r="A1006" s="1">
        <v>42742</v>
      </c>
      <c r="B1006" t="s">
        <v>498</v>
      </c>
      <c r="C1006" s="5">
        <f>VLOOKUP(B1006,$J$14:$K$64,2,0)</f>
        <v>840</v>
      </c>
      <c r="D1006" t="str">
        <f t="shared" si="15"/>
        <v>Deportivos</v>
      </c>
    </row>
    <row r="1007" spans="1:4" x14ac:dyDescent="0.25">
      <c r="A1007" s="1">
        <v>42966</v>
      </c>
      <c r="B1007" t="s">
        <v>508</v>
      </c>
      <c r="C1007" s="5">
        <f>VLOOKUP(B1007,$J$14:$K$64,2,0)</f>
        <v>1100</v>
      </c>
      <c r="D1007" t="str">
        <f t="shared" si="15"/>
        <v>Deportivos</v>
      </c>
    </row>
    <row r="1008" spans="1:4" x14ac:dyDescent="0.25">
      <c r="A1008" s="1">
        <v>43035</v>
      </c>
      <c r="B1008" t="s">
        <v>539</v>
      </c>
      <c r="C1008" s="5">
        <f>VLOOKUP(B1008,$J$14:$K$64,2,0)</f>
        <v>950</v>
      </c>
      <c r="D1008" t="str">
        <f t="shared" si="15"/>
        <v>Casuales</v>
      </c>
    </row>
    <row r="1009" spans="1:4" x14ac:dyDescent="0.25">
      <c r="A1009" s="1">
        <v>42982</v>
      </c>
      <c r="B1009" t="s">
        <v>474</v>
      </c>
      <c r="C1009" s="5">
        <f>VLOOKUP(B1009,$J$14:$K$64,2,0)</f>
        <v>1620.0000000000002</v>
      </c>
      <c r="D1009" t="str">
        <f t="shared" si="15"/>
        <v>Formales</v>
      </c>
    </row>
    <row r="1010" spans="1:4" x14ac:dyDescent="0.25">
      <c r="A1010" s="1">
        <v>43048</v>
      </c>
      <c r="B1010" t="s">
        <v>506</v>
      </c>
      <c r="C1010" s="5">
        <f>VLOOKUP(B1010,$J$14:$K$64,2,0)</f>
        <v>1230</v>
      </c>
      <c r="D1010" t="str">
        <f t="shared" si="15"/>
        <v>Deportivos</v>
      </c>
    </row>
    <row r="1011" spans="1:4" x14ac:dyDescent="0.25">
      <c r="A1011" s="1">
        <v>42991</v>
      </c>
      <c r="B1011" t="s">
        <v>547</v>
      </c>
      <c r="C1011" s="5">
        <f>VLOOKUP(B1011,$J$14:$K$64,2,0)</f>
        <v>1170</v>
      </c>
      <c r="D1011" t="str">
        <f t="shared" si="15"/>
        <v>Formales</v>
      </c>
    </row>
    <row r="1012" spans="1:4" x14ac:dyDescent="0.25">
      <c r="A1012" s="1">
        <v>42791</v>
      </c>
      <c r="B1012" t="s">
        <v>484</v>
      </c>
      <c r="C1012" s="5">
        <f>VLOOKUP(B1012,$J$14:$K$64,2,0)</f>
        <v>1530</v>
      </c>
      <c r="D1012" t="str">
        <f t="shared" si="15"/>
        <v>Formales</v>
      </c>
    </row>
    <row r="1013" spans="1:4" x14ac:dyDescent="0.25">
      <c r="A1013" s="1">
        <v>42951</v>
      </c>
      <c r="B1013" t="s">
        <v>504</v>
      </c>
      <c r="C1013" s="5">
        <f>VLOOKUP(B1013,$J$14:$K$64,2,0)</f>
        <v>1700</v>
      </c>
      <c r="D1013" t="str">
        <f t="shared" si="15"/>
        <v>Deportivos</v>
      </c>
    </row>
    <row r="1014" spans="1:4" x14ac:dyDescent="0.25">
      <c r="A1014" s="1">
        <v>42807</v>
      </c>
      <c r="B1014" t="s">
        <v>496</v>
      </c>
      <c r="C1014" s="5">
        <f>VLOOKUP(B1014,$J$14:$K$64,2,0)</f>
        <v>1040</v>
      </c>
      <c r="D1014" t="str">
        <f t="shared" si="15"/>
        <v>Deportivos</v>
      </c>
    </row>
    <row r="1015" spans="1:4" x14ac:dyDescent="0.25">
      <c r="A1015" s="1">
        <v>43026</v>
      </c>
      <c r="B1015" t="s">
        <v>496</v>
      </c>
      <c r="C1015" s="5">
        <f>VLOOKUP(B1015,$J$14:$K$64,2,0)</f>
        <v>1040</v>
      </c>
      <c r="D1015" t="str">
        <f t="shared" si="15"/>
        <v>Deportivos</v>
      </c>
    </row>
    <row r="1016" spans="1:4" x14ac:dyDescent="0.25">
      <c r="A1016" s="1">
        <v>42933</v>
      </c>
      <c r="B1016" t="s">
        <v>465</v>
      </c>
      <c r="C1016" s="5">
        <f>VLOOKUP(B1016,$J$14:$K$64,2,0)</f>
        <v>1560</v>
      </c>
      <c r="D1016" t="str">
        <f t="shared" si="15"/>
        <v>Botas</v>
      </c>
    </row>
    <row r="1017" spans="1:4" x14ac:dyDescent="0.25">
      <c r="A1017" s="1">
        <v>43016</v>
      </c>
      <c r="B1017" t="s">
        <v>494</v>
      </c>
      <c r="C1017" s="5">
        <f>VLOOKUP(B1017,$J$14:$K$64,2,0)</f>
        <v>1480</v>
      </c>
      <c r="D1017" t="str">
        <f t="shared" si="15"/>
        <v>Deportivos</v>
      </c>
    </row>
    <row r="1018" spans="1:4" x14ac:dyDescent="0.25">
      <c r="A1018" s="1">
        <v>42925</v>
      </c>
      <c r="B1018" t="s">
        <v>504</v>
      </c>
      <c r="C1018" s="5">
        <f>VLOOKUP(B1018,$J$14:$K$64,2,0)</f>
        <v>1700</v>
      </c>
      <c r="D1018" t="str">
        <f t="shared" si="15"/>
        <v>Deportivos</v>
      </c>
    </row>
    <row r="1019" spans="1:4" x14ac:dyDescent="0.25">
      <c r="A1019" s="1">
        <v>42816</v>
      </c>
      <c r="B1019" t="s">
        <v>547</v>
      </c>
      <c r="C1019" s="5">
        <f>VLOOKUP(B1019,$J$14:$K$64,2,0)</f>
        <v>1170</v>
      </c>
      <c r="D1019" t="str">
        <f t="shared" si="15"/>
        <v>Formales</v>
      </c>
    </row>
    <row r="1020" spans="1:4" x14ac:dyDescent="0.25">
      <c r="A1020" s="1">
        <v>43014</v>
      </c>
      <c r="B1020" t="s">
        <v>463</v>
      </c>
      <c r="C1020" s="5">
        <f>VLOOKUP(B1020,$J$14:$K$64,2,0)</f>
        <v>940</v>
      </c>
      <c r="D1020" t="str">
        <f t="shared" si="15"/>
        <v>Formales</v>
      </c>
    </row>
    <row r="1021" spans="1:4" x14ac:dyDescent="0.25">
      <c r="A1021" s="1">
        <v>42816</v>
      </c>
      <c r="B1021" t="s">
        <v>516</v>
      </c>
      <c r="C1021" s="5">
        <f>VLOOKUP(B1021,$J$14:$K$64,2,0)</f>
        <v>979.99999999999989</v>
      </c>
      <c r="D1021" t="str">
        <f t="shared" si="15"/>
        <v>Casuales</v>
      </c>
    </row>
    <row r="1022" spans="1:4" x14ac:dyDescent="0.25">
      <c r="A1022" s="1">
        <v>42898</v>
      </c>
      <c r="B1022" t="s">
        <v>525</v>
      </c>
      <c r="C1022" s="5">
        <f>VLOOKUP(B1022,$J$14:$K$64,2,0)</f>
        <v>2130</v>
      </c>
      <c r="D1022" t="str">
        <f t="shared" si="15"/>
        <v>Botas</v>
      </c>
    </row>
    <row r="1023" spans="1:4" x14ac:dyDescent="0.25">
      <c r="A1023" s="1">
        <v>43006</v>
      </c>
      <c r="B1023" t="s">
        <v>512</v>
      </c>
      <c r="C1023" s="5">
        <f>VLOOKUP(B1023,$J$14:$K$64,2,0)</f>
        <v>1050</v>
      </c>
      <c r="D1023" t="str">
        <f t="shared" si="15"/>
        <v>Formales</v>
      </c>
    </row>
    <row r="1024" spans="1:4" x14ac:dyDescent="0.25">
      <c r="A1024" s="1">
        <v>42844</v>
      </c>
      <c r="B1024" t="s">
        <v>459</v>
      </c>
      <c r="C1024" s="5">
        <f>VLOOKUP(B1024,$J$14:$K$64,2,0)</f>
        <v>1640.0000000000002</v>
      </c>
      <c r="D1024" t="str">
        <f t="shared" si="15"/>
        <v>Botas</v>
      </c>
    </row>
    <row r="1025" spans="1:4" x14ac:dyDescent="0.25">
      <c r="A1025" s="1">
        <v>43067</v>
      </c>
      <c r="B1025" t="s">
        <v>451</v>
      </c>
      <c r="C1025" s="5">
        <f>VLOOKUP(B1025,$J$14:$K$64,2,0)</f>
        <v>350</v>
      </c>
      <c r="D1025" t="str">
        <f t="shared" si="15"/>
        <v>Sandalias</v>
      </c>
    </row>
    <row r="1026" spans="1:4" x14ac:dyDescent="0.25">
      <c r="A1026" s="1">
        <v>43016</v>
      </c>
      <c r="B1026" t="s">
        <v>486</v>
      </c>
      <c r="C1026" s="5">
        <f>VLOOKUP(B1026,$J$14:$K$64,2,0)</f>
        <v>2110</v>
      </c>
      <c r="D1026" t="str">
        <f t="shared" si="15"/>
        <v>Botas</v>
      </c>
    </row>
    <row r="1027" spans="1:4" x14ac:dyDescent="0.25">
      <c r="A1027" s="1">
        <v>42786</v>
      </c>
      <c r="B1027" t="s">
        <v>529</v>
      </c>
      <c r="C1027" s="5">
        <f>VLOOKUP(B1027,$J$14:$K$64,2,0)</f>
        <v>2480</v>
      </c>
      <c r="D1027" t="str">
        <f t="shared" si="15"/>
        <v>Botas</v>
      </c>
    </row>
    <row r="1028" spans="1:4" x14ac:dyDescent="0.25">
      <c r="A1028" s="1">
        <v>42959</v>
      </c>
      <c r="B1028" t="s">
        <v>539</v>
      </c>
      <c r="C1028" s="5">
        <f>VLOOKUP(B1028,$J$14:$K$64,2,0)</f>
        <v>950</v>
      </c>
      <c r="D1028" t="str">
        <f t="shared" si="15"/>
        <v>Casuales</v>
      </c>
    </row>
    <row r="1029" spans="1:4" x14ac:dyDescent="0.25">
      <c r="A1029" s="1">
        <v>43030</v>
      </c>
      <c r="B1029" t="s">
        <v>502</v>
      </c>
      <c r="C1029" s="5">
        <f>VLOOKUP(B1029,$J$14:$K$64,2,0)</f>
        <v>869.99999999999989</v>
      </c>
      <c r="D1029" t="str">
        <f t="shared" si="15"/>
        <v>Casuales</v>
      </c>
    </row>
    <row r="1030" spans="1:4" x14ac:dyDescent="0.25">
      <c r="A1030" s="1">
        <v>42740</v>
      </c>
      <c r="B1030" t="s">
        <v>492</v>
      </c>
      <c r="C1030" s="5">
        <f>VLOOKUP(B1030,$J$14:$K$64,2,0)</f>
        <v>1500</v>
      </c>
      <c r="D1030" t="str">
        <f t="shared" si="15"/>
        <v>Deportivos</v>
      </c>
    </row>
    <row r="1031" spans="1:4" x14ac:dyDescent="0.25">
      <c r="A1031" s="1">
        <v>42892</v>
      </c>
      <c r="B1031" t="s">
        <v>454</v>
      </c>
      <c r="C1031" s="5">
        <f>VLOOKUP(B1031,$J$14:$K$64,2,0)</f>
        <v>690</v>
      </c>
      <c r="D1031" t="str">
        <f t="shared" si="15"/>
        <v>Sandalias</v>
      </c>
    </row>
    <row r="1032" spans="1:4" x14ac:dyDescent="0.25">
      <c r="A1032" s="1">
        <v>42855</v>
      </c>
      <c r="B1032" t="s">
        <v>539</v>
      </c>
      <c r="C1032" s="5">
        <f>VLOOKUP(B1032,$J$14:$K$64,2,0)</f>
        <v>950</v>
      </c>
      <c r="D1032" t="str">
        <f t="shared" si="15"/>
        <v>Casuales</v>
      </c>
    </row>
    <row r="1033" spans="1:4" x14ac:dyDescent="0.25">
      <c r="A1033" s="1">
        <v>42839</v>
      </c>
      <c r="B1033" t="s">
        <v>448</v>
      </c>
      <c r="C1033" s="5">
        <f>VLOOKUP(B1033,$J$14:$K$64,2,0)</f>
        <v>2260</v>
      </c>
      <c r="D1033" t="str">
        <f t="shared" si="15"/>
        <v>Botas</v>
      </c>
    </row>
    <row r="1034" spans="1:4" x14ac:dyDescent="0.25">
      <c r="A1034" s="1">
        <v>42847</v>
      </c>
      <c r="B1034" t="s">
        <v>456</v>
      </c>
      <c r="C1034" s="5">
        <f>VLOOKUP(B1034,$J$14:$K$64,2,0)</f>
        <v>1780</v>
      </c>
      <c r="D1034" t="str">
        <f t="shared" si="15"/>
        <v>Formales</v>
      </c>
    </row>
    <row r="1035" spans="1:4" x14ac:dyDescent="0.25">
      <c r="A1035" s="1">
        <v>42903</v>
      </c>
      <c r="B1035" t="s">
        <v>456</v>
      </c>
      <c r="C1035" s="5">
        <f>VLOOKUP(B1035,$J$14:$K$64,2,0)</f>
        <v>1780</v>
      </c>
      <c r="D1035" t="str">
        <f t="shared" si="15"/>
        <v>Formales</v>
      </c>
    </row>
    <row r="1036" spans="1:4" x14ac:dyDescent="0.25">
      <c r="A1036" s="1">
        <v>42865</v>
      </c>
      <c r="B1036" t="s">
        <v>512</v>
      </c>
      <c r="C1036" s="5">
        <f>VLOOKUP(B1036,$J$14:$K$64,2,0)</f>
        <v>1050</v>
      </c>
      <c r="D1036" t="str">
        <f t="shared" si="15"/>
        <v>Formales</v>
      </c>
    </row>
    <row r="1037" spans="1:4" x14ac:dyDescent="0.25">
      <c r="A1037" s="1">
        <v>42849</v>
      </c>
      <c r="B1037" t="s">
        <v>518</v>
      </c>
      <c r="C1037" s="5">
        <f>VLOOKUP(B1037,$J$14:$K$64,2,0)</f>
        <v>1090</v>
      </c>
      <c r="D1037" t="str">
        <f t="shared" si="15"/>
        <v>Casuales</v>
      </c>
    </row>
    <row r="1038" spans="1:4" x14ac:dyDescent="0.25">
      <c r="A1038" s="1">
        <v>42788</v>
      </c>
      <c r="B1038" t="s">
        <v>533</v>
      </c>
      <c r="C1038" s="5">
        <f>VLOOKUP(B1038,$J$14:$K$64,2,0)</f>
        <v>1120</v>
      </c>
      <c r="D1038" t="str">
        <f t="shared" si="15"/>
        <v>Formales</v>
      </c>
    </row>
    <row r="1039" spans="1:4" x14ac:dyDescent="0.25">
      <c r="A1039" s="1">
        <v>42811</v>
      </c>
      <c r="B1039" t="s">
        <v>490</v>
      </c>
      <c r="C1039" s="5">
        <f>VLOOKUP(B1039,$J$14:$K$64,2,0)</f>
        <v>560</v>
      </c>
      <c r="D1039" t="str">
        <f t="shared" si="15"/>
        <v>Sandalias</v>
      </c>
    </row>
    <row r="1040" spans="1:4" x14ac:dyDescent="0.25">
      <c r="A1040" s="1">
        <v>43067</v>
      </c>
      <c r="B1040" t="s">
        <v>510</v>
      </c>
      <c r="C1040" s="5">
        <f>VLOOKUP(B1040,$J$14:$K$64,2,0)</f>
        <v>969.99999999999989</v>
      </c>
      <c r="D1040" t="str">
        <f t="shared" ref="D1040:D1103" si="16">VLOOKUP(B1040,$J$14:$L$64,3,0)</f>
        <v>Formales</v>
      </c>
    </row>
    <row r="1041" spans="1:4" x14ac:dyDescent="0.25">
      <c r="A1041" s="1">
        <v>42810</v>
      </c>
      <c r="B1041" t="s">
        <v>535</v>
      </c>
      <c r="C1041" s="5">
        <f>VLOOKUP(B1041,$J$14:$K$64,2,0)</f>
        <v>1740.0000000000002</v>
      </c>
      <c r="D1041" t="str">
        <f t="shared" si="16"/>
        <v>Formales</v>
      </c>
    </row>
    <row r="1042" spans="1:4" x14ac:dyDescent="0.25">
      <c r="A1042" s="1">
        <v>42855</v>
      </c>
      <c r="B1042" t="s">
        <v>459</v>
      </c>
      <c r="C1042" s="5">
        <f>VLOOKUP(B1042,$J$14:$K$64,2,0)</f>
        <v>1640.0000000000002</v>
      </c>
      <c r="D1042" t="str">
        <f t="shared" si="16"/>
        <v>Botas</v>
      </c>
    </row>
    <row r="1043" spans="1:4" x14ac:dyDescent="0.25">
      <c r="A1043" s="1">
        <v>42878</v>
      </c>
      <c r="B1043" t="s">
        <v>476</v>
      </c>
      <c r="C1043" s="5">
        <f>VLOOKUP(B1043,$J$14:$K$64,2,0)</f>
        <v>1590</v>
      </c>
      <c r="D1043" t="str">
        <f t="shared" si="16"/>
        <v>Botas</v>
      </c>
    </row>
    <row r="1044" spans="1:4" x14ac:dyDescent="0.25">
      <c r="A1044" s="1">
        <v>43093</v>
      </c>
      <c r="B1044" t="s">
        <v>482</v>
      </c>
      <c r="C1044" s="5">
        <f>VLOOKUP(B1044,$J$14:$K$64,2,0)</f>
        <v>1490</v>
      </c>
      <c r="D1044" t="str">
        <f t="shared" si="16"/>
        <v>Formales</v>
      </c>
    </row>
    <row r="1045" spans="1:4" x14ac:dyDescent="0.25">
      <c r="A1045" s="1">
        <v>43095</v>
      </c>
      <c r="B1045" t="s">
        <v>516</v>
      </c>
      <c r="C1045" s="5">
        <f>VLOOKUP(B1045,$J$14:$K$64,2,0)</f>
        <v>979.99999999999989</v>
      </c>
      <c r="D1045" t="str">
        <f t="shared" si="16"/>
        <v>Casuales</v>
      </c>
    </row>
    <row r="1046" spans="1:4" x14ac:dyDescent="0.25">
      <c r="A1046" s="1">
        <v>42799</v>
      </c>
      <c r="B1046" t="s">
        <v>478</v>
      </c>
      <c r="C1046" s="5">
        <f>VLOOKUP(B1046,$J$14:$K$64,2,0)</f>
        <v>2130</v>
      </c>
      <c r="D1046" t="str">
        <f t="shared" si="16"/>
        <v>Botas</v>
      </c>
    </row>
    <row r="1047" spans="1:4" x14ac:dyDescent="0.25">
      <c r="A1047" s="1">
        <v>42886</v>
      </c>
      <c r="B1047" t="s">
        <v>484</v>
      </c>
      <c r="C1047" s="5">
        <f>VLOOKUP(B1047,$J$14:$K$64,2,0)</f>
        <v>1530</v>
      </c>
      <c r="D1047" t="str">
        <f t="shared" si="16"/>
        <v>Formales</v>
      </c>
    </row>
    <row r="1048" spans="1:4" x14ac:dyDescent="0.25">
      <c r="A1048" s="1">
        <v>42762</v>
      </c>
      <c r="B1048" t="s">
        <v>510</v>
      </c>
      <c r="C1048" s="5">
        <f>VLOOKUP(B1048,$J$14:$K$64,2,0)</f>
        <v>969.99999999999989</v>
      </c>
      <c r="D1048" t="str">
        <f t="shared" si="16"/>
        <v>Formales</v>
      </c>
    </row>
    <row r="1049" spans="1:4" x14ac:dyDescent="0.25">
      <c r="A1049" s="1">
        <v>42762</v>
      </c>
      <c r="B1049" t="s">
        <v>504</v>
      </c>
      <c r="C1049" s="5">
        <f>VLOOKUP(B1049,$J$14:$K$64,2,0)</f>
        <v>1700</v>
      </c>
      <c r="D1049" t="str">
        <f t="shared" si="16"/>
        <v>Deportivos</v>
      </c>
    </row>
    <row r="1050" spans="1:4" x14ac:dyDescent="0.25">
      <c r="A1050" s="1">
        <v>43085</v>
      </c>
      <c r="B1050" t="s">
        <v>527</v>
      </c>
      <c r="C1050" s="5">
        <f>VLOOKUP(B1050,$J$14:$K$64,2,0)</f>
        <v>1180</v>
      </c>
      <c r="D1050" t="str">
        <f t="shared" si="16"/>
        <v>Formales</v>
      </c>
    </row>
    <row r="1051" spans="1:4" x14ac:dyDescent="0.25">
      <c r="A1051" s="1">
        <v>42782</v>
      </c>
      <c r="B1051" t="s">
        <v>465</v>
      </c>
      <c r="C1051" s="5">
        <f>VLOOKUP(B1051,$J$14:$K$64,2,0)</f>
        <v>1560</v>
      </c>
      <c r="D1051" t="str">
        <f t="shared" si="16"/>
        <v>Botas</v>
      </c>
    </row>
    <row r="1052" spans="1:4" x14ac:dyDescent="0.25">
      <c r="A1052" s="1">
        <v>42772</v>
      </c>
      <c r="B1052" t="s">
        <v>527</v>
      </c>
      <c r="C1052" s="5">
        <f>VLOOKUP(B1052,$J$14:$K$64,2,0)</f>
        <v>1180</v>
      </c>
      <c r="D1052" t="str">
        <f t="shared" si="16"/>
        <v>Formales</v>
      </c>
    </row>
    <row r="1053" spans="1:4" x14ac:dyDescent="0.25">
      <c r="A1053" s="1">
        <v>42925</v>
      </c>
      <c r="B1053" t="s">
        <v>518</v>
      </c>
      <c r="C1053" s="5">
        <f>VLOOKUP(B1053,$J$14:$K$64,2,0)</f>
        <v>1090</v>
      </c>
      <c r="D1053" t="str">
        <f t="shared" si="16"/>
        <v>Casuales</v>
      </c>
    </row>
    <row r="1054" spans="1:4" x14ac:dyDescent="0.25">
      <c r="A1054" s="1">
        <v>42803</v>
      </c>
      <c r="B1054" t="s">
        <v>498</v>
      </c>
      <c r="C1054" s="5">
        <f>VLOOKUP(B1054,$J$14:$K$64,2,0)</f>
        <v>840</v>
      </c>
      <c r="D1054" t="str">
        <f t="shared" si="16"/>
        <v>Deportivos</v>
      </c>
    </row>
    <row r="1055" spans="1:4" x14ac:dyDescent="0.25">
      <c r="A1055" s="1">
        <v>42919</v>
      </c>
      <c r="B1055" t="s">
        <v>531</v>
      </c>
      <c r="C1055" s="5">
        <f>VLOOKUP(B1055,$J$14:$K$64,2,0)</f>
        <v>1300</v>
      </c>
      <c r="D1055" t="str">
        <f t="shared" si="16"/>
        <v>Casuales</v>
      </c>
    </row>
    <row r="1056" spans="1:4" x14ac:dyDescent="0.25">
      <c r="A1056" s="1">
        <v>42901</v>
      </c>
      <c r="B1056" t="s">
        <v>529</v>
      </c>
      <c r="C1056" s="5">
        <f>VLOOKUP(B1056,$J$14:$K$64,2,0)</f>
        <v>2480</v>
      </c>
      <c r="D1056" t="str">
        <f t="shared" si="16"/>
        <v>Botas</v>
      </c>
    </row>
    <row r="1057" spans="1:4" x14ac:dyDescent="0.25">
      <c r="A1057" s="1">
        <v>42784</v>
      </c>
      <c r="B1057" t="s">
        <v>508</v>
      </c>
      <c r="C1057" s="5">
        <f>VLOOKUP(B1057,$J$14:$K$64,2,0)</f>
        <v>1100</v>
      </c>
      <c r="D1057" t="str">
        <f t="shared" si="16"/>
        <v>Deportivos</v>
      </c>
    </row>
    <row r="1058" spans="1:4" x14ac:dyDescent="0.25">
      <c r="A1058" s="1">
        <v>42750</v>
      </c>
      <c r="B1058" t="s">
        <v>543</v>
      </c>
      <c r="C1058" s="5">
        <f>VLOOKUP(B1058,$J$14:$K$64,2,0)</f>
        <v>1710.0000000000002</v>
      </c>
      <c r="D1058" t="str">
        <f t="shared" si="16"/>
        <v>Deportivos</v>
      </c>
    </row>
    <row r="1059" spans="1:4" x14ac:dyDescent="0.25">
      <c r="A1059" s="1">
        <v>42744</v>
      </c>
      <c r="B1059" t="s">
        <v>529</v>
      </c>
      <c r="C1059" s="5">
        <f>VLOOKUP(B1059,$J$14:$K$64,2,0)</f>
        <v>2480</v>
      </c>
      <c r="D1059" t="str">
        <f t="shared" si="16"/>
        <v>Botas</v>
      </c>
    </row>
    <row r="1060" spans="1:4" x14ac:dyDescent="0.25">
      <c r="A1060" s="1">
        <v>43058</v>
      </c>
      <c r="B1060" t="s">
        <v>525</v>
      </c>
      <c r="C1060" s="5">
        <f>VLOOKUP(B1060,$J$14:$K$64,2,0)</f>
        <v>2130</v>
      </c>
      <c r="D1060" t="str">
        <f t="shared" si="16"/>
        <v>Botas</v>
      </c>
    </row>
    <row r="1061" spans="1:4" x14ac:dyDescent="0.25">
      <c r="A1061" s="1">
        <v>43054</v>
      </c>
      <c r="B1061" t="s">
        <v>478</v>
      </c>
      <c r="C1061" s="5">
        <f>VLOOKUP(B1061,$J$14:$K$64,2,0)</f>
        <v>2130</v>
      </c>
      <c r="D1061" t="str">
        <f t="shared" si="16"/>
        <v>Botas</v>
      </c>
    </row>
    <row r="1062" spans="1:4" x14ac:dyDescent="0.25">
      <c r="A1062" s="1">
        <v>42937</v>
      </c>
      <c r="B1062" t="s">
        <v>482</v>
      </c>
      <c r="C1062" s="5">
        <f>VLOOKUP(B1062,$J$14:$K$64,2,0)</f>
        <v>1490</v>
      </c>
      <c r="D1062" t="str">
        <f t="shared" si="16"/>
        <v>Formales</v>
      </c>
    </row>
    <row r="1063" spans="1:4" x14ac:dyDescent="0.25">
      <c r="A1063" s="1">
        <v>42945</v>
      </c>
      <c r="B1063" t="s">
        <v>547</v>
      </c>
      <c r="C1063" s="5">
        <f>VLOOKUP(B1063,$J$14:$K$64,2,0)</f>
        <v>1170</v>
      </c>
      <c r="D1063" t="str">
        <f t="shared" si="16"/>
        <v>Formales</v>
      </c>
    </row>
    <row r="1064" spans="1:4" x14ac:dyDescent="0.25">
      <c r="A1064" s="1">
        <v>43099</v>
      </c>
      <c r="B1064" t="s">
        <v>541</v>
      </c>
      <c r="C1064" s="5">
        <f>VLOOKUP(B1064,$J$14:$K$64,2,0)</f>
        <v>1240</v>
      </c>
      <c r="D1064" t="str">
        <f t="shared" si="16"/>
        <v>Formales</v>
      </c>
    </row>
    <row r="1065" spans="1:4" x14ac:dyDescent="0.25">
      <c r="A1065" s="1">
        <v>42791</v>
      </c>
      <c r="B1065" t="s">
        <v>531</v>
      </c>
      <c r="C1065" s="5">
        <f>VLOOKUP(B1065,$J$14:$K$64,2,0)</f>
        <v>1300</v>
      </c>
      <c r="D1065" t="str">
        <f t="shared" si="16"/>
        <v>Casuales</v>
      </c>
    </row>
    <row r="1066" spans="1:4" x14ac:dyDescent="0.25">
      <c r="A1066" s="1">
        <v>43060</v>
      </c>
      <c r="B1066" t="s">
        <v>454</v>
      </c>
      <c r="C1066" s="5">
        <f>VLOOKUP(B1066,$J$14:$K$64,2,0)</f>
        <v>690</v>
      </c>
      <c r="D1066" t="str">
        <f t="shared" si="16"/>
        <v>Sandalias</v>
      </c>
    </row>
    <row r="1067" spans="1:4" x14ac:dyDescent="0.25">
      <c r="A1067" s="1">
        <v>43050</v>
      </c>
      <c r="B1067" t="s">
        <v>541</v>
      </c>
      <c r="C1067" s="5">
        <f>VLOOKUP(B1067,$J$14:$K$64,2,0)</f>
        <v>1240</v>
      </c>
      <c r="D1067" t="str">
        <f t="shared" si="16"/>
        <v>Formales</v>
      </c>
    </row>
    <row r="1068" spans="1:4" x14ac:dyDescent="0.25">
      <c r="A1068" s="1">
        <v>42849</v>
      </c>
      <c r="B1068" t="s">
        <v>488</v>
      </c>
      <c r="C1068" s="5">
        <f>VLOOKUP(B1068,$J$14:$K$64,2,0)</f>
        <v>819.99999999999989</v>
      </c>
      <c r="D1068" t="str">
        <f t="shared" si="16"/>
        <v>Casuales</v>
      </c>
    </row>
    <row r="1069" spans="1:4" x14ac:dyDescent="0.25">
      <c r="A1069" s="1">
        <v>42859</v>
      </c>
      <c r="B1069" t="s">
        <v>486</v>
      </c>
      <c r="C1069" s="5">
        <f>VLOOKUP(B1069,$J$14:$K$64,2,0)</f>
        <v>2110</v>
      </c>
      <c r="D1069" t="str">
        <f t="shared" si="16"/>
        <v>Botas</v>
      </c>
    </row>
    <row r="1070" spans="1:4" x14ac:dyDescent="0.25">
      <c r="A1070" s="1">
        <v>43072</v>
      </c>
      <c r="B1070" t="s">
        <v>498</v>
      </c>
      <c r="C1070" s="5">
        <f>VLOOKUP(B1070,$J$14:$K$64,2,0)</f>
        <v>840</v>
      </c>
      <c r="D1070" t="str">
        <f t="shared" si="16"/>
        <v>Deportivos</v>
      </c>
    </row>
    <row r="1071" spans="1:4" x14ac:dyDescent="0.25">
      <c r="A1071" s="1">
        <v>42935</v>
      </c>
      <c r="B1071" t="s">
        <v>498</v>
      </c>
      <c r="C1071" s="5">
        <f>VLOOKUP(B1071,$J$14:$K$64,2,0)</f>
        <v>840</v>
      </c>
      <c r="D1071" t="str">
        <f t="shared" si="16"/>
        <v>Deportivos</v>
      </c>
    </row>
    <row r="1072" spans="1:4" x14ac:dyDescent="0.25">
      <c r="A1072" s="1">
        <v>43006</v>
      </c>
      <c r="B1072" t="s">
        <v>474</v>
      </c>
      <c r="C1072" s="5">
        <f>VLOOKUP(B1072,$J$14:$K$64,2,0)</f>
        <v>1620.0000000000002</v>
      </c>
      <c r="D1072" t="str">
        <f t="shared" si="16"/>
        <v>Formales</v>
      </c>
    </row>
    <row r="1073" spans="1:4" x14ac:dyDescent="0.25">
      <c r="A1073" s="1">
        <v>43087</v>
      </c>
      <c r="B1073" t="s">
        <v>512</v>
      </c>
      <c r="C1073" s="5">
        <f>VLOOKUP(B1073,$J$14:$K$64,2,0)</f>
        <v>1050</v>
      </c>
      <c r="D1073" t="str">
        <f t="shared" si="16"/>
        <v>Formales</v>
      </c>
    </row>
    <row r="1074" spans="1:4" x14ac:dyDescent="0.25">
      <c r="A1074" s="1">
        <v>42954</v>
      </c>
      <c r="B1074" t="s">
        <v>448</v>
      </c>
      <c r="C1074" s="5">
        <f>VLOOKUP(B1074,$J$14:$K$64,2,0)</f>
        <v>2260</v>
      </c>
      <c r="D1074" t="str">
        <f t="shared" si="16"/>
        <v>Botas</v>
      </c>
    </row>
    <row r="1075" spans="1:4" x14ac:dyDescent="0.25">
      <c r="A1075" s="1">
        <v>42856</v>
      </c>
      <c r="B1075" t="s">
        <v>518</v>
      </c>
      <c r="C1075" s="5">
        <f>VLOOKUP(B1075,$J$14:$K$64,2,0)</f>
        <v>1090</v>
      </c>
      <c r="D1075" t="str">
        <f t="shared" si="16"/>
        <v>Casuales</v>
      </c>
    </row>
    <row r="1076" spans="1:4" x14ac:dyDescent="0.25">
      <c r="A1076" s="1">
        <v>42905</v>
      </c>
      <c r="B1076" t="s">
        <v>535</v>
      </c>
      <c r="C1076" s="5">
        <f>VLOOKUP(B1076,$J$14:$K$64,2,0)</f>
        <v>1740.0000000000002</v>
      </c>
      <c r="D1076" t="str">
        <f t="shared" si="16"/>
        <v>Formales</v>
      </c>
    </row>
    <row r="1077" spans="1:4" x14ac:dyDescent="0.25">
      <c r="A1077" s="1">
        <v>43004</v>
      </c>
      <c r="B1077" t="s">
        <v>474</v>
      </c>
      <c r="C1077" s="5">
        <f>VLOOKUP(B1077,$J$14:$K$64,2,0)</f>
        <v>1620.0000000000002</v>
      </c>
      <c r="D1077" t="str">
        <f t="shared" si="16"/>
        <v>Formales</v>
      </c>
    </row>
    <row r="1078" spans="1:4" x14ac:dyDescent="0.25">
      <c r="A1078" s="1">
        <v>42761</v>
      </c>
      <c r="B1078" t="s">
        <v>527</v>
      </c>
      <c r="C1078" s="5">
        <f>VLOOKUP(B1078,$J$14:$K$64,2,0)</f>
        <v>1180</v>
      </c>
      <c r="D1078" t="str">
        <f t="shared" si="16"/>
        <v>Formales</v>
      </c>
    </row>
    <row r="1079" spans="1:4" x14ac:dyDescent="0.25">
      <c r="A1079" s="1">
        <v>42996</v>
      </c>
      <c r="B1079" t="s">
        <v>498</v>
      </c>
      <c r="C1079" s="5">
        <f>VLOOKUP(B1079,$J$14:$K$64,2,0)</f>
        <v>840</v>
      </c>
      <c r="D1079" t="str">
        <f t="shared" si="16"/>
        <v>Deportivos</v>
      </c>
    </row>
    <row r="1080" spans="1:4" x14ac:dyDescent="0.25">
      <c r="A1080" s="1">
        <v>42817</v>
      </c>
      <c r="B1080" t="s">
        <v>482</v>
      </c>
      <c r="C1080" s="5">
        <f>VLOOKUP(B1080,$J$14:$K$64,2,0)</f>
        <v>1490</v>
      </c>
      <c r="D1080" t="str">
        <f t="shared" si="16"/>
        <v>Formales</v>
      </c>
    </row>
    <row r="1081" spans="1:4" x14ac:dyDescent="0.25">
      <c r="A1081" s="1">
        <v>42861</v>
      </c>
      <c r="B1081" t="s">
        <v>480</v>
      </c>
      <c r="C1081" s="5">
        <f>VLOOKUP(B1081,$J$14:$K$64,2,0)</f>
        <v>1750</v>
      </c>
      <c r="D1081" t="str">
        <f t="shared" si="16"/>
        <v>Deportivos</v>
      </c>
    </row>
    <row r="1082" spans="1:4" x14ac:dyDescent="0.25">
      <c r="A1082" s="1">
        <v>42903</v>
      </c>
      <c r="B1082" t="s">
        <v>486</v>
      </c>
      <c r="C1082" s="5">
        <f>VLOOKUP(B1082,$J$14:$K$64,2,0)</f>
        <v>2110</v>
      </c>
      <c r="D1082" t="str">
        <f t="shared" si="16"/>
        <v>Botas</v>
      </c>
    </row>
    <row r="1083" spans="1:4" x14ac:dyDescent="0.25">
      <c r="A1083" s="1">
        <v>42800</v>
      </c>
      <c r="B1083" t="s">
        <v>502</v>
      </c>
      <c r="C1083" s="5">
        <f>VLOOKUP(B1083,$J$14:$K$64,2,0)</f>
        <v>869.99999999999989</v>
      </c>
      <c r="D1083" t="str">
        <f t="shared" si="16"/>
        <v>Casuales</v>
      </c>
    </row>
    <row r="1084" spans="1:4" x14ac:dyDescent="0.25">
      <c r="A1084" s="1">
        <v>42955</v>
      </c>
      <c r="B1084" t="s">
        <v>510</v>
      </c>
      <c r="C1084" s="5">
        <f>VLOOKUP(B1084,$J$14:$K$64,2,0)</f>
        <v>969.99999999999989</v>
      </c>
      <c r="D1084" t="str">
        <f t="shared" si="16"/>
        <v>Formales</v>
      </c>
    </row>
    <row r="1085" spans="1:4" x14ac:dyDescent="0.25">
      <c r="A1085" s="1">
        <v>42973</v>
      </c>
      <c r="B1085" t="s">
        <v>494</v>
      </c>
      <c r="C1085" s="5">
        <f>VLOOKUP(B1085,$J$14:$K$64,2,0)</f>
        <v>1480</v>
      </c>
      <c r="D1085" t="str">
        <f t="shared" si="16"/>
        <v>Deportivos</v>
      </c>
    </row>
    <row r="1086" spans="1:4" x14ac:dyDescent="0.25">
      <c r="A1086" s="1">
        <v>42794</v>
      </c>
      <c r="B1086" t="s">
        <v>545</v>
      </c>
      <c r="C1086" s="5">
        <f>VLOOKUP(B1086,$J$14:$K$64,2,0)</f>
        <v>1840.0000000000002</v>
      </c>
      <c r="D1086" t="str">
        <f t="shared" si="16"/>
        <v>Botas</v>
      </c>
    </row>
    <row r="1087" spans="1:4" x14ac:dyDescent="0.25">
      <c r="A1087" s="1">
        <v>42857</v>
      </c>
      <c r="B1087" t="s">
        <v>476</v>
      </c>
      <c r="C1087" s="5">
        <f>VLOOKUP(B1087,$J$14:$K$64,2,0)</f>
        <v>1590</v>
      </c>
      <c r="D1087" t="str">
        <f t="shared" si="16"/>
        <v>Botas</v>
      </c>
    </row>
    <row r="1088" spans="1:4" x14ac:dyDescent="0.25">
      <c r="A1088" s="1">
        <v>42903</v>
      </c>
      <c r="B1088" t="s">
        <v>527</v>
      </c>
      <c r="C1088" s="5">
        <f>VLOOKUP(B1088,$J$14:$K$64,2,0)</f>
        <v>1180</v>
      </c>
      <c r="D1088" t="str">
        <f t="shared" si="16"/>
        <v>Formales</v>
      </c>
    </row>
    <row r="1089" spans="1:4" x14ac:dyDescent="0.25">
      <c r="A1089" s="1">
        <v>43023</v>
      </c>
      <c r="B1089" t="s">
        <v>461</v>
      </c>
      <c r="C1089" s="5">
        <f>VLOOKUP(B1089,$J$14:$K$64,2,0)</f>
        <v>619.99999999999989</v>
      </c>
      <c r="D1089" t="str">
        <f t="shared" si="16"/>
        <v>Sandalias</v>
      </c>
    </row>
    <row r="1090" spans="1:4" x14ac:dyDescent="0.25">
      <c r="A1090" s="1">
        <v>42949</v>
      </c>
      <c r="B1090" t="s">
        <v>488</v>
      </c>
      <c r="C1090" s="5">
        <f>VLOOKUP(B1090,$J$14:$K$64,2,0)</f>
        <v>819.99999999999989</v>
      </c>
      <c r="D1090" t="str">
        <f t="shared" si="16"/>
        <v>Casuales</v>
      </c>
    </row>
    <row r="1091" spans="1:4" x14ac:dyDescent="0.25">
      <c r="A1091" s="1">
        <v>42869</v>
      </c>
      <c r="B1091" t="s">
        <v>490</v>
      </c>
      <c r="C1091" s="5">
        <f>VLOOKUP(B1091,$J$14:$K$64,2,0)</f>
        <v>560</v>
      </c>
      <c r="D1091" t="str">
        <f t="shared" si="16"/>
        <v>Sandalias</v>
      </c>
    </row>
    <row r="1092" spans="1:4" x14ac:dyDescent="0.25">
      <c r="A1092" s="1">
        <v>43077</v>
      </c>
      <c r="B1092" t="s">
        <v>470</v>
      </c>
      <c r="C1092" s="5">
        <f>VLOOKUP(B1092,$J$14:$K$64,2,0)</f>
        <v>300</v>
      </c>
      <c r="D1092" t="str">
        <f t="shared" si="16"/>
        <v>Sandalias</v>
      </c>
    </row>
    <row r="1093" spans="1:4" x14ac:dyDescent="0.25">
      <c r="A1093" s="1">
        <v>42892</v>
      </c>
      <c r="B1093" t="s">
        <v>463</v>
      </c>
      <c r="C1093" s="5">
        <f>VLOOKUP(B1093,$J$14:$K$64,2,0)</f>
        <v>940</v>
      </c>
      <c r="D1093" t="str">
        <f t="shared" si="16"/>
        <v>Formales</v>
      </c>
    </row>
    <row r="1094" spans="1:4" x14ac:dyDescent="0.25">
      <c r="A1094" s="1">
        <v>42852</v>
      </c>
      <c r="B1094" t="s">
        <v>488</v>
      </c>
      <c r="C1094" s="5">
        <f>VLOOKUP(B1094,$J$14:$K$64,2,0)</f>
        <v>819.99999999999989</v>
      </c>
      <c r="D1094" t="str">
        <f t="shared" si="16"/>
        <v>Casuales</v>
      </c>
    </row>
    <row r="1095" spans="1:4" x14ac:dyDescent="0.25">
      <c r="A1095" s="1">
        <v>43053</v>
      </c>
      <c r="B1095" t="s">
        <v>500</v>
      </c>
      <c r="C1095" s="5">
        <f>VLOOKUP(B1095,$J$14:$K$64,2,0)</f>
        <v>1019.9999999999999</v>
      </c>
      <c r="D1095" t="str">
        <f t="shared" si="16"/>
        <v>Casuales</v>
      </c>
    </row>
    <row r="1096" spans="1:4" x14ac:dyDescent="0.25">
      <c r="A1096" s="1">
        <v>42827</v>
      </c>
      <c r="B1096" t="s">
        <v>527</v>
      </c>
      <c r="C1096" s="5">
        <f>VLOOKUP(B1096,$J$14:$K$64,2,0)</f>
        <v>1180</v>
      </c>
      <c r="D1096" t="str">
        <f t="shared" si="16"/>
        <v>Formales</v>
      </c>
    </row>
    <row r="1097" spans="1:4" x14ac:dyDescent="0.25">
      <c r="A1097" s="1">
        <v>42816</v>
      </c>
      <c r="B1097" t="s">
        <v>512</v>
      </c>
      <c r="C1097" s="5">
        <f>VLOOKUP(B1097,$J$14:$K$64,2,0)</f>
        <v>1050</v>
      </c>
      <c r="D1097" t="str">
        <f t="shared" si="16"/>
        <v>Formales</v>
      </c>
    </row>
    <row r="1098" spans="1:4" x14ac:dyDescent="0.25">
      <c r="A1098" s="1">
        <v>43039</v>
      </c>
      <c r="B1098" t="s">
        <v>518</v>
      </c>
      <c r="C1098" s="5">
        <f>VLOOKUP(B1098,$J$14:$K$64,2,0)</f>
        <v>1090</v>
      </c>
      <c r="D1098" t="str">
        <f t="shared" si="16"/>
        <v>Casuales</v>
      </c>
    </row>
    <row r="1099" spans="1:4" x14ac:dyDescent="0.25">
      <c r="A1099" s="1">
        <v>42862</v>
      </c>
      <c r="B1099" t="s">
        <v>470</v>
      </c>
      <c r="C1099" s="5">
        <f>VLOOKUP(B1099,$J$14:$K$64,2,0)</f>
        <v>300</v>
      </c>
      <c r="D1099" t="str">
        <f t="shared" si="16"/>
        <v>Sandalias</v>
      </c>
    </row>
    <row r="1100" spans="1:4" x14ac:dyDescent="0.25">
      <c r="A1100" s="1">
        <v>43078</v>
      </c>
      <c r="B1100" t="s">
        <v>525</v>
      </c>
      <c r="C1100" s="5">
        <f>VLOOKUP(B1100,$J$14:$K$64,2,0)</f>
        <v>2130</v>
      </c>
      <c r="D1100" t="str">
        <f t="shared" si="16"/>
        <v>Botas</v>
      </c>
    </row>
    <row r="1101" spans="1:4" x14ac:dyDescent="0.25">
      <c r="A1101" s="1">
        <v>42785</v>
      </c>
      <c r="B1101" t="s">
        <v>478</v>
      </c>
      <c r="C1101" s="5">
        <f>VLOOKUP(B1101,$J$14:$K$64,2,0)</f>
        <v>2130</v>
      </c>
      <c r="D1101" t="str">
        <f t="shared" si="16"/>
        <v>Botas</v>
      </c>
    </row>
    <row r="1102" spans="1:4" x14ac:dyDescent="0.25">
      <c r="A1102" s="1">
        <v>43004</v>
      </c>
      <c r="B1102" t="s">
        <v>478</v>
      </c>
      <c r="C1102" s="5">
        <f>VLOOKUP(B1102,$J$14:$K$64,2,0)</f>
        <v>2130</v>
      </c>
      <c r="D1102" t="str">
        <f t="shared" si="16"/>
        <v>Botas</v>
      </c>
    </row>
    <row r="1103" spans="1:4" x14ac:dyDescent="0.25">
      <c r="A1103" s="1">
        <v>43058</v>
      </c>
      <c r="B1103" t="s">
        <v>527</v>
      </c>
      <c r="C1103" s="5">
        <f>VLOOKUP(B1103,$J$14:$K$64,2,0)</f>
        <v>1180</v>
      </c>
      <c r="D1103" t="str">
        <f t="shared" si="16"/>
        <v>Formales</v>
      </c>
    </row>
    <row r="1104" spans="1:4" x14ac:dyDescent="0.25">
      <c r="A1104" s="1">
        <v>42890</v>
      </c>
      <c r="B1104" t="s">
        <v>527</v>
      </c>
      <c r="C1104" s="5">
        <f>VLOOKUP(B1104,$J$14:$K$64,2,0)</f>
        <v>1180</v>
      </c>
      <c r="D1104" t="str">
        <f t="shared" ref="D1104:D1139" si="17">VLOOKUP(B1104,$J$14:$L$64,3,0)</f>
        <v>Formales</v>
      </c>
    </row>
    <row r="1105" spans="1:4" x14ac:dyDescent="0.25">
      <c r="A1105" s="1">
        <v>42957</v>
      </c>
      <c r="B1105" t="s">
        <v>465</v>
      </c>
      <c r="C1105" s="5">
        <f>VLOOKUP(B1105,$J$14:$K$64,2,0)</f>
        <v>1560</v>
      </c>
      <c r="D1105" t="str">
        <f t="shared" si="17"/>
        <v>Botas</v>
      </c>
    </row>
    <row r="1106" spans="1:4" x14ac:dyDescent="0.25">
      <c r="A1106" s="1">
        <v>42995</v>
      </c>
      <c r="B1106" t="s">
        <v>504</v>
      </c>
      <c r="C1106" s="5">
        <f>VLOOKUP(B1106,$J$14:$K$64,2,0)</f>
        <v>1700</v>
      </c>
      <c r="D1106" t="str">
        <f t="shared" si="17"/>
        <v>Deportivos</v>
      </c>
    </row>
    <row r="1107" spans="1:4" x14ac:dyDescent="0.25">
      <c r="A1107" s="1">
        <v>42946</v>
      </c>
      <c r="B1107" t="s">
        <v>508</v>
      </c>
      <c r="C1107" s="5">
        <f>VLOOKUP(B1107,$J$14:$K$64,2,0)</f>
        <v>1100</v>
      </c>
      <c r="D1107" t="str">
        <f t="shared" si="17"/>
        <v>Deportivos</v>
      </c>
    </row>
    <row r="1108" spans="1:4" x14ac:dyDescent="0.25">
      <c r="A1108" s="1">
        <v>43068</v>
      </c>
      <c r="B1108" t="s">
        <v>490</v>
      </c>
      <c r="C1108" s="5">
        <f>VLOOKUP(B1108,$J$14:$K$64,2,0)</f>
        <v>560</v>
      </c>
      <c r="D1108" t="str">
        <f t="shared" si="17"/>
        <v>Sandalias</v>
      </c>
    </row>
    <row r="1109" spans="1:4" x14ac:dyDescent="0.25">
      <c r="A1109" s="1">
        <v>42801</v>
      </c>
      <c r="B1109" t="s">
        <v>486</v>
      </c>
      <c r="C1109" s="5">
        <f>VLOOKUP(B1109,$J$14:$K$64,2,0)</f>
        <v>2110</v>
      </c>
      <c r="D1109" t="str">
        <f t="shared" si="17"/>
        <v>Botas</v>
      </c>
    </row>
    <row r="1110" spans="1:4" x14ac:dyDescent="0.25">
      <c r="A1110" s="1">
        <v>42817</v>
      </c>
      <c r="B1110" t="s">
        <v>498</v>
      </c>
      <c r="C1110" s="5">
        <f>VLOOKUP(B1110,$J$14:$K$64,2,0)</f>
        <v>840</v>
      </c>
      <c r="D1110" t="str">
        <f t="shared" si="17"/>
        <v>Deportivos</v>
      </c>
    </row>
    <row r="1111" spans="1:4" x14ac:dyDescent="0.25">
      <c r="A1111" s="1">
        <v>42767</v>
      </c>
      <c r="B1111" t="s">
        <v>461</v>
      </c>
      <c r="C1111" s="5">
        <f>VLOOKUP(B1111,$J$14:$K$64,2,0)</f>
        <v>619.99999999999989</v>
      </c>
      <c r="D1111" t="str">
        <f t="shared" si="17"/>
        <v>Sandalias</v>
      </c>
    </row>
    <row r="1112" spans="1:4" x14ac:dyDescent="0.25">
      <c r="A1112" s="1">
        <v>42909</v>
      </c>
      <c r="B1112" t="s">
        <v>514</v>
      </c>
      <c r="C1112" s="5">
        <f>VLOOKUP(B1112,$J$14:$K$64,2,0)</f>
        <v>960</v>
      </c>
      <c r="D1112" t="str">
        <f t="shared" si="17"/>
        <v>Casuales</v>
      </c>
    </row>
    <row r="1113" spans="1:4" x14ac:dyDescent="0.25">
      <c r="A1113" s="1">
        <v>42936</v>
      </c>
      <c r="B1113" t="s">
        <v>545</v>
      </c>
      <c r="C1113" s="5">
        <f>VLOOKUP(B1113,$J$14:$K$64,2,0)</f>
        <v>1840.0000000000002</v>
      </c>
      <c r="D1113" t="str">
        <f t="shared" si="17"/>
        <v>Botas</v>
      </c>
    </row>
    <row r="1114" spans="1:4" x14ac:dyDescent="0.25">
      <c r="A1114" s="1">
        <v>43028</v>
      </c>
      <c r="B1114" t="s">
        <v>451</v>
      </c>
      <c r="C1114" s="5">
        <f>VLOOKUP(B1114,$J$14:$K$64,2,0)</f>
        <v>350</v>
      </c>
      <c r="D1114" t="str">
        <f t="shared" si="17"/>
        <v>Sandalias</v>
      </c>
    </row>
    <row r="1115" spans="1:4" x14ac:dyDescent="0.25">
      <c r="A1115" s="1">
        <v>43009</v>
      </c>
      <c r="B1115" t="s">
        <v>494</v>
      </c>
      <c r="C1115" s="5">
        <f>VLOOKUP(B1115,$J$14:$K$64,2,0)</f>
        <v>1480</v>
      </c>
      <c r="D1115" t="str">
        <f t="shared" si="17"/>
        <v>Deportivos</v>
      </c>
    </row>
    <row r="1116" spans="1:4" x14ac:dyDescent="0.25">
      <c r="A1116" s="1">
        <v>42773</v>
      </c>
      <c r="B1116" t="s">
        <v>488</v>
      </c>
      <c r="C1116" s="5">
        <f>VLOOKUP(B1116,$J$14:$K$64,2,0)</f>
        <v>819.99999999999989</v>
      </c>
      <c r="D1116" t="str">
        <f t="shared" si="17"/>
        <v>Casuales</v>
      </c>
    </row>
    <row r="1117" spans="1:4" x14ac:dyDescent="0.25">
      <c r="A1117" s="1">
        <v>42887</v>
      </c>
      <c r="B1117" t="s">
        <v>448</v>
      </c>
      <c r="C1117" s="5">
        <f>VLOOKUP(B1117,$J$14:$K$64,2,0)</f>
        <v>2260</v>
      </c>
      <c r="D1117" t="str">
        <f t="shared" si="17"/>
        <v>Botas</v>
      </c>
    </row>
    <row r="1118" spans="1:4" x14ac:dyDescent="0.25">
      <c r="A1118" s="1">
        <v>42856</v>
      </c>
      <c r="B1118" t="s">
        <v>492</v>
      </c>
      <c r="C1118" s="5">
        <f>VLOOKUP(B1118,$J$14:$K$64,2,0)</f>
        <v>1500</v>
      </c>
      <c r="D1118" t="str">
        <f t="shared" si="17"/>
        <v>Deportivos</v>
      </c>
    </row>
    <row r="1119" spans="1:4" x14ac:dyDescent="0.25">
      <c r="A1119" s="1">
        <v>42858</v>
      </c>
      <c r="B1119" t="s">
        <v>459</v>
      </c>
      <c r="C1119" s="5">
        <f>VLOOKUP(B1119,$J$14:$K$64,2,0)</f>
        <v>1640.0000000000002</v>
      </c>
      <c r="D1119" t="str">
        <f t="shared" si="17"/>
        <v>Botas</v>
      </c>
    </row>
    <row r="1120" spans="1:4" x14ac:dyDescent="0.25">
      <c r="A1120" s="1">
        <v>42994</v>
      </c>
      <c r="B1120" t="s">
        <v>496</v>
      </c>
      <c r="C1120" s="5">
        <f>VLOOKUP(B1120,$J$14:$K$64,2,0)</f>
        <v>1040</v>
      </c>
      <c r="D1120" t="str">
        <f t="shared" si="17"/>
        <v>Deportivos</v>
      </c>
    </row>
    <row r="1121" spans="1:4" x14ac:dyDescent="0.25">
      <c r="A1121" s="1">
        <v>42745</v>
      </c>
      <c r="B1121" t="s">
        <v>496</v>
      </c>
      <c r="C1121" s="5">
        <f>VLOOKUP(B1121,$J$14:$K$64,2,0)</f>
        <v>1040</v>
      </c>
      <c r="D1121" t="str">
        <f t="shared" si="17"/>
        <v>Deportivos</v>
      </c>
    </row>
    <row r="1122" spans="1:4" x14ac:dyDescent="0.25">
      <c r="A1122" s="1">
        <v>42905</v>
      </c>
      <c r="B1122" t="s">
        <v>488</v>
      </c>
      <c r="C1122" s="5">
        <f>VLOOKUP(B1122,$J$14:$K$64,2,0)</f>
        <v>819.99999999999989</v>
      </c>
      <c r="D1122" t="str">
        <f t="shared" si="17"/>
        <v>Casuales</v>
      </c>
    </row>
    <row r="1123" spans="1:4" x14ac:dyDescent="0.25">
      <c r="A1123" s="1">
        <v>42752</v>
      </c>
      <c r="B1123" t="s">
        <v>537</v>
      </c>
      <c r="C1123" s="5">
        <f>VLOOKUP(B1123,$J$14:$K$64,2,0)</f>
        <v>840</v>
      </c>
      <c r="D1123" t="str">
        <f t="shared" si="17"/>
        <v>Formales</v>
      </c>
    </row>
    <row r="1124" spans="1:4" x14ac:dyDescent="0.25">
      <c r="A1124" s="1">
        <v>42932</v>
      </c>
      <c r="B1124" t="s">
        <v>547</v>
      </c>
      <c r="C1124" s="5">
        <f>VLOOKUP(B1124,$J$14:$K$64,2,0)</f>
        <v>1170</v>
      </c>
      <c r="D1124" t="str">
        <f t="shared" si="17"/>
        <v>Formales</v>
      </c>
    </row>
    <row r="1125" spans="1:4" x14ac:dyDescent="0.25">
      <c r="A1125" s="1">
        <v>43043</v>
      </c>
      <c r="B1125" t="s">
        <v>518</v>
      </c>
      <c r="C1125" s="5">
        <f>VLOOKUP(B1125,$J$14:$K$64,2,0)</f>
        <v>1090</v>
      </c>
      <c r="D1125" t="str">
        <f t="shared" si="17"/>
        <v>Casuales</v>
      </c>
    </row>
    <row r="1126" spans="1:4" x14ac:dyDescent="0.25">
      <c r="A1126" s="1">
        <v>42844</v>
      </c>
      <c r="B1126" t="s">
        <v>504</v>
      </c>
      <c r="C1126" s="5">
        <f>VLOOKUP(B1126,$J$14:$K$64,2,0)</f>
        <v>1700</v>
      </c>
      <c r="D1126" t="str">
        <f t="shared" si="17"/>
        <v>Deportivos</v>
      </c>
    </row>
    <row r="1127" spans="1:4" x14ac:dyDescent="0.25">
      <c r="A1127" s="1">
        <v>42889</v>
      </c>
      <c r="B1127" t="s">
        <v>472</v>
      </c>
      <c r="C1127" s="5">
        <f>VLOOKUP(B1127,$J$14:$K$64,2,0)</f>
        <v>1710.0000000000002</v>
      </c>
      <c r="D1127" t="str">
        <f t="shared" si="17"/>
        <v>Formales</v>
      </c>
    </row>
    <row r="1128" spans="1:4" x14ac:dyDescent="0.25">
      <c r="A1128" s="1">
        <v>42859</v>
      </c>
      <c r="B1128" t="s">
        <v>486</v>
      </c>
      <c r="C1128" s="5">
        <f>VLOOKUP(B1128,$J$14:$K$64,2,0)</f>
        <v>2110</v>
      </c>
      <c r="D1128" t="str">
        <f t="shared" si="17"/>
        <v>Botas</v>
      </c>
    </row>
    <row r="1129" spans="1:4" x14ac:dyDescent="0.25">
      <c r="A1129" s="1">
        <v>43052</v>
      </c>
      <c r="B1129" t="s">
        <v>547</v>
      </c>
      <c r="C1129" s="5">
        <f>VLOOKUP(B1129,$J$14:$K$64,2,0)</f>
        <v>1170</v>
      </c>
      <c r="D1129" t="str">
        <f t="shared" si="17"/>
        <v>Formales</v>
      </c>
    </row>
    <row r="1130" spans="1:4" x14ac:dyDescent="0.25">
      <c r="A1130" s="1">
        <v>43034</v>
      </c>
      <c r="B1130" t="s">
        <v>529</v>
      </c>
      <c r="C1130" s="5">
        <f>VLOOKUP(B1130,$J$14:$K$64,2,0)</f>
        <v>2480</v>
      </c>
      <c r="D1130" t="str">
        <f t="shared" si="17"/>
        <v>Botas</v>
      </c>
    </row>
    <row r="1131" spans="1:4" x14ac:dyDescent="0.25">
      <c r="A1131" s="1">
        <v>42963</v>
      </c>
      <c r="B1131" t="s">
        <v>496</v>
      </c>
      <c r="C1131" s="5">
        <f>VLOOKUP(B1131,$J$14:$K$64,2,0)</f>
        <v>1040</v>
      </c>
      <c r="D1131" t="str">
        <f t="shared" si="17"/>
        <v>Deportivos</v>
      </c>
    </row>
    <row r="1132" spans="1:4" x14ac:dyDescent="0.25">
      <c r="A1132" s="1">
        <v>42795</v>
      </c>
      <c r="B1132" t="s">
        <v>527</v>
      </c>
      <c r="C1132" s="5">
        <f>VLOOKUP(B1132,$J$14:$K$64,2,0)</f>
        <v>1180</v>
      </c>
      <c r="D1132" t="str">
        <f t="shared" si="17"/>
        <v>Formales</v>
      </c>
    </row>
    <row r="1133" spans="1:4" x14ac:dyDescent="0.25">
      <c r="A1133" s="1">
        <v>42774</v>
      </c>
      <c r="B1133" t="s">
        <v>472</v>
      </c>
      <c r="C1133" s="5">
        <f>VLOOKUP(B1133,$J$14:$K$64,2,0)</f>
        <v>1710.0000000000002</v>
      </c>
      <c r="D1133" t="str">
        <f t="shared" si="17"/>
        <v>Formales</v>
      </c>
    </row>
    <row r="1134" spans="1:4" x14ac:dyDescent="0.25">
      <c r="A1134" s="1">
        <v>42932</v>
      </c>
      <c r="B1134" t="s">
        <v>488</v>
      </c>
      <c r="C1134" s="5">
        <f>VLOOKUP(B1134,$J$14:$K$64,2,0)</f>
        <v>819.99999999999989</v>
      </c>
      <c r="D1134" t="str">
        <f t="shared" si="17"/>
        <v>Casuales</v>
      </c>
    </row>
    <row r="1135" spans="1:4" x14ac:dyDescent="0.25">
      <c r="A1135" s="1">
        <v>42923</v>
      </c>
      <c r="B1135" t="s">
        <v>451</v>
      </c>
      <c r="C1135" s="5">
        <f>VLOOKUP(B1135,$J$14:$K$64,2,0)</f>
        <v>350</v>
      </c>
      <c r="D1135" t="str">
        <f t="shared" si="17"/>
        <v>Sandalias</v>
      </c>
    </row>
    <row r="1136" spans="1:4" x14ac:dyDescent="0.25">
      <c r="A1136" s="1">
        <v>42933</v>
      </c>
      <c r="B1136" t="s">
        <v>474</v>
      </c>
      <c r="C1136" s="5">
        <f>VLOOKUP(B1136,$J$14:$K$64,2,0)</f>
        <v>1620.0000000000002</v>
      </c>
      <c r="D1136" t="str">
        <f t="shared" si="17"/>
        <v>Formales</v>
      </c>
    </row>
    <row r="1137" spans="1:4" x14ac:dyDescent="0.25">
      <c r="A1137" s="1">
        <v>42789</v>
      </c>
      <c r="B1137" t="s">
        <v>498</v>
      </c>
      <c r="C1137" s="5">
        <f>VLOOKUP(B1137,$J$14:$K$64,2,0)</f>
        <v>840</v>
      </c>
      <c r="D1137" t="str">
        <f t="shared" si="17"/>
        <v>Deportivos</v>
      </c>
    </row>
    <row r="1138" spans="1:4" x14ac:dyDescent="0.25">
      <c r="A1138" s="1">
        <v>42864</v>
      </c>
      <c r="B1138" t="s">
        <v>510</v>
      </c>
      <c r="C1138" s="5">
        <f>VLOOKUP(B1138,$J$14:$K$64,2,0)</f>
        <v>969.99999999999989</v>
      </c>
      <c r="D1138" t="str">
        <f t="shared" si="17"/>
        <v>Formales</v>
      </c>
    </row>
    <row r="1139" spans="1:4" x14ac:dyDescent="0.25">
      <c r="A1139" s="1">
        <v>42808</v>
      </c>
      <c r="B1139" t="s">
        <v>486</v>
      </c>
      <c r="C1139" s="5">
        <f>VLOOKUP(B1139,$J$14:$K$64,2,0)</f>
        <v>2110</v>
      </c>
      <c r="D1139" t="str">
        <f t="shared" si="17"/>
        <v>Botas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C4B2-3AFD-4454-B9F6-21776F4690D3}">
  <dimension ref="J12:V43"/>
  <sheetViews>
    <sheetView showGridLines="0" topLeftCell="F22" workbookViewId="0">
      <selection activeCell="R36" sqref="R36"/>
    </sheetView>
  </sheetViews>
  <sheetFormatPr baseColWidth="10" defaultColWidth="9.140625" defaultRowHeight="15" x14ac:dyDescent="0.25"/>
  <cols>
    <col min="18" max="18" width="11.140625" bestFit="1" customWidth="1"/>
    <col min="19" max="19" width="11.5703125" bestFit="1" customWidth="1"/>
    <col min="20" max="20" width="13.140625" bestFit="1" customWidth="1"/>
    <col min="21" max="21" width="14.5703125" bestFit="1" customWidth="1"/>
    <col min="22" max="22" width="12.7109375" bestFit="1" customWidth="1"/>
    <col min="23" max="23" width="10.85546875" bestFit="1" customWidth="1"/>
  </cols>
  <sheetData>
    <row r="12" spans="10:19" x14ac:dyDescent="0.25">
      <c r="J12" s="15"/>
      <c r="S12">
        <f>225000/3</f>
        <v>75000</v>
      </c>
    </row>
    <row r="13" spans="10:19" x14ac:dyDescent="0.25">
      <c r="S13">
        <f>S12*4</f>
        <v>300000</v>
      </c>
    </row>
    <row r="14" spans="10:19" x14ac:dyDescent="0.25">
      <c r="S14">
        <f>S13*0.7</f>
        <v>210000</v>
      </c>
    </row>
    <row r="15" spans="10:19" x14ac:dyDescent="0.25">
      <c r="S15" s="30">
        <f>225000-S14</f>
        <v>15000</v>
      </c>
    </row>
    <row r="19" spans="18:21" x14ac:dyDescent="0.25">
      <c r="S19">
        <f>77*16</f>
        <v>1232</v>
      </c>
      <c r="T19">
        <f>78*17</f>
        <v>1326</v>
      </c>
      <c r="U19" s="29">
        <f>T19-S19</f>
        <v>94</v>
      </c>
    </row>
    <row r="26" spans="18:21" x14ac:dyDescent="0.25">
      <c r="R26">
        <f>1/3</f>
        <v>0.33333333333333331</v>
      </c>
    </row>
    <row r="27" spans="18:21" x14ac:dyDescent="0.25">
      <c r="R27">
        <f>1/8</f>
        <v>0.125</v>
      </c>
    </row>
    <row r="28" spans="18:21" x14ac:dyDescent="0.25">
      <c r="R28">
        <f>1/2</f>
        <v>0.5</v>
      </c>
    </row>
    <row r="29" spans="18:21" x14ac:dyDescent="0.25">
      <c r="R29">
        <f>R28+R27+R26</f>
        <v>0.95833333333333326</v>
      </c>
    </row>
    <row r="30" spans="18:21" x14ac:dyDescent="0.25">
      <c r="R30">
        <f>1-R29</f>
        <v>4.1666666666666741E-2</v>
      </c>
      <c r="S30">
        <v>10</v>
      </c>
      <c r="T30" t="s">
        <v>586</v>
      </c>
    </row>
    <row r="31" spans="18:21" x14ac:dyDescent="0.25">
      <c r="R31">
        <f>1/R30</f>
        <v>23.999999999999957</v>
      </c>
      <c r="S31" s="29">
        <f>S30*R31</f>
        <v>239.99999999999957</v>
      </c>
    </row>
    <row r="34" spans="18:22" x14ac:dyDescent="0.25">
      <c r="R34">
        <f>75/15</f>
        <v>5</v>
      </c>
      <c r="T34">
        <v>15</v>
      </c>
      <c r="U34" s="5">
        <v>120000</v>
      </c>
      <c r="V34" s="5">
        <f>U34*T34</f>
        <v>1800000</v>
      </c>
    </row>
    <row r="35" spans="18:22" x14ac:dyDescent="0.25">
      <c r="R35">
        <f>R34/30000</f>
        <v>1.6666666666666666E-4</v>
      </c>
      <c r="T35">
        <v>75</v>
      </c>
      <c r="U35" s="5">
        <v>30000</v>
      </c>
      <c r="V35" s="5">
        <f>U35*T35</f>
        <v>2250000</v>
      </c>
    </row>
    <row r="36" spans="18:22" x14ac:dyDescent="0.25">
      <c r="R36">
        <f>R35+120000</f>
        <v>120000.00016666666</v>
      </c>
      <c r="T36">
        <v>90</v>
      </c>
      <c r="U36" s="30">
        <f>V36/T36</f>
        <v>45000</v>
      </c>
      <c r="V36" s="5">
        <f>V35+V34</f>
        <v>4050000</v>
      </c>
    </row>
    <row r="37" spans="18:22" x14ac:dyDescent="0.25">
      <c r="R37" s="30">
        <f>R36/2</f>
        <v>60000.000083333332</v>
      </c>
    </row>
    <row r="41" spans="18:22" x14ac:dyDescent="0.25">
      <c r="R41">
        <f>52.5-19.75</f>
        <v>32.75</v>
      </c>
    </row>
    <row r="42" spans="18:22" x14ac:dyDescent="0.25">
      <c r="R42" s="5">
        <f>985*R41</f>
        <v>32258.75</v>
      </c>
    </row>
    <row r="43" spans="18:22" x14ac:dyDescent="0.25">
      <c r="R43" s="30">
        <f>R42-11450</f>
        <v>20808.75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0598-9BB9-4B62-B03A-2640CBC0B646}">
  <dimension ref="A1"/>
  <sheetViews>
    <sheetView topLeftCell="A4" workbookViewId="0">
      <selection activeCell="J23" sqref="J2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2056-51A6-4CAB-96A5-2DFA4C0A306E}">
  <dimension ref="J10:T86"/>
  <sheetViews>
    <sheetView showGridLines="0" tabSelected="1" topLeftCell="K10" workbookViewId="0">
      <selection activeCell="T23" sqref="T23"/>
    </sheetView>
  </sheetViews>
  <sheetFormatPr baseColWidth="10" defaultColWidth="9.140625" defaultRowHeight="15" x14ac:dyDescent="0.25"/>
  <cols>
    <col min="10" max="10" width="41.140625" bestFit="1" customWidth="1"/>
    <col min="11" max="12" width="14.5703125" bestFit="1" customWidth="1"/>
    <col min="14" max="14" width="17.5703125" bestFit="1" customWidth="1"/>
    <col min="15" max="15" width="16.140625" bestFit="1" customWidth="1"/>
    <col min="16" max="16" width="18.5703125" bestFit="1" customWidth="1"/>
    <col min="17" max="17" width="8.85546875" customWidth="1"/>
    <col min="18" max="18" width="7.5703125" customWidth="1"/>
    <col min="19" max="20" width="18.5703125" bestFit="1" customWidth="1"/>
  </cols>
  <sheetData>
    <row r="10" spans="10:20" x14ac:dyDescent="0.25">
      <c r="J10" s="24" t="s">
        <v>551</v>
      </c>
      <c r="K10" t="s">
        <v>550</v>
      </c>
      <c r="N10" s="24" t="s">
        <v>567</v>
      </c>
      <c r="O10" s="24" t="s">
        <v>568</v>
      </c>
      <c r="P10" t="s">
        <v>572</v>
      </c>
      <c r="S10" s="24" t="s">
        <v>551</v>
      </c>
      <c r="T10" t="s">
        <v>587</v>
      </c>
    </row>
    <row r="11" spans="10:20" x14ac:dyDescent="0.25">
      <c r="J11" s="19" t="s">
        <v>62</v>
      </c>
      <c r="K11" s="5">
        <v>12784</v>
      </c>
      <c r="N11" t="s">
        <v>553</v>
      </c>
      <c r="O11" t="s">
        <v>554</v>
      </c>
      <c r="P11" s="23">
        <v>34</v>
      </c>
      <c r="S11" s="19" t="s">
        <v>18</v>
      </c>
      <c r="T11" s="5">
        <v>1093.5348837209303</v>
      </c>
    </row>
    <row r="12" spans="10:20" x14ac:dyDescent="0.25">
      <c r="J12" s="19" t="s">
        <v>89</v>
      </c>
      <c r="K12" s="5">
        <v>23997</v>
      </c>
      <c r="O12" t="s">
        <v>555</v>
      </c>
      <c r="P12" s="23">
        <v>62</v>
      </c>
      <c r="S12" s="19" t="s">
        <v>86</v>
      </c>
      <c r="T12" s="5">
        <v>6864.217391304348</v>
      </c>
    </row>
    <row r="13" spans="10:20" x14ac:dyDescent="0.25">
      <c r="J13" s="19" t="s">
        <v>87</v>
      </c>
      <c r="K13" s="5">
        <v>75981</v>
      </c>
      <c r="O13" t="s">
        <v>556</v>
      </c>
      <c r="P13" s="23">
        <v>51</v>
      </c>
      <c r="S13" s="19" t="s">
        <v>23</v>
      </c>
      <c r="T13" s="5">
        <v>647.61111111111109</v>
      </c>
    </row>
    <row r="14" spans="10:20" x14ac:dyDescent="0.25">
      <c r="J14" s="19" t="s">
        <v>159</v>
      </c>
      <c r="K14" s="5">
        <v>4599</v>
      </c>
      <c r="O14" t="s">
        <v>557</v>
      </c>
      <c r="P14" s="23">
        <v>22</v>
      </c>
      <c r="S14" s="19" t="s">
        <v>35</v>
      </c>
      <c r="T14" s="5">
        <v>9864.3061224489793</v>
      </c>
    </row>
    <row r="15" spans="10:20" x14ac:dyDescent="0.25">
      <c r="J15" s="19" t="s">
        <v>139</v>
      </c>
      <c r="K15" s="5">
        <v>43197</v>
      </c>
      <c r="O15" t="s">
        <v>558</v>
      </c>
      <c r="P15" s="23">
        <v>83</v>
      </c>
      <c r="S15" s="19" t="s">
        <v>13</v>
      </c>
      <c r="T15" s="5">
        <v>1545.8085106382978</v>
      </c>
    </row>
    <row r="16" spans="10:20" x14ac:dyDescent="0.25">
      <c r="J16" s="19" t="s">
        <v>117</v>
      </c>
      <c r="K16" s="5">
        <v>17997</v>
      </c>
      <c r="O16" t="s">
        <v>559</v>
      </c>
      <c r="P16" s="23">
        <v>29</v>
      </c>
      <c r="S16" s="19" t="s">
        <v>45</v>
      </c>
      <c r="T16" s="5">
        <v>677</v>
      </c>
    </row>
    <row r="17" spans="10:20" x14ac:dyDescent="0.25">
      <c r="J17" s="19" t="s">
        <v>99</v>
      </c>
      <c r="K17" s="5">
        <v>17997</v>
      </c>
      <c r="O17" t="s">
        <v>560</v>
      </c>
      <c r="P17" s="23">
        <v>29</v>
      </c>
      <c r="S17" s="19" t="s">
        <v>27</v>
      </c>
      <c r="T17" s="5">
        <v>907.98550724637676</v>
      </c>
    </row>
    <row r="18" spans="10:20" x14ac:dyDescent="0.25">
      <c r="J18" s="19" t="s">
        <v>125</v>
      </c>
      <c r="K18" s="5">
        <v>23998</v>
      </c>
      <c r="O18" t="s">
        <v>561</v>
      </c>
      <c r="P18" s="23">
        <v>22</v>
      </c>
      <c r="S18" s="19" t="s">
        <v>552</v>
      </c>
      <c r="T18" s="5">
        <v>2399.1799999999998</v>
      </c>
    </row>
    <row r="19" spans="10:20" x14ac:dyDescent="0.25">
      <c r="J19" s="19" t="s">
        <v>93</v>
      </c>
      <c r="K19" s="5">
        <v>35997</v>
      </c>
      <c r="O19" t="s">
        <v>562</v>
      </c>
      <c r="P19" s="23">
        <v>41</v>
      </c>
    </row>
    <row r="20" spans="10:20" x14ac:dyDescent="0.25">
      <c r="J20" s="19" t="s">
        <v>115</v>
      </c>
      <c r="K20" s="5">
        <v>71991</v>
      </c>
      <c r="O20" t="s">
        <v>563</v>
      </c>
      <c r="P20" s="23">
        <v>37</v>
      </c>
    </row>
    <row r="21" spans="10:20" x14ac:dyDescent="0.25">
      <c r="J21" s="19" t="s">
        <v>40</v>
      </c>
      <c r="K21" s="5">
        <v>4998</v>
      </c>
      <c r="O21" t="s">
        <v>564</v>
      </c>
      <c r="P21" s="23">
        <v>22</v>
      </c>
    </row>
    <row r="22" spans="10:20" x14ac:dyDescent="0.25">
      <c r="J22" s="19" t="s">
        <v>123</v>
      </c>
      <c r="K22" s="5">
        <v>4995</v>
      </c>
      <c r="O22" t="s">
        <v>565</v>
      </c>
      <c r="P22" s="23">
        <v>21</v>
      </c>
    </row>
    <row r="23" spans="10:20" x14ac:dyDescent="0.25">
      <c r="J23" s="19" t="s">
        <v>24</v>
      </c>
      <c r="K23" s="5">
        <v>9334</v>
      </c>
      <c r="N23" t="s">
        <v>566</v>
      </c>
      <c r="O23" t="s">
        <v>554</v>
      </c>
      <c r="P23" s="23">
        <v>22</v>
      </c>
    </row>
    <row r="24" spans="10:20" x14ac:dyDescent="0.25">
      <c r="J24" s="19" t="s">
        <v>153</v>
      </c>
      <c r="K24" s="5">
        <v>2199</v>
      </c>
      <c r="O24" t="s">
        <v>555</v>
      </c>
      <c r="P24" s="23">
        <v>15</v>
      </c>
    </row>
    <row r="25" spans="10:20" x14ac:dyDescent="0.25">
      <c r="J25" s="19" t="s">
        <v>163</v>
      </c>
      <c r="K25" s="5">
        <v>3897</v>
      </c>
      <c r="O25" t="s">
        <v>556</v>
      </c>
      <c r="P25" s="23">
        <v>10</v>
      </c>
    </row>
    <row r="26" spans="10:20" x14ac:dyDescent="0.25">
      <c r="J26" s="19" t="s">
        <v>109</v>
      </c>
      <c r="K26" s="5">
        <v>5697</v>
      </c>
      <c r="N26" t="s">
        <v>552</v>
      </c>
      <c r="P26" s="23">
        <v>500</v>
      </c>
    </row>
    <row r="27" spans="10:20" x14ac:dyDescent="0.25">
      <c r="J27" s="19" t="s">
        <v>52</v>
      </c>
      <c r="K27" s="5">
        <v>11980</v>
      </c>
    </row>
    <row r="28" spans="10:20" x14ac:dyDescent="0.25">
      <c r="J28" s="19" t="s">
        <v>149</v>
      </c>
      <c r="K28" s="5">
        <v>1798</v>
      </c>
    </row>
    <row r="29" spans="10:20" x14ac:dyDescent="0.25">
      <c r="J29" s="19" t="s">
        <v>141</v>
      </c>
      <c r="K29" s="5">
        <v>2997</v>
      </c>
    </row>
    <row r="30" spans="10:20" x14ac:dyDescent="0.25">
      <c r="J30" s="19" t="s">
        <v>32</v>
      </c>
      <c r="K30" s="5">
        <v>44363</v>
      </c>
    </row>
    <row r="31" spans="10:20" x14ac:dyDescent="0.25">
      <c r="J31" s="19" t="s">
        <v>19</v>
      </c>
      <c r="K31" s="5">
        <v>20682</v>
      </c>
    </row>
    <row r="32" spans="10:20" x14ac:dyDescent="0.25">
      <c r="J32" s="19" t="s">
        <v>77</v>
      </c>
      <c r="K32" s="5">
        <v>1598</v>
      </c>
    </row>
    <row r="33" spans="10:11" x14ac:dyDescent="0.25">
      <c r="J33" s="19" t="s">
        <v>54</v>
      </c>
      <c r="K33" s="5">
        <v>7794</v>
      </c>
    </row>
    <row r="34" spans="10:11" x14ac:dyDescent="0.25">
      <c r="J34" s="19" t="s">
        <v>119</v>
      </c>
      <c r="K34" s="5">
        <v>1299</v>
      </c>
    </row>
    <row r="35" spans="10:11" x14ac:dyDescent="0.25">
      <c r="J35" s="19" t="s">
        <v>165</v>
      </c>
      <c r="K35" s="5">
        <v>899</v>
      </c>
    </row>
    <row r="36" spans="10:11" x14ac:dyDescent="0.25">
      <c r="J36" s="19" t="s">
        <v>82</v>
      </c>
      <c r="K36" s="5">
        <v>5196</v>
      </c>
    </row>
    <row r="37" spans="10:11" x14ac:dyDescent="0.25">
      <c r="J37" s="19" t="s">
        <v>42</v>
      </c>
      <c r="K37" s="5">
        <v>83877</v>
      </c>
    </row>
    <row r="38" spans="10:11" x14ac:dyDescent="0.25">
      <c r="J38" s="19" t="s">
        <v>135</v>
      </c>
      <c r="K38" s="5">
        <v>2454</v>
      </c>
    </row>
    <row r="39" spans="10:11" x14ac:dyDescent="0.25">
      <c r="J39" s="19" t="s">
        <v>167</v>
      </c>
      <c r="K39" s="5">
        <v>1149</v>
      </c>
    </row>
    <row r="40" spans="10:11" x14ac:dyDescent="0.25">
      <c r="J40" s="19" t="s">
        <v>58</v>
      </c>
      <c r="K40" s="5">
        <v>799</v>
      </c>
    </row>
    <row r="41" spans="10:11" x14ac:dyDescent="0.25">
      <c r="J41" s="19" t="s">
        <v>73</v>
      </c>
      <c r="K41" s="5">
        <v>7990</v>
      </c>
    </row>
    <row r="42" spans="10:11" x14ac:dyDescent="0.25">
      <c r="J42" s="19" t="s">
        <v>103</v>
      </c>
      <c r="K42" s="5">
        <v>3596</v>
      </c>
    </row>
    <row r="43" spans="10:11" x14ac:dyDescent="0.25">
      <c r="J43" s="19" t="s">
        <v>174</v>
      </c>
      <c r="K43" s="5">
        <v>1199</v>
      </c>
    </row>
    <row r="44" spans="10:11" x14ac:dyDescent="0.25">
      <c r="J44" s="19" t="s">
        <v>68</v>
      </c>
      <c r="K44" s="5">
        <v>398</v>
      </c>
    </row>
    <row r="45" spans="10:11" x14ac:dyDescent="0.25">
      <c r="J45" s="19" t="s">
        <v>143</v>
      </c>
      <c r="K45" s="5">
        <v>4598</v>
      </c>
    </row>
    <row r="46" spans="10:11" x14ac:dyDescent="0.25">
      <c r="J46" s="19" t="s">
        <v>101</v>
      </c>
      <c r="K46" s="5">
        <v>15198</v>
      </c>
    </row>
    <row r="47" spans="10:11" x14ac:dyDescent="0.25">
      <c r="J47" s="19" t="s">
        <v>91</v>
      </c>
      <c r="K47" s="5">
        <v>62991</v>
      </c>
    </row>
    <row r="48" spans="10:11" x14ac:dyDescent="0.25">
      <c r="J48" s="19" t="s">
        <v>137</v>
      </c>
      <c r="K48" s="5">
        <v>30396</v>
      </c>
    </row>
    <row r="49" spans="10:11" x14ac:dyDescent="0.25">
      <c r="J49" s="19" t="s">
        <v>97</v>
      </c>
      <c r="K49" s="5">
        <v>59995</v>
      </c>
    </row>
    <row r="50" spans="10:11" x14ac:dyDescent="0.25">
      <c r="J50" s="19" t="s">
        <v>36</v>
      </c>
      <c r="K50" s="5">
        <v>23997</v>
      </c>
    </row>
    <row r="51" spans="10:11" x14ac:dyDescent="0.25">
      <c r="J51" s="19" t="s">
        <v>145</v>
      </c>
      <c r="K51" s="5">
        <v>26997</v>
      </c>
    </row>
    <row r="52" spans="10:11" x14ac:dyDescent="0.25">
      <c r="J52" s="19" t="s">
        <v>60</v>
      </c>
      <c r="K52" s="5">
        <v>26997</v>
      </c>
    </row>
    <row r="53" spans="10:11" x14ac:dyDescent="0.25">
      <c r="J53" s="19" t="s">
        <v>111</v>
      </c>
      <c r="K53" s="5">
        <v>4599</v>
      </c>
    </row>
    <row r="54" spans="10:11" x14ac:dyDescent="0.25">
      <c r="J54" s="19" t="s">
        <v>147</v>
      </c>
      <c r="K54" s="5">
        <v>3599</v>
      </c>
    </row>
    <row r="55" spans="10:11" x14ac:dyDescent="0.25">
      <c r="J55" s="19" t="s">
        <v>64</v>
      </c>
      <c r="K55" s="5">
        <v>223984</v>
      </c>
    </row>
    <row r="56" spans="10:11" x14ac:dyDescent="0.25">
      <c r="J56" s="19" t="s">
        <v>113</v>
      </c>
      <c r="K56" s="5">
        <v>918</v>
      </c>
    </row>
    <row r="57" spans="10:11" x14ac:dyDescent="0.25">
      <c r="J57" s="19" t="s">
        <v>14</v>
      </c>
      <c r="K57" s="5">
        <v>40269</v>
      </c>
    </row>
    <row r="58" spans="10:11" x14ac:dyDescent="0.25">
      <c r="J58" s="19" t="s">
        <v>66</v>
      </c>
      <c r="K58" s="5">
        <v>5996</v>
      </c>
    </row>
    <row r="59" spans="10:11" x14ac:dyDescent="0.25">
      <c r="J59" s="19" t="s">
        <v>75</v>
      </c>
      <c r="K59" s="5">
        <v>23391</v>
      </c>
    </row>
    <row r="60" spans="10:11" x14ac:dyDescent="0.25">
      <c r="J60" s="19" t="s">
        <v>178</v>
      </c>
      <c r="K60" s="5">
        <v>999</v>
      </c>
    </row>
    <row r="61" spans="10:11" x14ac:dyDescent="0.25">
      <c r="J61" s="19" t="s">
        <v>131</v>
      </c>
      <c r="K61" s="5">
        <v>1998</v>
      </c>
    </row>
    <row r="62" spans="10:11" x14ac:dyDescent="0.25">
      <c r="J62" s="19" t="s">
        <v>129</v>
      </c>
      <c r="K62" s="5">
        <v>1197</v>
      </c>
    </row>
    <row r="63" spans="10:11" x14ac:dyDescent="0.25">
      <c r="J63" s="19" t="s">
        <v>46</v>
      </c>
      <c r="K63" s="5">
        <v>5592</v>
      </c>
    </row>
    <row r="64" spans="10:11" x14ac:dyDescent="0.25">
      <c r="J64" s="19" t="s">
        <v>71</v>
      </c>
      <c r="K64" s="5">
        <v>2245</v>
      </c>
    </row>
    <row r="65" spans="10:11" x14ac:dyDescent="0.25">
      <c r="J65" s="19" t="s">
        <v>95</v>
      </c>
      <c r="K65" s="5">
        <v>2457</v>
      </c>
    </row>
    <row r="66" spans="10:11" x14ac:dyDescent="0.25">
      <c r="J66" s="19" t="s">
        <v>133</v>
      </c>
      <c r="K66" s="5">
        <v>299</v>
      </c>
    </row>
    <row r="67" spans="10:11" x14ac:dyDescent="0.25">
      <c r="J67" s="19" t="s">
        <v>172</v>
      </c>
      <c r="K67" s="5">
        <v>1598</v>
      </c>
    </row>
    <row r="68" spans="10:11" x14ac:dyDescent="0.25">
      <c r="J68" s="19" t="s">
        <v>56</v>
      </c>
      <c r="K68" s="5">
        <v>1497</v>
      </c>
    </row>
    <row r="69" spans="10:11" x14ac:dyDescent="0.25">
      <c r="J69" s="19" t="s">
        <v>161</v>
      </c>
      <c r="K69" s="5">
        <v>798</v>
      </c>
    </row>
    <row r="70" spans="10:11" x14ac:dyDescent="0.25">
      <c r="J70" s="19" t="s">
        <v>84</v>
      </c>
      <c r="K70" s="5">
        <v>1998</v>
      </c>
    </row>
    <row r="71" spans="10:11" x14ac:dyDescent="0.25">
      <c r="J71" s="19" t="s">
        <v>105</v>
      </c>
      <c r="K71" s="5">
        <v>359</v>
      </c>
    </row>
    <row r="72" spans="10:11" x14ac:dyDescent="0.25">
      <c r="J72" s="19" t="s">
        <v>157</v>
      </c>
      <c r="K72" s="5">
        <v>798</v>
      </c>
    </row>
    <row r="73" spans="10:11" x14ac:dyDescent="0.25">
      <c r="J73" s="19" t="s">
        <v>121</v>
      </c>
      <c r="K73" s="5">
        <v>676</v>
      </c>
    </row>
    <row r="74" spans="10:11" x14ac:dyDescent="0.25">
      <c r="J74" s="19" t="s">
        <v>127</v>
      </c>
      <c r="K74" s="5">
        <v>598</v>
      </c>
    </row>
    <row r="75" spans="10:11" x14ac:dyDescent="0.25">
      <c r="J75" s="19" t="s">
        <v>50</v>
      </c>
      <c r="K75" s="5">
        <v>777</v>
      </c>
    </row>
    <row r="76" spans="10:11" x14ac:dyDescent="0.25">
      <c r="J76" s="19" t="s">
        <v>38</v>
      </c>
      <c r="K76" s="5">
        <v>458</v>
      </c>
    </row>
    <row r="77" spans="10:11" x14ac:dyDescent="0.25">
      <c r="J77" s="19" t="s">
        <v>30</v>
      </c>
      <c r="K77" s="5">
        <v>3108</v>
      </c>
    </row>
    <row r="78" spans="10:11" x14ac:dyDescent="0.25">
      <c r="J78" s="19" t="s">
        <v>107</v>
      </c>
      <c r="K78" s="5">
        <v>777</v>
      </c>
    </row>
    <row r="79" spans="10:11" x14ac:dyDescent="0.25">
      <c r="J79" s="19" t="s">
        <v>170</v>
      </c>
      <c r="K79" s="5">
        <v>339</v>
      </c>
    </row>
    <row r="80" spans="10:11" x14ac:dyDescent="0.25">
      <c r="J80" s="19" t="s">
        <v>155</v>
      </c>
      <c r="K80" s="5">
        <v>219</v>
      </c>
    </row>
    <row r="81" spans="10:11" x14ac:dyDescent="0.25">
      <c r="J81" s="19" t="s">
        <v>80</v>
      </c>
      <c r="K81" s="5">
        <v>3992</v>
      </c>
    </row>
    <row r="82" spans="10:11" x14ac:dyDescent="0.25">
      <c r="J82" s="19" t="s">
        <v>151</v>
      </c>
      <c r="K82" s="5">
        <v>299</v>
      </c>
    </row>
    <row r="83" spans="10:11" x14ac:dyDescent="0.25">
      <c r="J83" s="19" t="s">
        <v>48</v>
      </c>
      <c r="K83" s="5">
        <v>4194</v>
      </c>
    </row>
    <row r="84" spans="10:11" x14ac:dyDescent="0.25">
      <c r="J84" s="19" t="s">
        <v>176</v>
      </c>
      <c r="K84" s="5">
        <v>699</v>
      </c>
    </row>
    <row r="85" spans="10:11" x14ac:dyDescent="0.25">
      <c r="J85" s="19" t="s">
        <v>28</v>
      </c>
      <c r="K85" s="5">
        <v>47968</v>
      </c>
    </row>
    <row r="86" spans="10:11" x14ac:dyDescent="0.25">
      <c r="J86" s="19" t="s">
        <v>552</v>
      </c>
      <c r="K86" s="5">
        <v>1199590</v>
      </c>
    </row>
  </sheetData>
  <conditionalFormatting pivot="1" sqref="K11:K85">
    <cfRule type="top10" dxfId="2" priority="3" rank="5"/>
  </conditionalFormatting>
  <conditionalFormatting pivot="1" sqref="P11:P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T11:T17">
    <cfRule type="cellIs" dxfId="0" priority="1" operator="greaterThan">
      <formula>1000</formula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Intro</vt:lpstr>
      <vt:lpstr>Tablas Limpias</vt:lpstr>
      <vt:lpstr>Tablas Excel</vt:lpstr>
      <vt:lpstr>Tablas Dinámicas</vt:lpstr>
      <vt:lpstr>Gráficas</vt:lpstr>
      <vt:lpstr>Segmentación</vt:lpstr>
      <vt:lpstr>Dashboards</vt:lpstr>
      <vt:lpstr>Condicionales</vt:lpstr>
      <vt:lpstr>BuscarV</vt:lpstr>
      <vt:lpstr>Razonamiento</vt:lpstr>
      <vt:lpstr>Herramientas</vt:lpstr>
      <vt:lpstr>Formato Condicional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Juan Muñoz Meza</cp:lastModifiedBy>
  <dcterms:created xsi:type="dcterms:W3CDTF">2019-02-14T16:52:05Z</dcterms:created>
  <dcterms:modified xsi:type="dcterms:W3CDTF">2024-09-04T17:48:13Z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e3967dfb-5f7d-44ac-89b3-d45c024cd29c</vt:lpwstr>
  </property>
</Properties>
</file>