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uñoz\Pagina Web\Portafolio 2.0\CSS\archivos\"/>
    </mc:Choice>
  </mc:AlternateContent>
  <xr:revisionPtr revIDLastSave="0" documentId="13_ncr:1_{82F5BAA6-C0B5-498D-9A7D-241A55D211B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os de Carreras" sheetId="1" r:id="rId1"/>
    <sheet name="Paises Participantes" sheetId="3" r:id="rId2"/>
    <sheet name="Edades de Competidores" sheetId="2" r:id="rId3"/>
    <sheet name="Preguntas" sheetId="4" r:id="rId4"/>
  </sheets>
  <definedNames>
    <definedName name="_xlnm._FilterDatabase" localSheetId="0" hidden="1">'Datos de Carreras'!$A$1:$D$65</definedName>
    <definedName name="_xlnm._FilterDatabase" localSheetId="2" hidden="1">'Edades de Competidores'!$A$1:$B$65</definedName>
    <definedName name="_xlnm._FilterDatabase" localSheetId="1" hidden="1">'Paises Participantes'!$A$1:$A$65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D17" i="4"/>
  <c r="D14" i="4"/>
  <c r="D11" i="4"/>
  <c r="D8" i="4"/>
  <c r="D5" i="4"/>
  <c r="I79" i="1" l="1"/>
  <c r="D2" i="4"/>
</calcChain>
</file>

<file path=xl/sharedStrings.xml><?xml version="1.0" encoding="utf-8"?>
<sst xmlns="http://schemas.openxmlformats.org/spreadsheetml/2006/main" count="510" uniqueCount="154">
  <si>
    <t>THOMPSON Elaine</t>
  </si>
  <si>
    <t>BOWIE Tori</t>
  </si>
  <si>
    <t>FRASER-PRYCE Shelly-Ann</t>
  </si>
  <si>
    <t>TA LOU Marie-Josee</t>
  </si>
  <si>
    <t>SCHIPPERS Dafne</t>
  </si>
  <si>
    <t>AHYE Michelle-Lee</t>
  </si>
  <si>
    <t>GARDNER English</t>
  </si>
  <si>
    <t>WILLIAMS Christania</t>
  </si>
  <si>
    <t>BARTOLETTA Tianna</t>
  </si>
  <si>
    <t>AHOURE Murielle</t>
  </si>
  <si>
    <t>OKAGBARE Blessing</t>
  </si>
  <si>
    <t>HENRY Desiree</t>
  </si>
  <si>
    <t>TENORIO Angela</t>
  </si>
  <si>
    <t>KAMBUNDJI Mujinga</t>
  </si>
  <si>
    <t>SWOBODA Ewa</t>
  </si>
  <si>
    <t>HACKETT Semoy</t>
  </si>
  <si>
    <t>HORN Carina</t>
  </si>
  <si>
    <t>SANTOS Rosangela</t>
  </si>
  <si>
    <t>LANDAZURI Narcisa</t>
  </si>
  <si>
    <t>POVKH Olesya</t>
  </si>
  <si>
    <t>PINTO Tatjana</t>
  </si>
  <si>
    <t>POHREBNIAK Natalia</t>
  </si>
  <si>
    <t>PHILIP Asha</t>
  </si>
  <si>
    <t>LALOVA-COLLIO Ivet</t>
  </si>
  <si>
    <t>BINGHAM Khamica</t>
  </si>
  <si>
    <t>NEITA Daryll</t>
  </si>
  <si>
    <t>BAPTISTE Kelly-Ann</t>
  </si>
  <si>
    <t>BAZOLO Lorene Dorcas</t>
  </si>
  <si>
    <t>EMMANUEL Crystal</t>
  </si>
  <si>
    <t>OKPARAEBO Ezinne</t>
  </si>
  <si>
    <t>OWUSU-AGYAPONG Flings</t>
  </si>
  <si>
    <t>HAASE Rebekka</t>
  </si>
  <si>
    <t>PALACIOS Eliecith</t>
  </si>
  <si>
    <t>WEI Yongli</t>
  </si>
  <si>
    <t>WISIL Toea</t>
  </si>
  <si>
    <t>SAFRONOVA Olga</t>
  </si>
  <si>
    <t>HARRIGAN-SCOTT Tahesia</t>
  </si>
  <si>
    <t>ASUMNU Gloria</t>
  </si>
  <si>
    <t>GAITHER Tynia</t>
  </si>
  <si>
    <t>YUAN Qiqi</t>
  </si>
  <si>
    <t>CONLEY Alyssa</t>
  </si>
  <si>
    <t>STUY Khrystyna</t>
  </si>
  <si>
    <t>ALKHALDI Hajar</t>
  </si>
  <si>
    <t>RIVERA Evelyn</t>
  </si>
  <si>
    <t>MADU Jennifer</t>
  </si>
  <si>
    <t>PAPAIOANNOU Ramona</t>
  </si>
  <si>
    <t>KRASUCKI Franciela</t>
  </si>
  <si>
    <t>ZANG MILAMA Ruddy</t>
  </si>
  <si>
    <t>SHARIPOVA Nigina</t>
  </si>
  <si>
    <t>CHAND Dutee</t>
  </si>
  <si>
    <t>ZYABKINA Viktoriya</t>
  </si>
  <si>
    <t>POPOWICZ-DRAPALA Marika</t>
  </si>
  <si>
    <t>JASIM Iman Essa</t>
  </si>
  <si>
    <t>THOMPSON Brenessa</t>
  </si>
  <si>
    <t>BREEN Melissa</t>
  </si>
  <si>
    <t>KASHAFUTDINOVA Rima</t>
  </si>
  <si>
    <t>WINGFIELD Charlotte</t>
  </si>
  <si>
    <t>BOUELE Cecilia</t>
  </si>
  <si>
    <t>KAMARA Hafsatu</t>
  </si>
  <si>
    <t>WAHI Sunayna</t>
  </si>
  <si>
    <t>TAEA Patricia</t>
  </si>
  <si>
    <t>AL-ALAWI Mazoon</t>
  </si>
  <si>
    <t>SEAVULA Sisila</t>
  </si>
  <si>
    <t>ZULKIFLI Zaidatul Husniah</t>
  </si>
  <si>
    <t>JAM</t>
  </si>
  <si>
    <t>TTO</t>
  </si>
  <si>
    <t>CIV</t>
  </si>
  <si>
    <t>GBR</t>
  </si>
  <si>
    <t>USA</t>
  </si>
  <si>
    <t>NGR</t>
  </si>
  <si>
    <t>NED</t>
  </si>
  <si>
    <t>SUI</t>
  </si>
  <si>
    <t>POL</t>
  </si>
  <si>
    <t>BRA</t>
  </si>
  <si>
    <t>UKR</t>
  </si>
  <si>
    <t>GER</t>
  </si>
  <si>
    <t>RSA</t>
  </si>
  <si>
    <t>BUL</t>
  </si>
  <si>
    <t>ECU</t>
  </si>
  <si>
    <t>CAN</t>
  </si>
  <si>
    <t>POR</t>
  </si>
  <si>
    <t>NOR</t>
  </si>
  <si>
    <t>GHA</t>
  </si>
  <si>
    <t>COL</t>
  </si>
  <si>
    <t>CHN</t>
  </si>
  <si>
    <t>PNG</t>
  </si>
  <si>
    <t>KAZ</t>
  </si>
  <si>
    <t>IVB</t>
  </si>
  <si>
    <t>BAH</t>
  </si>
  <si>
    <t>BRN</t>
  </si>
  <si>
    <t>CYP</t>
  </si>
  <si>
    <t>GAB</t>
  </si>
  <si>
    <t>UZB</t>
  </si>
  <si>
    <t>IND</t>
  </si>
  <si>
    <t>GUY</t>
  </si>
  <si>
    <t>AUS</t>
  </si>
  <si>
    <t>MLT</t>
  </si>
  <si>
    <t>CGO</t>
  </si>
  <si>
    <t>SLE</t>
  </si>
  <si>
    <t>SUR</t>
  </si>
  <si>
    <t>COK</t>
  </si>
  <si>
    <t>OMA</t>
  </si>
  <si>
    <t>FIJ</t>
  </si>
  <si>
    <t>MAS</t>
  </si>
  <si>
    <t>Ronda 1</t>
  </si>
  <si>
    <t>Ronda 2</t>
  </si>
  <si>
    <t>Ronda 3</t>
  </si>
  <si>
    <t>Nombres</t>
  </si>
  <si>
    <t>Pais</t>
  </si>
  <si>
    <t>Nombre</t>
  </si>
  <si>
    <t>Edad</t>
  </si>
  <si>
    <t>Question 2</t>
  </si>
  <si>
    <t>¿Cuál pais ha traido la mayor cantidad de personas a la ronda 3?</t>
  </si>
  <si>
    <t>Question 3</t>
  </si>
  <si>
    <t>Question 4</t>
  </si>
  <si>
    <t>¿Quién es el competidor de mayor edad en no pasar de la ronda 1?</t>
  </si>
  <si>
    <t>Question 5</t>
  </si>
  <si>
    <t>¿Cuáles es la diferencia de edad entre el competidor más joven y el mas viejo de Jamaica?</t>
  </si>
  <si>
    <t>Question 6</t>
  </si>
  <si>
    <t>¿Cuál es el tiempo promedio de los competidores de USA (todas las rondas)?</t>
  </si>
  <si>
    <t>Question 1</t>
  </si>
  <si>
    <t>¿Quién es el competidor de menor edad, participando en las 3 rondas?</t>
  </si>
  <si>
    <t>Cantidad de Competidores</t>
  </si>
  <si>
    <t>País (Iniciales)</t>
  </si>
  <si>
    <t>Competidor</t>
  </si>
  <si>
    <t>País</t>
  </si>
  <si>
    <t>¿Cuántos competidores menores de 25 años hubo en la ronda 2?</t>
  </si>
  <si>
    <t>Tiempo promedio (pon sólo 2 decimales)</t>
  </si>
  <si>
    <t>Diferencia de edades  (pon sólo 2 decimales)</t>
  </si>
  <si>
    <t>Etiquetas de fila</t>
  </si>
  <si>
    <t>Total general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</si>
  <si>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</si>
  <si>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</si>
  <si>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</si>
  <si>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</si>
  <si>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</si>
  <si>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</si>
  <si>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</si>
  <si>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</si>
  <si>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</si>
  <si>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</si>
  <si>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</si>
  <si>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</si>
  <si>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</si>
  <si>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</si>
  <si>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</si>
  <si>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</si>
  <si>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</si>
  <si>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Cuenta de Ronda 2</t>
  </si>
  <si>
    <t>Cuenta de Ronda 3</t>
  </si>
  <si>
    <t>Cuenta de Edad</t>
  </si>
  <si>
    <t>Columna1</t>
  </si>
  <si>
    <t>Columna2</t>
  </si>
  <si>
    <t>Cuenta de 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</si>
</sst>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1"/>
      <color rgb="FF444444"/>
      <name val="Inherit"/>
    </font>
    <font>
      <b/>
      <sz val="17"/>
      <color rgb="FF444444"/>
      <name val="Inherit"/>
    </font>
    <font>
      <sz val="11"/>
      <color rgb="FF444444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1" fontId="0" fillId="2" borderId="1" xfId="0" applyNumberFormat="1" applyFill="1" applyBorder="1" applyAlignment="1" applyProtection="1">
      <alignment horizontal="center" vertic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5"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rgb="FF008641"/>
        </patternFill>
      </fill>
    </dxf>
    <dxf>
      <font>
        <color theme="1"/>
      </font>
      <border>
        <left style="thin">
          <color rgb="FF008641"/>
        </left>
        <right style="thin">
          <color rgb="FF008641"/>
        </right>
        <top style="thin">
          <color rgb="FF008641"/>
        </top>
        <bottom style="thin">
          <color rgb="FF008641"/>
        </bottom>
        <horizontal style="thin">
          <color rgb="FF008641"/>
        </horizontal>
      </border>
    </dxf>
  </dxfs>
  <tableStyles count="1" defaultTableStyle="TableStyleMedium2" defaultPivotStyle="PivotStyleLight16">
    <tableStyle name="ExcelChampTable" pivot="0" count="7" xr9:uid="{00000000-0011-0000-FFFF-FFFF0000000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5553.393125694442" createdVersion="8" refreshedVersion="8" minRefreshableVersion="3" recordCount="64" xr:uid="{E202DB0C-7924-489B-A0A7-42F50928C777}">
  <cacheSource type="worksheet">
    <worksheetSource name="Tabla1"/>
  </cacheSource>
  <cacheFields count="6">
    <cacheField name="Nombres" numFmtId="0">
      <sharedItems/>
    </cacheField>
    <cacheField name="Ronda 1" numFmtId="0">
      <sharedItems containsSemiMixedTypes="0" containsString="0" containsNumber="1" minValue="10.96" maxValue="12.62" count="48">
        <n v="11.27"/>
        <n v="11.21"/>
        <n v="11.16"/>
        <n v="11.09"/>
        <n v="11"/>
        <n v="11.13"/>
        <n v="11.01"/>
        <n v="10.96"/>
        <n v="11.34"/>
        <n v="11.3"/>
        <n v="11.31"/>
        <n v="11.39"/>
        <n v="11.38"/>
        <n v="11.25"/>
        <n v="11.32"/>
        <n v="11.35"/>
        <n v="11.24"/>
        <n v="11.19"/>
        <n v="11.08"/>
        <n v="11.17"/>
        <n v="11.23"/>
        <n v="11.54"/>
        <n v="11.43"/>
        <n v="11.55"/>
        <n v="11.42"/>
        <n v="11.67"/>
        <n v="11.48"/>
        <n v="11.57"/>
        <n v="11.7"/>
        <n v="11.61"/>
        <n v="12.25"/>
        <n v="11.74"/>
        <n v="11.5"/>
        <n v="12.22"/>
        <n v="11.69"/>
        <n v="11.47"/>
        <n v="12.18"/>
        <n v="11.56"/>
        <n v="12.41"/>
        <n v="12.62"/>
        <n v="11.41"/>
        <n v="11.9"/>
        <n v="11.59"/>
        <n v="11.84"/>
        <n v="11.68"/>
        <n v="12.48"/>
        <n v="11.72"/>
        <n v="12.43"/>
      </sharedItems>
    </cacheField>
    <cacheField name="Ronda 2" numFmtId="0">
      <sharedItems containsString="0" containsBlank="1" containsNumber="1" minValue="10.88" maxValue="11.33" count="17">
        <n v="10.96"/>
        <n v="10.88"/>
        <n v="10.9"/>
        <n v="10.94"/>
        <n v="11.33"/>
        <n v="11.32"/>
        <n v="11.29"/>
        <n v="11.27"/>
        <n v="11.23"/>
        <n v="11.2"/>
        <n v="11.18"/>
        <n v="11.16"/>
        <n v="11.14"/>
        <n v="11.09"/>
        <n v="11.01"/>
        <n v="11"/>
        <m/>
      </sharedItems>
    </cacheField>
    <cacheField name="Ronda 3" numFmtId="0">
      <sharedItems containsString="0" containsBlank="1" containsNumber="1" minValue="10.71" maxValue="11.8" count="8">
        <n v="11.8"/>
        <n v="10.71"/>
        <n v="10.9"/>
        <n v="10.94"/>
        <n v="10.92"/>
        <n v="10.83"/>
        <n v="10.86"/>
        <m/>
      </sharedItems>
    </cacheField>
    <cacheField name="Edad" numFmtId="0">
      <sharedItems containsSemiMixedTypes="0" containsString="0" containsNumber="1" minValue="18.71" maxValue="34.520000000000003" count="64">
        <n v="21.84"/>
        <n v="24.14"/>
        <n v="24.18"/>
        <n v="24.33"/>
        <n v="24.36"/>
        <n v="25.98"/>
        <n v="27.75"/>
        <n v="29.65"/>
        <n v="25.82"/>
        <n v="28.5"/>
        <n v="24.13"/>
        <n v="28.84"/>
        <n v="25.19"/>
        <n v="25.67"/>
        <n v="27.45"/>
        <n v="27.73"/>
        <n v="19.059999999999999"/>
        <n v="24.17"/>
        <n v="20.56"/>
        <n v="20.98"/>
        <n v="27.86"/>
        <n v="28.99"/>
        <n v="30.98"/>
        <n v="34.520000000000003"/>
        <n v="33.299999999999997"/>
        <n v="32.26"/>
        <n v="31.25"/>
        <n v="29.85"/>
        <n v="29.21"/>
        <n v="28.93"/>
        <n v="28.64"/>
        <n v="28.55"/>
        <n v="28.47"/>
        <n v="28.32"/>
        <n v="28.31"/>
        <n v="27.84"/>
        <n v="27.18"/>
        <n v="26.02"/>
        <n v="25.92"/>
        <n v="25.32"/>
        <n v="24.86"/>
        <n v="24.79"/>
        <n v="24.73"/>
        <n v="24.7"/>
        <n v="23.96"/>
        <n v="23.63"/>
        <n v="23.61"/>
        <n v="23.43"/>
        <n v="23.24"/>
        <n v="23"/>
        <n v="22.18"/>
        <n v="21.9"/>
        <n v="21.72"/>
        <n v="21.42"/>
        <n v="21.07"/>
        <n v="21.02"/>
        <n v="20.81"/>
        <n v="20.76"/>
        <n v="20.54"/>
        <n v="20.07"/>
        <n v="19.97"/>
        <n v="19.11"/>
        <n v="18.760000000000002"/>
        <n v="18.71"/>
      </sharedItems>
      <fieldGroup base="4">
        <rangePr autoStart="0" autoEnd="0" startNum="18" endNum="35"/>
        <groupItems count="19">
          <s v="&lt;18"/>
          <s v="18-19"/>
          <s v="19-20"/>
          <s v="20-21"/>
          <s v="21-22"/>
          <s v="22-23"/>
          <s v="23-24"/>
          <s v="24-25"/>
          <s v="25-26"/>
          <s v="26-27"/>
          <s v="27-28"/>
          <s v="28-29"/>
          <s v="29-30"/>
          <s v="30-31"/>
          <s v="31-32"/>
          <s v="32-33"/>
          <s v="33-34"/>
          <s v="34-35"/>
          <s v="&gt;35"/>
        </groupItems>
      </fieldGroup>
    </cacheField>
    <cacheField name="Pais" numFmtId="0">
      <sharedItems count="40">
        <s v="JAM"/>
        <s v="NED"/>
        <s v="USA"/>
        <s v="TTO"/>
        <s v="CIV"/>
        <s v="GBR"/>
        <s v="UKR"/>
        <s v="GER"/>
        <s v="ECU"/>
        <s v="BRA"/>
        <s v="RSA"/>
        <s v="POL"/>
        <s v="SUI"/>
        <s v="NGR"/>
        <s v="IVB"/>
        <s v="POR"/>
        <s v="BUL"/>
        <s v="GAB"/>
        <s v="COL"/>
        <s v="PNG"/>
        <s v="NOR"/>
        <s v="GHA"/>
        <s v="CYP"/>
        <s v="SUR"/>
        <s v="AUS"/>
        <s v="CHN"/>
        <s v="KAZ"/>
        <s v="CAN"/>
        <s v="SLE"/>
        <s v="CGO"/>
        <s v="BAH"/>
        <s v="COK"/>
        <s v="MAS"/>
        <s v="MLT"/>
        <s v="BRN"/>
        <s v="UZB"/>
        <s v="FIJ"/>
        <s v="IND"/>
        <s v="GUY"/>
        <s v="O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WILLIAMS Christania"/>
    <x v="0"/>
    <x v="0"/>
    <x v="0"/>
    <x v="0"/>
    <x v="0"/>
  </r>
  <r>
    <s v="THOMPSON Elaine"/>
    <x v="1"/>
    <x v="1"/>
    <x v="1"/>
    <x v="1"/>
    <x v="0"/>
  </r>
  <r>
    <s v="SCHIPPERS Dafne"/>
    <x v="2"/>
    <x v="2"/>
    <x v="2"/>
    <x v="2"/>
    <x v="1"/>
  </r>
  <r>
    <s v="GARDNER English"/>
    <x v="3"/>
    <x v="2"/>
    <x v="3"/>
    <x v="3"/>
    <x v="2"/>
  </r>
  <r>
    <s v="AHYE Michelle-Lee"/>
    <x v="4"/>
    <x v="2"/>
    <x v="4"/>
    <x v="4"/>
    <x v="3"/>
  </r>
  <r>
    <s v="BOWIE Tori"/>
    <x v="5"/>
    <x v="2"/>
    <x v="5"/>
    <x v="5"/>
    <x v="2"/>
  </r>
  <r>
    <s v="TA LOU Marie-Josee"/>
    <x v="6"/>
    <x v="3"/>
    <x v="6"/>
    <x v="6"/>
    <x v="4"/>
  </r>
  <r>
    <s v="FRASER-PRYCE Shelly-Ann"/>
    <x v="7"/>
    <x v="1"/>
    <x v="6"/>
    <x v="7"/>
    <x v="0"/>
  </r>
  <r>
    <s v="PHILIP Asha"/>
    <x v="8"/>
    <x v="4"/>
    <x v="7"/>
    <x v="8"/>
    <x v="5"/>
  </r>
  <r>
    <s v="POHREBNIAK Natalia"/>
    <x v="9"/>
    <x v="5"/>
    <x v="7"/>
    <x v="9"/>
    <x v="6"/>
  </r>
  <r>
    <s v="PINTO Tatjana"/>
    <x v="10"/>
    <x v="5"/>
    <x v="7"/>
    <x v="10"/>
    <x v="7"/>
  </r>
  <r>
    <s v="POVKH Olesya"/>
    <x v="11"/>
    <x v="6"/>
    <x v="7"/>
    <x v="11"/>
    <x v="6"/>
  </r>
  <r>
    <s v="LANDAZURI Narcisa"/>
    <x v="12"/>
    <x v="7"/>
    <x v="7"/>
    <x v="12"/>
    <x v="8"/>
  </r>
  <r>
    <s v="SANTOS Rosangela"/>
    <x v="13"/>
    <x v="8"/>
    <x v="7"/>
    <x v="13"/>
    <x v="9"/>
  </r>
  <r>
    <s v="HORN Carina"/>
    <x v="14"/>
    <x v="9"/>
    <x v="7"/>
    <x v="14"/>
    <x v="10"/>
  </r>
  <r>
    <s v="HACKETT Semoy"/>
    <x v="15"/>
    <x v="9"/>
    <x v="7"/>
    <x v="15"/>
    <x v="3"/>
  </r>
  <r>
    <s v="SWOBODA Ewa"/>
    <x v="16"/>
    <x v="10"/>
    <x v="7"/>
    <x v="16"/>
    <x v="11"/>
  </r>
  <r>
    <s v="KAMBUNDJI Mujinga"/>
    <x v="17"/>
    <x v="11"/>
    <x v="7"/>
    <x v="17"/>
    <x v="12"/>
  </r>
  <r>
    <s v="TENORIO Angela"/>
    <x v="15"/>
    <x v="12"/>
    <x v="7"/>
    <x v="18"/>
    <x v="8"/>
  </r>
  <r>
    <s v="HENRY Desiree"/>
    <x v="18"/>
    <x v="13"/>
    <x v="7"/>
    <x v="19"/>
    <x v="5"/>
  </r>
  <r>
    <s v="OKAGBARE Blessing"/>
    <x v="2"/>
    <x v="13"/>
    <x v="7"/>
    <x v="20"/>
    <x v="13"/>
  </r>
  <r>
    <s v="AHOURE Murielle"/>
    <x v="19"/>
    <x v="14"/>
    <x v="7"/>
    <x v="21"/>
    <x v="4"/>
  </r>
  <r>
    <s v="BARTOLETTA Tianna"/>
    <x v="20"/>
    <x v="15"/>
    <x v="7"/>
    <x v="22"/>
    <x v="2"/>
  </r>
  <r>
    <s v="HARRIGAN-SCOTT Tahesia"/>
    <x v="21"/>
    <x v="16"/>
    <x v="7"/>
    <x v="23"/>
    <x v="14"/>
  </r>
  <r>
    <s v="BAZOLO Lorene Dorcas"/>
    <x v="22"/>
    <x v="16"/>
    <x v="7"/>
    <x v="24"/>
    <x v="15"/>
  </r>
  <r>
    <s v="LALOVA-COLLIO Ivet"/>
    <x v="15"/>
    <x v="16"/>
    <x v="7"/>
    <x v="25"/>
    <x v="16"/>
  </r>
  <r>
    <s v="ASUMNU Gloria"/>
    <x v="23"/>
    <x v="16"/>
    <x v="7"/>
    <x v="26"/>
    <x v="13"/>
  </r>
  <r>
    <s v="BAPTISTE Kelly-Ann"/>
    <x v="24"/>
    <x v="16"/>
    <x v="7"/>
    <x v="27"/>
    <x v="3"/>
  </r>
  <r>
    <s v="ZANG MILAMA Ruddy"/>
    <x v="25"/>
    <x v="16"/>
    <x v="7"/>
    <x v="28"/>
    <x v="17"/>
  </r>
  <r>
    <s v="PALACIOS Eliecith"/>
    <x v="26"/>
    <x v="16"/>
    <x v="7"/>
    <x v="29"/>
    <x v="18"/>
  </r>
  <r>
    <s v="WISIL Toea"/>
    <x v="26"/>
    <x v="16"/>
    <x v="7"/>
    <x v="30"/>
    <x v="19"/>
  </r>
  <r>
    <s v="STUY Khrystyna"/>
    <x v="27"/>
    <x v="16"/>
    <x v="7"/>
    <x v="31"/>
    <x v="6"/>
  </r>
  <r>
    <s v="OKPARAEBO Ezinne"/>
    <x v="22"/>
    <x v="16"/>
    <x v="7"/>
    <x v="32"/>
    <x v="20"/>
  </r>
  <r>
    <s v="KRASUCKI Franciela"/>
    <x v="25"/>
    <x v="16"/>
    <x v="7"/>
    <x v="33"/>
    <x v="9"/>
  </r>
  <r>
    <s v="POPOWICZ-DRAPALA Marika"/>
    <x v="28"/>
    <x v="16"/>
    <x v="7"/>
    <x v="34"/>
    <x v="11"/>
  </r>
  <r>
    <s v="OWUSU-AGYAPONG Flings"/>
    <x v="22"/>
    <x v="16"/>
    <x v="7"/>
    <x v="35"/>
    <x v="21"/>
  </r>
  <r>
    <s v="PAPAIOANNOU Ramona"/>
    <x v="29"/>
    <x v="16"/>
    <x v="7"/>
    <x v="36"/>
    <x v="22"/>
  </r>
  <r>
    <s v="WAHI Sunayna"/>
    <x v="30"/>
    <x v="16"/>
    <x v="7"/>
    <x v="37"/>
    <x v="23"/>
  </r>
  <r>
    <s v="BREEN Melissa"/>
    <x v="31"/>
    <x v="16"/>
    <x v="7"/>
    <x v="38"/>
    <x v="24"/>
  </r>
  <r>
    <s v="CONLEY Alyssa"/>
    <x v="27"/>
    <x v="16"/>
    <x v="7"/>
    <x v="39"/>
    <x v="10"/>
  </r>
  <r>
    <s v="WEI Yongli"/>
    <x v="26"/>
    <x v="16"/>
    <x v="7"/>
    <x v="40"/>
    <x v="25"/>
  </r>
  <r>
    <s v="SAFRONOVA Olga"/>
    <x v="32"/>
    <x v="16"/>
    <x v="7"/>
    <x v="41"/>
    <x v="26"/>
  </r>
  <r>
    <s v="EMMANUEL Crystal"/>
    <x v="22"/>
    <x v="16"/>
    <x v="7"/>
    <x v="42"/>
    <x v="27"/>
  </r>
  <r>
    <s v="KAMARA Hafsatu"/>
    <x v="33"/>
    <x v="16"/>
    <x v="7"/>
    <x v="43"/>
    <x v="28"/>
  </r>
  <r>
    <s v="ZYABKINA Viktoriya"/>
    <x v="34"/>
    <x v="16"/>
    <x v="7"/>
    <x v="44"/>
    <x v="26"/>
  </r>
  <r>
    <s v="HAASE Rebekka"/>
    <x v="35"/>
    <x v="16"/>
    <x v="7"/>
    <x v="45"/>
    <x v="7"/>
  </r>
  <r>
    <s v="BOUELE Cecilia"/>
    <x v="36"/>
    <x v="16"/>
    <x v="7"/>
    <x v="46"/>
    <x v="29"/>
  </r>
  <r>
    <s v="GAITHER Tynia"/>
    <x v="37"/>
    <x v="16"/>
    <x v="7"/>
    <x v="47"/>
    <x v="30"/>
  </r>
  <r>
    <s v="TAEA Patricia"/>
    <x v="38"/>
    <x v="16"/>
    <x v="7"/>
    <x v="48"/>
    <x v="31"/>
  </r>
  <r>
    <s v="ZULKIFLI Zaidatul Husniah"/>
    <x v="39"/>
    <x v="16"/>
    <x v="7"/>
    <x v="49"/>
    <x v="32"/>
  </r>
  <r>
    <s v="BINGHAM Khamica"/>
    <x v="40"/>
    <x v="16"/>
    <x v="7"/>
    <x v="50"/>
    <x v="27"/>
  </r>
  <r>
    <s v="MADU Jennifer"/>
    <x v="29"/>
    <x v="16"/>
    <x v="7"/>
    <x v="51"/>
    <x v="13"/>
  </r>
  <r>
    <s v="WINGFIELD Charlotte"/>
    <x v="41"/>
    <x v="16"/>
    <x v="7"/>
    <x v="52"/>
    <x v="33"/>
  </r>
  <r>
    <s v="ALKHALDI Hajar"/>
    <x v="42"/>
    <x v="16"/>
    <x v="7"/>
    <x v="53"/>
    <x v="34"/>
  </r>
  <r>
    <s v="KASHAFUTDINOVA Rima"/>
    <x v="43"/>
    <x v="16"/>
    <x v="7"/>
    <x v="54"/>
    <x v="26"/>
  </r>
  <r>
    <s v="SHARIPOVA Nigina"/>
    <x v="44"/>
    <x v="16"/>
    <x v="7"/>
    <x v="55"/>
    <x v="35"/>
  </r>
  <r>
    <s v="YUAN Qiqi"/>
    <x v="37"/>
    <x v="16"/>
    <x v="7"/>
    <x v="56"/>
    <x v="25"/>
  </r>
  <r>
    <s v="SEAVULA Sisila"/>
    <x v="45"/>
    <x v="16"/>
    <x v="7"/>
    <x v="57"/>
    <x v="36"/>
  </r>
  <r>
    <s v="CHAND Dutee"/>
    <x v="34"/>
    <x v="16"/>
    <x v="7"/>
    <x v="58"/>
    <x v="37"/>
  </r>
  <r>
    <s v="THOMPSON Brenessa"/>
    <x v="46"/>
    <x v="16"/>
    <x v="7"/>
    <x v="59"/>
    <x v="38"/>
  </r>
  <r>
    <s v="NEITA Daryll"/>
    <x v="40"/>
    <x v="16"/>
    <x v="7"/>
    <x v="60"/>
    <x v="5"/>
  </r>
  <r>
    <s v="JASIM Iman Essa"/>
    <x v="46"/>
    <x v="16"/>
    <x v="7"/>
    <x v="61"/>
    <x v="34"/>
  </r>
  <r>
    <s v="AL-ALAWI Mazoon"/>
    <x v="47"/>
    <x v="16"/>
    <x v="7"/>
    <x v="62"/>
    <x v="39"/>
  </r>
  <r>
    <s v="RIVERA Evelyn"/>
    <x v="42"/>
    <x v="16"/>
    <x v="7"/>
    <x v="63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3B883-FF5D-4794-80AE-919EB8F14BF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2:J73" firstHeaderRow="1" firstDataRow="1" firstDataCol="1"/>
  <pivotFields count="6">
    <pivotField showAll="0"/>
    <pivotField showAll="0">
      <items count="49">
        <item x="7"/>
        <item x="4"/>
        <item x="6"/>
        <item x="18"/>
        <item x="3"/>
        <item x="5"/>
        <item x="2"/>
        <item x="19"/>
        <item x="17"/>
        <item x="1"/>
        <item x="20"/>
        <item x="16"/>
        <item x="13"/>
        <item x="0"/>
        <item x="9"/>
        <item x="10"/>
        <item x="14"/>
        <item x="8"/>
        <item x="15"/>
        <item x="12"/>
        <item x="11"/>
        <item x="40"/>
        <item x="24"/>
        <item x="22"/>
        <item x="35"/>
        <item x="26"/>
        <item x="32"/>
        <item x="21"/>
        <item x="23"/>
        <item x="37"/>
        <item x="27"/>
        <item x="42"/>
        <item x="29"/>
        <item x="25"/>
        <item x="44"/>
        <item x="34"/>
        <item x="28"/>
        <item x="46"/>
        <item x="31"/>
        <item x="43"/>
        <item x="41"/>
        <item x="36"/>
        <item x="33"/>
        <item x="30"/>
        <item x="38"/>
        <item x="47"/>
        <item x="45"/>
        <item x="39"/>
        <item t="default"/>
      </items>
    </pivotField>
    <pivotField showAll="0">
      <items count="18">
        <item x="1"/>
        <item x="2"/>
        <item x="3"/>
        <item x="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16"/>
        <item t="default"/>
      </items>
    </pivotField>
    <pivotField showAll="0">
      <items count="9">
        <item x="1"/>
        <item x="5"/>
        <item x="6"/>
        <item x="2"/>
        <item x="4"/>
        <item x="3"/>
        <item x="0"/>
        <item x="7"/>
        <item t="default"/>
      </items>
    </pivotField>
    <pivotField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41">
        <item x="24"/>
        <item x="30"/>
        <item x="9"/>
        <item x="34"/>
        <item x="16"/>
        <item x="27"/>
        <item x="29"/>
        <item x="25"/>
        <item x="4"/>
        <item x="31"/>
        <item x="18"/>
        <item x="22"/>
        <item x="8"/>
        <item x="36"/>
        <item x="17"/>
        <item x="5"/>
        <item x="7"/>
        <item x="21"/>
        <item x="38"/>
        <item x="37"/>
        <item x="14"/>
        <item x="0"/>
        <item x="26"/>
        <item x="32"/>
        <item x="33"/>
        <item x="1"/>
        <item x="13"/>
        <item x="20"/>
        <item x="39"/>
        <item x="19"/>
        <item x="11"/>
        <item x="15"/>
        <item x="10"/>
        <item x="28"/>
        <item x="12"/>
        <item x="23"/>
        <item x="3"/>
        <item x="6"/>
        <item x="2"/>
        <item x="35"/>
        <item t="default"/>
      </items>
    </pivotField>
  </pivotFields>
  <rowFields count="1">
    <field x="5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Cuenta de Eda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6EF4F-9728-4C84-AE25-DF4DA01BC6E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3:J29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 measureFilter="1" sortType="descending">
      <items count="41">
        <item x="24"/>
        <item x="30"/>
        <item x="9"/>
        <item x="34"/>
        <item x="16"/>
        <item x="27"/>
        <item x="29"/>
        <item x="25"/>
        <item x="4"/>
        <item x="31"/>
        <item x="18"/>
        <item x="22"/>
        <item x="8"/>
        <item x="36"/>
        <item x="17"/>
        <item x="5"/>
        <item x="7"/>
        <item x="21"/>
        <item x="38"/>
        <item x="37"/>
        <item x="14"/>
        <item x="0"/>
        <item x="26"/>
        <item x="32"/>
        <item x="33"/>
        <item x="1"/>
        <item x="13"/>
        <item x="20"/>
        <item x="39"/>
        <item x="19"/>
        <item x="11"/>
        <item x="15"/>
        <item x="10"/>
        <item x="28"/>
        <item x="12"/>
        <item x="23"/>
        <item x="3"/>
        <item x="6"/>
        <item x="2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6">
    <i>
      <x v="21"/>
    </i>
    <i>
      <x v="38"/>
    </i>
    <i>
      <x v="36"/>
    </i>
    <i>
      <x v="8"/>
    </i>
    <i>
      <x v="25"/>
    </i>
    <i t="grand">
      <x/>
    </i>
  </rowItems>
  <colItems count="1">
    <i/>
  </colItems>
  <dataFields count="1">
    <dataField name="Cuenta de Ronda 3" fld="3" subtotal="count" baseField="5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5F7AF-575E-49F6-95B1-CBF24D90C3F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19" firstHeaderRow="1" firstDataRow="1" firstDataCol="1"/>
  <pivotFields count="6">
    <pivotField showAll="0"/>
    <pivotField showAll="0"/>
    <pivotField dataField="1" showAll="0">
      <items count="18">
        <item x="1"/>
        <item x="2"/>
        <item x="3"/>
        <item x="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16"/>
        <item t="default"/>
      </items>
    </pivotField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</pivotFields>
  <rowFields count="1">
    <field x="4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Ronda 2" fld="2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8663-1601-4554-9920-32B1F14C710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:M3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41">
        <item h="1" x="24"/>
        <item h="1" x="30"/>
        <item h="1" x="9"/>
        <item h="1" x="34"/>
        <item h="1" x="16"/>
        <item h="1" x="27"/>
        <item h="1" x="29"/>
        <item h="1" x="25"/>
        <item h="1" x="4"/>
        <item h="1" x="31"/>
        <item h="1" x="18"/>
        <item h="1" x="22"/>
        <item h="1" x="8"/>
        <item h="1" x="36"/>
        <item h="1" x="17"/>
        <item h="1" x="5"/>
        <item h="1" x="7"/>
        <item h="1" x="21"/>
        <item h="1" x="38"/>
        <item h="1" x="37"/>
        <item h="1" x="14"/>
        <item h="1" x="0"/>
        <item h="1" x="26"/>
        <item h="1" x="32"/>
        <item h="1" x="33"/>
        <item h="1" x="1"/>
        <item h="1" x="13"/>
        <item h="1" x="20"/>
        <item h="1" x="39"/>
        <item h="1" x="19"/>
        <item h="1" x="11"/>
        <item h="1" x="15"/>
        <item h="1" x="10"/>
        <item h="1" x="28"/>
        <item h="1" x="12"/>
        <item h="1" x="23"/>
        <item h="1" x="3"/>
        <item h="1" x="6"/>
        <item x="2"/>
        <item h="1" x="35"/>
        <item t="default"/>
      </items>
    </pivotField>
  </pivotFields>
  <rowFields count="1">
    <field x="5"/>
  </rowFields>
  <rowItems count="2">
    <i>
      <x v="38"/>
    </i>
    <i t="grand">
      <x/>
    </i>
  </rowItems>
  <colItems count="1">
    <i/>
  </colItems>
  <dataFields count="1">
    <dataField name="Cuenta de Nombr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9328A-B512-41B1-B64E-367DBB58EE48}" name="Tabla1" displayName="Tabla1" ref="A1:F65" totalsRowShown="0">
  <autoFilter ref="A1:F65" xr:uid="{1ED9328A-B512-41B1-B64E-367DBB58EE48}"/>
  <tableColumns count="6">
    <tableColumn id="1" xr3:uid="{09F9AECD-E152-414A-9D0D-BC1D6B47E851}" name="Nombres"/>
    <tableColumn id="2" xr3:uid="{BCEF90F3-F10D-4556-BD75-916B4FD06481}" name="Ronda 1"/>
    <tableColumn id="3" xr3:uid="{7C35D8FE-03EF-4432-9006-69DD7054A72A}" name="Ronda 2"/>
    <tableColumn id="4" xr3:uid="{5D8DD7BC-E7E1-4B59-A1CF-B811B8933111}" name="Ronda 3"/>
    <tableColumn id="5" xr3:uid="{F43D5D6E-58D9-45EE-89DE-C0F2E11C478E}" name="Edad">
      <calculatedColumnFormula>VLOOKUP(A2,'Edades de Competidores'!$A$1:$B$65,2,0)</calculatedColumnFormula>
    </tableColumn>
    <tableColumn id="6" xr3:uid="{9DA9B5C4-F968-4C61-938B-A086BBC29454}" name="Pais">
      <calculatedColumnFormula>VLOOKUP(A2,'Paises Participantes'!$A$1:$B$65,2,0)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D3AFE-990F-4255-BE6F-1BFC3D263976}" name="Tabla2" displayName="Tabla2" ref="L48:M89" totalsRowShown="0">
  <autoFilter ref="L48:M89" xr:uid="{005D3AFE-990F-4255-BE6F-1BFC3D263976}"/>
  <sortState xmlns:xlrd2="http://schemas.microsoft.com/office/spreadsheetml/2017/richdata2" ref="L49:M89">
    <sortCondition descending="1" ref="M49:M89"/>
  </sortState>
  <tableColumns count="2">
    <tableColumn id="1" xr3:uid="{E9A8BC2C-96E9-4D82-9C65-A2F7C8CAEE3F}" name="Columna1"/>
    <tableColumn id="2" xr3:uid="{6066C502-C5EE-44D9-A200-5F9B1A3DC9F1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workbookViewId="0">
      <selection activeCell="B5" sqref="B5:D24"/>
    </sheetView>
  </sheetViews>
  <sheetFormatPr baseColWidth="10" defaultRowHeight="15"/>
  <cols>
    <col min="1" max="1" width="26.5703125" bestFit="1" customWidth="1"/>
    <col min="2" max="4" width="10.28515625" bestFit="1" customWidth="1"/>
    <col min="6" max="6" width="6.85546875" customWidth="1"/>
    <col min="9" max="9" width="17.5703125" bestFit="1" customWidth="1"/>
    <col min="10" max="10" width="14.7109375" bestFit="1" customWidth="1"/>
    <col min="11" max="11" width="22.42578125" bestFit="1" customWidth="1"/>
    <col min="12" max="12" width="17.5703125" bestFit="1" customWidth="1"/>
    <col min="13" max="13" width="18.7109375" bestFit="1" customWidth="1"/>
    <col min="14" max="56" width="22.42578125" bestFit="1" customWidth="1"/>
    <col min="57" max="57" width="12.5703125" bestFit="1" customWidth="1"/>
    <col min="58" max="75" width="12.85546875" bestFit="1" customWidth="1"/>
    <col min="76" max="76" width="15.85546875" bestFit="1" customWidth="1"/>
    <col min="77" max="78" width="12.5703125" bestFit="1" customWidth="1"/>
    <col min="79" max="86" width="12.85546875" bestFit="1" customWidth="1"/>
    <col min="87" max="88" width="15.85546875" bestFit="1" customWidth="1"/>
    <col min="89" max="90" width="12.5703125" bestFit="1" customWidth="1"/>
  </cols>
  <sheetData>
    <row r="1" spans="1:13">
      <c r="A1" t="s">
        <v>107</v>
      </c>
      <c r="B1" t="s">
        <v>104</v>
      </c>
      <c r="C1" t="s">
        <v>105</v>
      </c>
      <c r="D1" t="s">
        <v>106</v>
      </c>
      <c r="E1" t="s">
        <v>110</v>
      </c>
      <c r="F1" t="s">
        <v>108</v>
      </c>
      <c r="I1" s="13" t="s">
        <v>129</v>
      </c>
      <c r="J1" t="s">
        <v>148</v>
      </c>
      <c r="L1" s="13" t="s">
        <v>129</v>
      </c>
      <c r="M1" t="s">
        <v>153</v>
      </c>
    </row>
    <row r="2" spans="1:13">
      <c r="A2" t="s">
        <v>7</v>
      </c>
      <c r="B2">
        <v>11.27</v>
      </c>
      <c r="C2">
        <v>10.96</v>
      </c>
      <c r="D2">
        <v>11.8</v>
      </c>
      <c r="E2">
        <f>VLOOKUP(A2,'Edades de Competidores'!$A$1:$B$65,2,0)</f>
        <v>21.84</v>
      </c>
      <c r="F2" t="str">
        <f>VLOOKUP(A2,'Paises Participantes'!$A$1:$B$65,2,0)</f>
        <v>JAM</v>
      </c>
      <c r="I2" s="14" t="s">
        <v>131</v>
      </c>
      <c r="L2" s="14" t="s">
        <v>68</v>
      </c>
      <c r="M2">
        <v>3</v>
      </c>
    </row>
    <row r="3" spans="1:13">
      <c r="A3" t="s">
        <v>0</v>
      </c>
      <c r="B3">
        <v>11.21</v>
      </c>
      <c r="C3">
        <v>10.88</v>
      </c>
      <c r="D3">
        <v>10.71</v>
      </c>
      <c r="E3">
        <f>VLOOKUP(A3,'Edades de Competidores'!$A$1:$B$65,2,0)</f>
        <v>24.14</v>
      </c>
      <c r="F3" t="str">
        <f>VLOOKUP(A3,'Paises Participantes'!$A$1:$B$65,2,0)</f>
        <v>JAM</v>
      </c>
      <c r="I3" s="14" t="s">
        <v>132</v>
      </c>
      <c r="J3">
        <v>1</v>
      </c>
      <c r="L3" s="14" t="s">
        <v>130</v>
      </c>
      <c r="M3">
        <v>3</v>
      </c>
    </row>
    <row r="4" spans="1:13">
      <c r="A4" t="s">
        <v>4</v>
      </c>
      <c r="B4">
        <v>11.16</v>
      </c>
      <c r="C4">
        <v>10.9</v>
      </c>
      <c r="D4">
        <v>10.9</v>
      </c>
      <c r="E4">
        <f>VLOOKUP(A4,'Edades de Competidores'!$A$1:$B$65,2,0)</f>
        <v>24.18</v>
      </c>
      <c r="F4" t="str">
        <f>VLOOKUP(A4,'Paises Participantes'!$A$1:$B$65,2,0)</f>
        <v>NED</v>
      </c>
      <c r="I4" s="14" t="s">
        <v>133</v>
      </c>
      <c r="J4">
        <v>2</v>
      </c>
    </row>
    <row r="5" spans="1:13">
      <c r="A5" t="s">
        <v>6</v>
      </c>
      <c r="B5">
        <v>11.09</v>
      </c>
      <c r="C5">
        <v>10.9</v>
      </c>
      <c r="D5">
        <v>10.94</v>
      </c>
      <c r="E5">
        <f>VLOOKUP(A5,'Edades de Competidores'!$A$1:$B$65,2,0)</f>
        <v>24.33</v>
      </c>
      <c r="F5" t="str">
        <f>VLOOKUP(A5,'Paises Participantes'!$A$1:$B$65,2,0)</f>
        <v>USA</v>
      </c>
      <c r="I5" s="14" t="s">
        <v>134</v>
      </c>
      <c r="J5">
        <v>1</v>
      </c>
    </row>
    <row r="6" spans="1:13">
      <c r="A6" t="s">
        <v>5</v>
      </c>
      <c r="B6">
        <v>11</v>
      </c>
      <c r="C6">
        <v>10.9</v>
      </c>
      <c r="D6">
        <v>10.92</v>
      </c>
      <c r="E6">
        <f>VLOOKUP(A6,'Edades de Competidores'!$A$1:$B$65,2,0)</f>
        <v>24.36</v>
      </c>
      <c r="F6" t="str">
        <f>VLOOKUP(A6,'Paises Participantes'!$A$1:$B$65,2,0)</f>
        <v>TTO</v>
      </c>
      <c r="I6" s="14" t="s">
        <v>135</v>
      </c>
    </row>
    <row r="7" spans="1:13">
      <c r="A7" t="s">
        <v>1</v>
      </c>
      <c r="B7">
        <v>11.13</v>
      </c>
      <c r="C7">
        <v>10.9</v>
      </c>
      <c r="D7">
        <v>10.83</v>
      </c>
      <c r="E7">
        <f>VLOOKUP(A7,'Edades de Competidores'!$A$1:$B$65,2,0)</f>
        <v>25.98</v>
      </c>
      <c r="F7" t="str">
        <f>VLOOKUP(A7,'Paises Participantes'!$A$1:$B$65,2,0)</f>
        <v>USA</v>
      </c>
      <c r="I7" s="14" t="s">
        <v>136</v>
      </c>
    </row>
    <row r="8" spans="1:13">
      <c r="A8" t="s">
        <v>3</v>
      </c>
      <c r="B8">
        <v>11.01</v>
      </c>
      <c r="C8">
        <v>10.94</v>
      </c>
      <c r="D8">
        <v>10.86</v>
      </c>
      <c r="E8">
        <f>VLOOKUP(A8,'Edades de Competidores'!$A$1:$B$65,2,0)</f>
        <v>27.75</v>
      </c>
      <c r="F8" t="str">
        <f>VLOOKUP(A8,'Paises Participantes'!$A$1:$B$65,2,0)</f>
        <v>CIV</v>
      </c>
      <c r="I8" s="14" t="s">
        <v>137</v>
      </c>
      <c r="J8">
        <v>6</v>
      </c>
    </row>
    <row r="9" spans="1:13">
      <c r="A9" t="s">
        <v>2</v>
      </c>
      <c r="B9">
        <v>10.96</v>
      </c>
      <c r="C9">
        <v>10.88</v>
      </c>
      <c r="D9">
        <v>10.86</v>
      </c>
      <c r="E9">
        <f>VLOOKUP(A9,'Edades de Competidores'!$A$1:$B$65,2,0)</f>
        <v>29.65</v>
      </c>
      <c r="F9" t="str">
        <f>VLOOKUP(A9,'Paises Participantes'!$A$1:$B$65,2,0)</f>
        <v>JAM</v>
      </c>
      <c r="I9" s="14" t="s">
        <v>138</v>
      </c>
      <c r="J9">
        <v>4</v>
      </c>
    </row>
    <row r="10" spans="1:13">
      <c r="A10" t="s">
        <v>22</v>
      </c>
      <c r="B10">
        <v>11.34</v>
      </c>
      <c r="C10">
        <v>11.33</v>
      </c>
      <c r="E10">
        <f>VLOOKUP(A10,'Edades de Competidores'!$A$1:$B$65,2,0)</f>
        <v>25.82</v>
      </c>
      <c r="F10" t="str">
        <f>VLOOKUP(A10,'Paises Participantes'!$A$1:$B$65,2,0)</f>
        <v>GBR</v>
      </c>
      <c r="I10" s="14" t="s">
        <v>139</v>
      </c>
    </row>
    <row r="11" spans="1:13">
      <c r="A11" t="s">
        <v>21</v>
      </c>
      <c r="B11">
        <v>11.3</v>
      </c>
      <c r="C11">
        <v>11.32</v>
      </c>
      <c r="E11">
        <f>VLOOKUP(A11,'Edades de Competidores'!$A$1:$B$65,2,0)</f>
        <v>28.5</v>
      </c>
      <c r="F11" t="str">
        <f>VLOOKUP(A11,'Paises Participantes'!$A$1:$B$65,2,0)</f>
        <v>UKR</v>
      </c>
      <c r="I11" s="14" t="s">
        <v>140</v>
      </c>
      <c r="J11">
        <v>4</v>
      </c>
    </row>
    <row r="12" spans="1:13">
      <c r="A12" t="s">
        <v>20</v>
      </c>
      <c r="B12">
        <v>11.31</v>
      </c>
      <c r="C12">
        <v>11.32</v>
      </c>
      <c r="E12">
        <f>VLOOKUP(A12,'Edades de Competidores'!$A$1:$B$65,2,0)</f>
        <v>24.13</v>
      </c>
      <c r="F12" t="str">
        <f>VLOOKUP(A12,'Paises Participantes'!$A$1:$B$65,2,0)</f>
        <v>GER</v>
      </c>
      <c r="I12" s="14" t="s">
        <v>141</v>
      </c>
      <c r="J12">
        <v>3</v>
      </c>
    </row>
    <row r="13" spans="1:13">
      <c r="A13" t="s">
        <v>19</v>
      </c>
      <c r="B13">
        <v>11.39</v>
      </c>
      <c r="C13">
        <v>11.29</v>
      </c>
      <c r="E13">
        <f>VLOOKUP(A13,'Edades de Competidores'!$A$1:$B$65,2,0)</f>
        <v>28.84</v>
      </c>
      <c r="F13" t="str">
        <f>VLOOKUP(A13,'Paises Participantes'!$A$1:$B$65,2,0)</f>
        <v>UKR</v>
      </c>
      <c r="I13" s="14" t="s">
        <v>142</v>
      </c>
      <c r="J13">
        <v>1</v>
      </c>
    </row>
    <row r="14" spans="1:13">
      <c r="A14" t="s">
        <v>18</v>
      </c>
      <c r="B14">
        <v>11.38</v>
      </c>
      <c r="C14">
        <v>11.27</v>
      </c>
      <c r="E14">
        <f>VLOOKUP(A14,'Edades de Competidores'!$A$1:$B$65,2,0)</f>
        <v>25.19</v>
      </c>
      <c r="F14" t="str">
        <f>VLOOKUP(A14,'Paises Participantes'!$A$1:$B$65,2,0)</f>
        <v>ECU</v>
      </c>
      <c r="I14" s="14" t="s">
        <v>143</v>
      </c>
      <c r="J14">
        <v>1</v>
      </c>
    </row>
    <row r="15" spans="1:13">
      <c r="A15" t="s">
        <v>17</v>
      </c>
      <c r="B15">
        <v>11.25</v>
      </c>
      <c r="C15">
        <v>11.23</v>
      </c>
      <c r="E15">
        <f>VLOOKUP(A15,'Edades de Competidores'!$A$1:$B$65,2,0)</f>
        <v>25.67</v>
      </c>
      <c r="F15" t="str">
        <f>VLOOKUP(A15,'Paises Participantes'!$A$1:$B$65,2,0)</f>
        <v>BRA</v>
      </c>
      <c r="I15" s="14" t="s">
        <v>144</v>
      </c>
    </row>
    <row r="16" spans="1:13">
      <c r="A16" t="s">
        <v>16</v>
      </c>
      <c r="B16">
        <v>11.32</v>
      </c>
      <c r="C16">
        <v>11.2</v>
      </c>
      <c r="E16">
        <f>VLOOKUP(A16,'Edades de Competidores'!$A$1:$B$65,2,0)</f>
        <v>27.45</v>
      </c>
      <c r="F16" t="str">
        <f>VLOOKUP(A16,'Paises Participantes'!$A$1:$B$65,2,0)</f>
        <v>RSA</v>
      </c>
      <c r="I16" s="14" t="s">
        <v>145</v>
      </c>
    </row>
    <row r="17" spans="1:10">
      <c r="A17" t="s">
        <v>15</v>
      </c>
      <c r="B17">
        <v>11.35</v>
      </c>
      <c r="C17">
        <v>11.2</v>
      </c>
      <c r="E17">
        <f>VLOOKUP(A17,'Edades de Competidores'!$A$1:$B$65,2,0)</f>
        <v>27.73</v>
      </c>
      <c r="F17" t="str">
        <f>VLOOKUP(A17,'Paises Participantes'!$A$1:$B$65,2,0)</f>
        <v>TTO</v>
      </c>
      <c r="I17" s="14" t="s">
        <v>146</v>
      </c>
    </row>
    <row r="18" spans="1:10">
      <c r="A18" t="s">
        <v>14</v>
      </c>
      <c r="B18">
        <v>11.24</v>
      </c>
      <c r="C18">
        <v>11.18</v>
      </c>
      <c r="E18">
        <f>VLOOKUP(A18,'Edades de Competidores'!$A$1:$B$65,2,0)</f>
        <v>19.059999999999999</v>
      </c>
      <c r="F18" t="str">
        <f>VLOOKUP(A18,'Paises Participantes'!$A$1:$B$65,2,0)</f>
        <v>POL</v>
      </c>
      <c r="I18" s="14" t="s">
        <v>147</v>
      </c>
    </row>
    <row r="19" spans="1:10">
      <c r="A19" t="s">
        <v>13</v>
      </c>
      <c r="B19">
        <v>11.19</v>
      </c>
      <c r="C19">
        <v>11.16</v>
      </c>
      <c r="E19">
        <f>VLOOKUP(A19,'Edades de Competidores'!$A$1:$B$65,2,0)</f>
        <v>24.17</v>
      </c>
      <c r="F19" t="str">
        <f>VLOOKUP(A19,'Paises Participantes'!$A$1:$B$65,2,0)</f>
        <v>SUI</v>
      </c>
      <c r="I19" s="14" t="s">
        <v>130</v>
      </c>
      <c r="J19">
        <v>23</v>
      </c>
    </row>
    <row r="20" spans="1:10">
      <c r="A20" t="s">
        <v>12</v>
      </c>
      <c r="B20">
        <v>11.35</v>
      </c>
      <c r="C20">
        <v>11.14</v>
      </c>
      <c r="E20">
        <f>VLOOKUP(A20,'Edades de Competidores'!$A$1:$B$65,2,0)</f>
        <v>20.56</v>
      </c>
      <c r="F20" t="str">
        <f>VLOOKUP(A20,'Paises Participantes'!$A$1:$B$65,2,0)</f>
        <v>ECU</v>
      </c>
    </row>
    <row r="21" spans="1:10">
      <c r="A21" t="s">
        <v>11</v>
      </c>
      <c r="B21">
        <v>11.08</v>
      </c>
      <c r="C21">
        <v>11.09</v>
      </c>
      <c r="E21">
        <f>VLOOKUP(A21,'Edades de Competidores'!$A$1:$B$65,2,0)</f>
        <v>20.98</v>
      </c>
      <c r="F21" t="str">
        <f>VLOOKUP(A21,'Paises Participantes'!$A$1:$B$65,2,0)</f>
        <v>GBR</v>
      </c>
    </row>
    <row r="22" spans="1:10">
      <c r="A22" t="s">
        <v>10</v>
      </c>
      <c r="B22">
        <v>11.16</v>
      </c>
      <c r="C22">
        <v>11.09</v>
      </c>
      <c r="E22">
        <f>VLOOKUP(A22,'Edades de Competidores'!$A$1:$B$65,2,0)</f>
        <v>27.86</v>
      </c>
      <c r="F22" t="str">
        <f>VLOOKUP(A22,'Paises Participantes'!$A$1:$B$65,2,0)</f>
        <v>NGR</v>
      </c>
    </row>
    <row r="23" spans="1:10">
      <c r="A23" t="s">
        <v>9</v>
      </c>
      <c r="B23">
        <v>11.17</v>
      </c>
      <c r="C23">
        <v>11.01</v>
      </c>
      <c r="E23">
        <f>VLOOKUP(A23,'Edades de Competidores'!$A$1:$B$65,2,0)</f>
        <v>28.99</v>
      </c>
      <c r="F23" t="str">
        <f>VLOOKUP(A23,'Paises Participantes'!$A$1:$B$65,2,0)</f>
        <v>CIV</v>
      </c>
      <c r="I23" s="13" t="s">
        <v>129</v>
      </c>
      <c r="J23" t="s">
        <v>149</v>
      </c>
    </row>
    <row r="24" spans="1:10">
      <c r="A24" t="s">
        <v>8</v>
      </c>
      <c r="B24">
        <v>11.23</v>
      </c>
      <c r="C24">
        <v>11</v>
      </c>
      <c r="E24">
        <f>VLOOKUP(A24,'Edades de Competidores'!$A$1:$B$65,2,0)</f>
        <v>30.98</v>
      </c>
      <c r="F24" t="str">
        <f>VLOOKUP(A24,'Paises Participantes'!$A$1:$B$65,2,0)</f>
        <v>USA</v>
      </c>
      <c r="I24" s="14" t="s">
        <v>64</v>
      </c>
      <c r="J24">
        <v>3</v>
      </c>
    </row>
    <row r="25" spans="1:10">
      <c r="A25" t="s">
        <v>36</v>
      </c>
      <c r="B25">
        <v>11.54</v>
      </c>
      <c r="E25">
        <f>VLOOKUP(A25,'Edades de Competidores'!$A$1:$B$65,2,0)</f>
        <v>34.520000000000003</v>
      </c>
      <c r="F25" t="str">
        <f>VLOOKUP(A25,'Paises Participantes'!$A$1:$B$65,2,0)</f>
        <v>IVB</v>
      </c>
      <c r="I25" s="14" t="s">
        <v>68</v>
      </c>
      <c r="J25">
        <v>2</v>
      </c>
    </row>
    <row r="26" spans="1:10">
      <c r="A26" t="s">
        <v>27</v>
      </c>
      <c r="B26">
        <v>11.43</v>
      </c>
      <c r="E26">
        <f>VLOOKUP(A26,'Edades de Competidores'!$A$1:$B$65,2,0)</f>
        <v>33.299999999999997</v>
      </c>
      <c r="F26" t="str">
        <f>VLOOKUP(A26,'Paises Participantes'!$A$1:$B$65,2,0)</f>
        <v>POR</v>
      </c>
      <c r="I26" s="14" t="s">
        <v>65</v>
      </c>
      <c r="J26">
        <v>1</v>
      </c>
    </row>
    <row r="27" spans="1:10">
      <c r="A27" t="s">
        <v>23</v>
      </c>
      <c r="B27">
        <v>11.35</v>
      </c>
      <c r="E27">
        <f>VLOOKUP(A27,'Edades de Competidores'!$A$1:$B$65,2,0)</f>
        <v>32.26</v>
      </c>
      <c r="F27" t="str">
        <f>VLOOKUP(A27,'Paises Participantes'!$A$1:$B$65,2,0)</f>
        <v>BUL</v>
      </c>
      <c r="I27" s="14" t="s">
        <v>66</v>
      </c>
      <c r="J27">
        <v>1</v>
      </c>
    </row>
    <row r="28" spans="1:10">
      <c r="A28" t="s">
        <v>37</v>
      </c>
      <c r="B28">
        <v>11.55</v>
      </c>
      <c r="E28">
        <f>VLOOKUP(A28,'Edades de Competidores'!$A$1:$B$65,2,0)</f>
        <v>31.25</v>
      </c>
      <c r="F28" t="str">
        <f>VLOOKUP(A28,'Paises Participantes'!$A$1:$B$65,2,0)</f>
        <v>NGR</v>
      </c>
      <c r="I28" s="14" t="s">
        <v>70</v>
      </c>
      <c r="J28">
        <v>1</v>
      </c>
    </row>
    <row r="29" spans="1:10">
      <c r="A29" t="s">
        <v>26</v>
      </c>
      <c r="B29">
        <v>11.42</v>
      </c>
      <c r="E29">
        <f>VLOOKUP(A29,'Edades de Competidores'!$A$1:$B$65,2,0)</f>
        <v>29.85</v>
      </c>
      <c r="F29" t="str">
        <f>VLOOKUP(A29,'Paises Participantes'!$A$1:$B$65,2,0)</f>
        <v>TTO</v>
      </c>
      <c r="I29" s="14" t="s">
        <v>130</v>
      </c>
      <c r="J29">
        <v>8</v>
      </c>
    </row>
    <row r="30" spans="1:10">
      <c r="A30" t="s">
        <v>47</v>
      </c>
      <c r="B30">
        <v>11.67</v>
      </c>
      <c r="E30">
        <f>VLOOKUP(A30,'Edades de Competidores'!$A$1:$B$65,2,0)</f>
        <v>29.21</v>
      </c>
      <c r="F30" t="str">
        <f>VLOOKUP(A30,'Paises Participantes'!$A$1:$B$65,2,0)</f>
        <v>GAB</v>
      </c>
    </row>
    <row r="31" spans="1:10">
      <c r="A31" t="s">
        <v>32</v>
      </c>
      <c r="B31">
        <v>11.48</v>
      </c>
      <c r="E31">
        <f>VLOOKUP(A31,'Edades de Competidores'!$A$1:$B$65,2,0)</f>
        <v>28.93</v>
      </c>
      <c r="F31" t="str">
        <f>VLOOKUP(A31,'Paises Participantes'!$A$1:$B$65,2,0)</f>
        <v>COL</v>
      </c>
    </row>
    <row r="32" spans="1:10">
      <c r="A32" t="s">
        <v>34</v>
      </c>
      <c r="B32">
        <v>11.48</v>
      </c>
      <c r="E32">
        <f>VLOOKUP(A32,'Edades de Competidores'!$A$1:$B$65,2,0)</f>
        <v>28.64</v>
      </c>
      <c r="F32" t="str">
        <f>VLOOKUP(A32,'Paises Participantes'!$A$1:$B$65,2,0)</f>
        <v>PNG</v>
      </c>
      <c r="I32" s="13" t="s">
        <v>129</v>
      </c>
      <c r="J32" t="s">
        <v>150</v>
      </c>
    </row>
    <row r="33" spans="1:13">
      <c r="A33" t="s">
        <v>41</v>
      </c>
      <c r="B33">
        <v>11.57</v>
      </c>
      <c r="E33">
        <f>VLOOKUP(A33,'Edades de Competidores'!$A$1:$B$65,2,0)</f>
        <v>28.55</v>
      </c>
      <c r="F33" t="str">
        <f>VLOOKUP(A33,'Paises Participantes'!$A$1:$B$65,2,0)</f>
        <v>UKR</v>
      </c>
      <c r="I33" s="14" t="s">
        <v>95</v>
      </c>
      <c r="J33">
        <v>1</v>
      </c>
    </row>
    <row r="34" spans="1:13">
      <c r="A34" t="s">
        <v>29</v>
      </c>
      <c r="B34">
        <v>11.43</v>
      </c>
      <c r="E34">
        <f>VLOOKUP(A34,'Edades de Competidores'!$A$1:$B$65,2,0)</f>
        <v>28.47</v>
      </c>
      <c r="F34" t="str">
        <f>VLOOKUP(A34,'Paises Participantes'!$A$1:$B$65,2,0)</f>
        <v>NOR</v>
      </c>
      <c r="I34" s="14" t="s">
        <v>88</v>
      </c>
      <c r="J34">
        <v>1</v>
      </c>
    </row>
    <row r="35" spans="1:13">
      <c r="A35" t="s">
        <v>46</v>
      </c>
      <c r="B35">
        <v>11.67</v>
      </c>
      <c r="E35">
        <f>VLOOKUP(A35,'Edades de Competidores'!$A$1:$B$65,2,0)</f>
        <v>28.32</v>
      </c>
      <c r="F35" t="str">
        <f>VLOOKUP(A35,'Paises Participantes'!$A$1:$B$65,2,0)</f>
        <v>BRA</v>
      </c>
      <c r="I35" s="14" t="s">
        <v>73</v>
      </c>
      <c r="J35">
        <v>2</v>
      </c>
    </row>
    <row r="36" spans="1:13">
      <c r="A36" t="s">
        <v>51</v>
      </c>
      <c r="B36">
        <v>11.7</v>
      </c>
      <c r="E36">
        <f>VLOOKUP(A36,'Edades de Competidores'!$A$1:$B$65,2,0)</f>
        <v>28.31</v>
      </c>
      <c r="F36" t="str">
        <f>VLOOKUP(A36,'Paises Participantes'!$A$1:$B$65,2,0)</f>
        <v>POL</v>
      </c>
      <c r="I36" s="14" t="s">
        <v>89</v>
      </c>
      <c r="J36">
        <v>2</v>
      </c>
    </row>
    <row r="37" spans="1:13">
      <c r="A37" t="s">
        <v>30</v>
      </c>
      <c r="B37">
        <v>11.43</v>
      </c>
      <c r="E37">
        <f>VLOOKUP(A37,'Edades de Competidores'!$A$1:$B$65,2,0)</f>
        <v>27.84</v>
      </c>
      <c r="F37" t="str">
        <f>VLOOKUP(A37,'Paises Participantes'!$A$1:$B$65,2,0)</f>
        <v>GHA</v>
      </c>
      <c r="I37" s="14" t="s">
        <v>77</v>
      </c>
      <c r="J37">
        <v>1</v>
      </c>
    </row>
    <row r="38" spans="1:13">
      <c r="A38" t="s">
        <v>45</v>
      </c>
      <c r="B38">
        <v>11.61</v>
      </c>
      <c r="E38">
        <f>VLOOKUP(A38,'Edades de Competidores'!$A$1:$B$65,2,0)</f>
        <v>27.18</v>
      </c>
      <c r="F38" t="str">
        <f>VLOOKUP(A38,'Paises Participantes'!$A$1:$B$65,2,0)</f>
        <v>CYP</v>
      </c>
      <c r="I38" s="14" t="s">
        <v>79</v>
      </c>
      <c r="J38">
        <v>2</v>
      </c>
    </row>
    <row r="39" spans="1:13">
      <c r="A39" t="s">
        <v>59</v>
      </c>
      <c r="B39">
        <v>12.25</v>
      </c>
      <c r="E39">
        <f>VLOOKUP(A39,'Edades de Competidores'!$A$1:$B$65,2,0)</f>
        <v>26.02</v>
      </c>
      <c r="F39" t="str">
        <f>VLOOKUP(A39,'Paises Participantes'!$A$1:$B$65,2,0)</f>
        <v>SUR</v>
      </c>
      <c r="I39" s="14" t="s">
        <v>97</v>
      </c>
      <c r="J39">
        <v>1</v>
      </c>
    </row>
    <row r="40" spans="1:13">
      <c r="A40" t="s">
        <v>54</v>
      </c>
      <c r="B40">
        <v>11.74</v>
      </c>
      <c r="E40">
        <f>VLOOKUP(A40,'Edades de Competidores'!$A$1:$B$65,2,0)</f>
        <v>25.92</v>
      </c>
      <c r="F40" t="str">
        <f>VLOOKUP(A40,'Paises Participantes'!$A$1:$B$65,2,0)</f>
        <v>AUS</v>
      </c>
      <c r="I40" s="14" t="s">
        <v>84</v>
      </c>
      <c r="J40">
        <v>2</v>
      </c>
    </row>
    <row r="41" spans="1:13">
      <c r="A41" t="s">
        <v>40</v>
      </c>
      <c r="B41">
        <v>11.57</v>
      </c>
      <c r="E41">
        <f>VLOOKUP(A41,'Edades de Competidores'!$A$1:$B$65,2,0)</f>
        <v>25.32</v>
      </c>
      <c r="F41" t="str">
        <f>VLOOKUP(A41,'Paises Participantes'!$A$1:$B$65,2,0)</f>
        <v>RSA</v>
      </c>
      <c r="I41" s="14" t="s">
        <v>66</v>
      </c>
      <c r="J41">
        <v>2</v>
      </c>
    </row>
    <row r="42" spans="1:13">
      <c r="A42" t="s">
        <v>33</v>
      </c>
      <c r="B42">
        <v>11.48</v>
      </c>
      <c r="E42">
        <f>VLOOKUP(A42,'Edades de Competidores'!$A$1:$B$65,2,0)</f>
        <v>24.86</v>
      </c>
      <c r="F42" t="str">
        <f>VLOOKUP(A42,'Paises Participantes'!$A$1:$B$65,2,0)</f>
        <v>CHN</v>
      </c>
      <c r="I42" s="14" t="s">
        <v>100</v>
      </c>
      <c r="J42">
        <v>1</v>
      </c>
    </row>
    <row r="43" spans="1:13">
      <c r="A43" t="s">
        <v>35</v>
      </c>
      <c r="B43">
        <v>11.5</v>
      </c>
      <c r="E43">
        <f>VLOOKUP(A43,'Edades de Competidores'!$A$1:$B$65,2,0)</f>
        <v>24.79</v>
      </c>
      <c r="F43" t="str">
        <f>VLOOKUP(A43,'Paises Participantes'!$A$1:$B$65,2,0)</f>
        <v>KAZ</v>
      </c>
      <c r="I43" s="14" t="s">
        <v>83</v>
      </c>
      <c r="J43">
        <v>2</v>
      </c>
    </row>
    <row r="44" spans="1:13">
      <c r="A44" t="s">
        <v>28</v>
      </c>
      <c r="B44">
        <v>11.43</v>
      </c>
      <c r="E44">
        <f>VLOOKUP(A44,'Edades de Competidores'!$A$1:$B$65,2,0)</f>
        <v>24.73</v>
      </c>
      <c r="F44" t="str">
        <f>VLOOKUP(A44,'Paises Participantes'!$A$1:$B$65,2,0)</f>
        <v>CAN</v>
      </c>
      <c r="I44" s="14" t="s">
        <v>90</v>
      </c>
      <c r="J44">
        <v>1</v>
      </c>
    </row>
    <row r="45" spans="1:13">
      <c r="A45" t="s">
        <v>58</v>
      </c>
      <c r="B45">
        <v>12.22</v>
      </c>
      <c r="E45">
        <f>VLOOKUP(A45,'Edades de Competidores'!$A$1:$B$65,2,0)</f>
        <v>24.7</v>
      </c>
      <c r="F45" t="str">
        <f>VLOOKUP(A45,'Paises Participantes'!$A$1:$B$65,2,0)</f>
        <v>SLE</v>
      </c>
      <c r="I45" s="14" t="s">
        <v>78</v>
      </c>
      <c r="J45">
        <v>2</v>
      </c>
    </row>
    <row r="46" spans="1:13">
      <c r="A46" t="s">
        <v>50</v>
      </c>
      <c r="B46">
        <v>11.69</v>
      </c>
      <c r="E46">
        <f>VLOOKUP(A46,'Edades de Competidores'!$A$1:$B$65,2,0)</f>
        <v>23.96</v>
      </c>
      <c r="F46" t="str">
        <f>VLOOKUP(A46,'Paises Participantes'!$A$1:$B$65,2,0)</f>
        <v>KAZ</v>
      </c>
      <c r="I46" s="14" t="s">
        <v>102</v>
      </c>
      <c r="J46">
        <v>1</v>
      </c>
    </row>
    <row r="47" spans="1:13">
      <c r="A47" t="s">
        <v>31</v>
      </c>
      <c r="B47">
        <v>11.47</v>
      </c>
      <c r="E47">
        <f>VLOOKUP(A47,'Edades de Competidores'!$A$1:$B$65,2,0)</f>
        <v>23.63</v>
      </c>
      <c r="F47" t="str">
        <f>VLOOKUP(A47,'Paises Participantes'!$A$1:$B$65,2,0)</f>
        <v>GER</v>
      </c>
      <c r="I47" s="14" t="s">
        <v>91</v>
      </c>
      <c r="J47">
        <v>1</v>
      </c>
    </row>
    <row r="48" spans="1:13">
      <c r="A48" t="s">
        <v>57</v>
      </c>
      <c r="B48">
        <v>12.18</v>
      </c>
      <c r="E48">
        <f>VLOOKUP(A48,'Edades de Competidores'!$A$1:$B$65,2,0)</f>
        <v>23.61</v>
      </c>
      <c r="F48" t="str">
        <f>VLOOKUP(A48,'Paises Participantes'!$A$1:$B$65,2,0)</f>
        <v>CGO</v>
      </c>
      <c r="I48" s="14" t="s">
        <v>67</v>
      </c>
      <c r="J48">
        <v>3</v>
      </c>
      <c r="L48" t="s">
        <v>151</v>
      </c>
      <c r="M48" t="s">
        <v>152</v>
      </c>
    </row>
    <row r="49" spans="1:13">
      <c r="A49" t="s">
        <v>38</v>
      </c>
      <c r="B49">
        <v>11.56</v>
      </c>
      <c r="E49">
        <f>VLOOKUP(A49,'Edades de Competidores'!$A$1:$B$65,2,0)</f>
        <v>23.43</v>
      </c>
      <c r="F49" t="str">
        <f>VLOOKUP(A49,'Paises Participantes'!$A$1:$B$65,2,0)</f>
        <v>BAH</v>
      </c>
      <c r="I49" s="14" t="s">
        <v>75</v>
      </c>
      <c r="J49">
        <v>2</v>
      </c>
      <c r="L49" t="s">
        <v>36</v>
      </c>
      <c r="M49">
        <v>34.520000000000003</v>
      </c>
    </row>
    <row r="50" spans="1:13">
      <c r="A50" t="s">
        <v>60</v>
      </c>
      <c r="B50">
        <v>12.41</v>
      </c>
      <c r="E50">
        <f>VLOOKUP(A50,'Edades de Competidores'!$A$1:$B$65,2,0)</f>
        <v>23.24</v>
      </c>
      <c r="F50" t="str">
        <f>VLOOKUP(A50,'Paises Participantes'!$A$1:$B$65,2,0)</f>
        <v>COK</v>
      </c>
      <c r="I50" s="14" t="s">
        <v>82</v>
      </c>
      <c r="J50">
        <v>1</v>
      </c>
      <c r="L50" t="s">
        <v>27</v>
      </c>
      <c r="M50">
        <v>33.299999999999997</v>
      </c>
    </row>
    <row r="51" spans="1:13">
      <c r="A51" t="s">
        <v>63</v>
      </c>
      <c r="B51">
        <v>12.62</v>
      </c>
      <c r="E51">
        <f>VLOOKUP(A51,'Edades de Competidores'!$A$1:$B$65,2,0)</f>
        <v>23</v>
      </c>
      <c r="F51" t="str">
        <f>VLOOKUP(A51,'Paises Participantes'!$A$1:$B$65,2,0)</f>
        <v>MAS</v>
      </c>
      <c r="I51" s="14" t="s">
        <v>94</v>
      </c>
      <c r="J51">
        <v>1</v>
      </c>
      <c r="L51" t="s">
        <v>23</v>
      </c>
      <c r="M51">
        <v>32.26</v>
      </c>
    </row>
    <row r="52" spans="1:13">
      <c r="A52" t="s">
        <v>24</v>
      </c>
      <c r="B52">
        <v>11.41</v>
      </c>
      <c r="E52">
        <f>VLOOKUP(A52,'Edades de Competidores'!$A$1:$B$65,2,0)</f>
        <v>22.18</v>
      </c>
      <c r="F52" t="str">
        <f>VLOOKUP(A52,'Paises Participantes'!$A$1:$B$65,2,0)</f>
        <v>CAN</v>
      </c>
      <c r="I52" s="14" t="s">
        <v>93</v>
      </c>
      <c r="J52">
        <v>1</v>
      </c>
      <c r="L52" t="s">
        <v>37</v>
      </c>
      <c r="M52">
        <v>31.25</v>
      </c>
    </row>
    <row r="53" spans="1:13">
      <c r="A53" t="s">
        <v>44</v>
      </c>
      <c r="B53">
        <v>11.61</v>
      </c>
      <c r="E53">
        <f>VLOOKUP(A53,'Edades de Competidores'!$A$1:$B$65,2,0)</f>
        <v>21.9</v>
      </c>
      <c r="F53" t="str">
        <f>VLOOKUP(A53,'Paises Participantes'!$A$1:$B$65,2,0)</f>
        <v>NGR</v>
      </c>
      <c r="I53" s="14" t="s">
        <v>87</v>
      </c>
      <c r="J53">
        <v>1</v>
      </c>
      <c r="L53" t="s">
        <v>26</v>
      </c>
      <c r="M53">
        <v>29.85</v>
      </c>
    </row>
    <row r="54" spans="1:13">
      <c r="A54" t="s">
        <v>56</v>
      </c>
      <c r="B54">
        <v>11.9</v>
      </c>
      <c r="E54">
        <f>VLOOKUP(A54,'Edades de Competidores'!$A$1:$B$65,2,0)</f>
        <v>21.72</v>
      </c>
      <c r="F54" t="str">
        <f>VLOOKUP(A54,'Paises Participantes'!$A$1:$B$65,2,0)</f>
        <v>MLT</v>
      </c>
      <c r="I54" s="14" t="s">
        <v>64</v>
      </c>
      <c r="J54">
        <v>3</v>
      </c>
      <c r="L54" t="s">
        <v>47</v>
      </c>
      <c r="M54">
        <v>29.21</v>
      </c>
    </row>
    <row r="55" spans="1:13">
      <c r="A55" t="s">
        <v>42</v>
      </c>
      <c r="B55">
        <v>11.59</v>
      </c>
      <c r="E55">
        <f>VLOOKUP(A55,'Edades de Competidores'!$A$1:$B$65,2,0)</f>
        <v>21.42</v>
      </c>
      <c r="F55" t="str">
        <f>VLOOKUP(A55,'Paises Participantes'!$A$1:$B$65,2,0)</f>
        <v>BRN</v>
      </c>
      <c r="I55" s="14" t="s">
        <v>86</v>
      </c>
      <c r="J55">
        <v>3</v>
      </c>
      <c r="L55" t="s">
        <v>32</v>
      </c>
      <c r="M55">
        <v>28.93</v>
      </c>
    </row>
    <row r="56" spans="1:13">
      <c r="A56" t="s">
        <v>55</v>
      </c>
      <c r="B56">
        <v>11.84</v>
      </c>
      <c r="E56">
        <f>VLOOKUP(A56,'Edades de Competidores'!$A$1:$B$65,2,0)</f>
        <v>21.07</v>
      </c>
      <c r="F56" t="str">
        <f>VLOOKUP(A56,'Paises Participantes'!$A$1:$B$65,2,0)</f>
        <v>KAZ</v>
      </c>
      <c r="I56" s="14" t="s">
        <v>103</v>
      </c>
      <c r="J56">
        <v>1</v>
      </c>
      <c r="L56" t="s">
        <v>34</v>
      </c>
      <c r="M56">
        <v>28.64</v>
      </c>
    </row>
    <row r="57" spans="1:13">
      <c r="A57" t="s">
        <v>48</v>
      </c>
      <c r="B57">
        <v>11.68</v>
      </c>
      <c r="E57">
        <f>VLOOKUP(A57,'Edades de Competidores'!$A$1:$B$65,2,0)</f>
        <v>21.02</v>
      </c>
      <c r="F57" t="str">
        <f>VLOOKUP(A57,'Paises Participantes'!$A$1:$B$65,2,0)</f>
        <v>UZB</v>
      </c>
      <c r="I57" s="14" t="s">
        <v>96</v>
      </c>
      <c r="J57">
        <v>1</v>
      </c>
      <c r="L57" t="s">
        <v>41</v>
      </c>
      <c r="M57">
        <v>28.55</v>
      </c>
    </row>
    <row r="58" spans="1:13">
      <c r="A58" t="s">
        <v>39</v>
      </c>
      <c r="B58">
        <v>11.56</v>
      </c>
      <c r="E58">
        <f>VLOOKUP(A58,'Edades de Competidores'!$A$1:$B$65,2,0)</f>
        <v>20.81</v>
      </c>
      <c r="F58" t="str">
        <f>VLOOKUP(A58,'Paises Participantes'!$A$1:$B$65,2,0)</f>
        <v>CHN</v>
      </c>
      <c r="I58" s="14" t="s">
        <v>70</v>
      </c>
      <c r="J58">
        <v>1</v>
      </c>
      <c r="L58" t="s">
        <v>29</v>
      </c>
      <c r="M58">
        <v>28.47</v>
      </c>
    </row>
    <row r="59" spans="1:13">
      <c r="A59" t="s">
        <v>62</v>
      </c>
      <c r="B59">
        <v>12.48</v>
      </c>
      <c r="E59">
        <f>VLOOKUP(A59,'Edades de Competidores'!$A$1:$B$65,2,0)</f>
        <v>20.76</v>
      </c>
      <c r="F59" t="str">
        <f>VLOOKUP(A59,'Paises Participantes'!$A$1:$B$65,2,0)</f>
        <v>FIJ</v>
      </c>
      <c r="I59" s="14" t="s">
        <v>69</v>
      </c>
      <c r="J59">
        <v>3</v>
      </c>
      <c r="L59" t="s">
        <v>46</v>
      </c>
      <c r="M59">
        <v>28.32</v>
      </c>
    </row>
    <row r="60" spans="1:13">
      <c r="A60" t="s">
        <v>49</v>
      </c>
      <c r="B60">
        <v>11.69</v>
      </c>
      <c r="E60">
        <f>VLOOKUP(A60,'Edades de Competidores'!$A$1:$B$65,2,0)</f>
        <v>20.54</v>
      </c>
      <c r="F60" t="str">
        <f>VLOOKUP(A60,'Paises Participantes'!$A$1:$B$65,2,0)</f>
        <v>IND</v>
      </c>
      <c r="I60" s="14" t="s">
        <v>81</v>
      </c>
      <c r="J60">
        <v>1</v>
      </c>
      <c r="L60" t="s">
        <v>51</v>
      </c>
      <c r="M60">
        <v>28.31</v>
      </c>
    </row>
    <row r="61" spans="1:13">
      <c r="A61" t="s">
        <v>53</v>
      </c>
      <c r="B61">
        <v>11.72</v>
      </c>
      <c r="E61">
        <f>VLOOKUP(A61,'Edades de Competidores'!$A$1:$B$65,2,0)</f>
        <v>20.07</v>
      </c>
      <c r="F61" t="str">
        <f>VLOOKUP(A61,'Paises Participantes'!$A$1:$B$65,2,0)</f>
        <v>GUY</v>
      </c>
      <c r="I61" s="14" t="s">
        <v>101</v>
      </c>
      <c r="J61">
        <v>1</v>
      </c>
      <c r="L61" t="s">
        <v>30</v>
      </c>
      <c r="M61">
        <v>27.84</v>
      </c>
    </row>
    <row r="62" spans="1:13">
      <c r="A62" t="s">
        <v>25</v>
      </c>
      <c r="B62">
        <v>11.41</v>
      </c>
      <c r="E62">
        <f>VLOOKUP(A62,'Edades de Competidores'!$A$1:$B$65,2,0)</f>
        <v>19.97</v>
      </c>
      <c r="F62" t="str">
        <f>VLOOKUP(A62,'Paises Participantes'!$A$1:$B$65,2,0)</f>
        <v>GBR</v>
      </c>
      <c r="I62" s="14" t="s">
        <v>85</v>
      </c>
      <c r="J62">
        <v>1</v>
      </c>
      <c r="L62" t="s">
        <v>45</v>
      </c>
      <c r="M62">
        <v>27.18</v>
      </c>
    </row>
    <row r="63" spans="1:13">
      <c r="A63" t="s">
        <v>52</v>
      </c>
      <c r="B63">
        <v>11.72</v>
      </c>
      <c r="E63">
        <f>VLOOKUP(A63,'Edades de Competidores'!$A$1:$B$65,2,0)</f>
        <v>19.11</v>
      </c>
      <c r="F63" t="str">
        <f>VLOOKUP(A63,'Paises Participantes'!$A$1:$B$65,2,0)</f>
        <v>BRN</v>
      </c>
      <c r="I63" s="14" t="s">
        <v>72</v>
      </c>
      <c r="J63">
        <v>2</v>
      </c>
      <c r="L63" t="s">
        <v>59</v>
      </c>
      <c r="M63">
        <v>26.02</v>
      </c>
    </row>
    <row r="64" spans="1:13">
      <c r="A64" t="s">
        <v>61</v>
      </c>
      <c r="B64">
        <v>12.43</v>
      </c>
      <c r="E64">
        <f>VLOOKUP(A64,'Edades de Competidores'!$A$1:$B$65,2,0)</f>
        <v>18.760000000000002</v>
      </c>
      <c r="F64" t="str">
        <f>VLOOKUP(A64,'Paises Participantes'!$A$1:$B$65,2,0)</f>
        <v>OMA</v>
      </c>
      <c r="I64" s="14" t="s">
        <v>80</v>
      </c>
      <c r="J64">
        <v>1</v>
      </c>
      <c r="L64" t="s">
        <v>54</v>
      </c>
      <c r="M64">
        <v>25.92</v>
      </c>
    </row>
    <row r="65" spans="1:13">
      <c r="A65" t="s">
        <v>43</v>
      </c>
      <c r="B65">
        <v>11.59</v>
      </c>
      <c r="E65">
        <f>VLOOKUP(A65,'Edades de Competidores'!$A$1:$B$65,2,0)</f>
        <v>18.71</v>
      </c>
      <c r="F65" t="str">
        <f>VLOOKUP(A65,'Paises Participantes'!$A$1:$B$65,2,0)</f>
        <v>COL</v>
      </c>
      <c r="I65" s="14" t="s">
        <v>76</v>
      </c>
      <c r="J65">
        <v>2</v>
      </c>
      <c r="L65" t="s">
        <v>40</v>
      </c>
      <c r="M65">
        <v>25.32</v>
      </c>
    </row>
    <row r="66" spans="1:13">
      <c r="I66" s="14" t="s">
        <v>98</v>
      </c>
      <c r="J66">
        <v>1</v>
      </c>
      <c r="L66" t="s">
        <v>33</v>
      </c>
      <c r="M66">
        <v>24.86</v>
      </c>
    </row>
    <row r="67" spans="1:13">
      <c r="I67" s="14" t="s">
        <v>71</v>
      </c>
      <c r="J67">
        <v>1</v>
      </c>
      <c r="L67" t="s">
        <v>35</v>
      </c>
      <c r="M67">
        <v>24.79</v>
      </c>
    </row>
    <row r="68" spans="1:13">
      <c r="I68" s="14" t="s">
        <v>99</v>
      </c>
      <c r="J68">
        <v>1</v>
      </c>
      <c r="L68" t="s">
        <v>28</v>
      </c>
      <c r="M68">
        <v>24.73</v>
      </c>
    </row>
    <row r="69" spans="1:13">
      <c r="I69" s="14" t="s">
        <v>65</v>
      </c>
      <c r="J69">
        <v>3</v>
      </c>
      <c r="L69" t="s">
        <v>58</v>
      </c>
      <c r="M69">
        <v>24.7</v>
      </c>
    </row>
    <row r="70" spans="1:13">
      <c r="I70" s="14" t="s">
        <v>74</v>
      </c>
      <c r="J70">
        <v>3</v>
      </c>
      <c r="L70" t="s">
        <v>50</v>
      </c>
      <c r="M70">
        <v>23.96</v>
      </c>
    </row>
    <row r="71" spans="1:13">
      <c r="I71" s="14" t="s">
        <v>68</v>
      </c>
      <c r="J71">
        <v>3</v>
      </c>
      <c r="L71" t="s">
        <v>31</v>
      </c>
      <c r="M71">
        <v>23.63</v>
      </c>
    </row>
    <row r="72" spans="1:13">
      <c r="I72" s="14" t="s">
        <v>92</v>
      </c>
      <c r="J72">
        <v>1</v>
      </c>
      <c r="L72" t="s">
        <v>57</v>
      </c>
      <c r="M72">
        <v>23.61</v>
      </c>
    </row>
    <row r="73" spans="1:13">
      <c r="I73" s="14" t="s">
        <v>130</v>
      </c>
      <c r="J73">
        <v>64</v>
      </c>
      <c r="L73" t="s">
        <v>38</v>
      </c>
      <c r="M73">
        <v>23.43</v>
      </c>
    </row>
    <row r="74" spans="1:13">
      <c r="L74" t="s">
        <v>60</v>
      </c>
      <c r="M74">
        <v>23.24</v>
      </c>
    </row>
    <row r="75" spans="1:13">
      <c r="L75" t="s">
        <v>63</v>
      </c>
      <c r="M75">
        <v>23</v>
      </c>
    </row>
    <row r="76" spans="1:13">
      <c r="L76" t="s">
        <v>24</v>
      </c>
      <c r="M76">
        <v>22.18</v>
      </c>
    </row>
    <row r="77" spans="1:13">
      <c r="L77" t="s">
        <v>44</v>
      </c>
      <c r="M77">
        <v>21.9</v>
      </c>
    </row>
    <row r="78" spans="1:13">
      <c r="L78" t="s">
        <v>56</v>
      </c>
      <c r="M78">
        <v>21.72</v>
      </c>
    </row>
    <row r="79" spans="1:13">
      <c r="I79">
        <f>E9-E2</f>
        <v>7.8099999999999987</v>
      </c>
      <c r="L79" t="s">
        <v>42</v>
      </c>
      <c r="M79">
        <v>21.42</v>
      </c>
    </row>
    <row r="80" spans="1:13">
      <c r="L80" t="s">
        <v>55</v>
      </c>
      <c r="M80">
        <v>21.07</v>
      </c>
    </row>
    <row r="81" spans="12:13">
      <c r="L81" t="s">
        <v>48</v>
      </c>
      <c r="M81">
        <v>21.02</v>
      </c>
    </row>
    <row r="82" spans="12:13">
      <c r="L82" t="s">
        <v>39</v>
      </c>
      <c r="M82">
        <v>20.81</v>
      </c>
    </row>
    <row r="83" spans="12:13">
      <c r="L83" t="s">
        <v>62</v>
      </c>
      <c r="M83">
        <v>20.76</v>
      </c>
    </row>
    <row r="84" spans="12:13">
      <c r="L84" t="s">
        <v>49</v>
      </c>
      <c r="M84">
        <v>20.54</v>
      </c>
    </row>
    <row r="85" spans="12:13">
      <c r="L85" t="s">
        <v>53</v>
      </c>
      <c r="M85">
        <v>20.07</v>
      </c>
    </row>
    <row r="86" spans="12:13">
      <c r="L86" t="s">
        <v>25</v>
      </c>
      <c r="M86">
        <v>19.97</v>
      </c>
    </row>
    <row r="87" spans="12:13">
      <c r="L87" t="s">
        <v>52</v>
      </c>
      <c r="M87">
        <v>19.11</v>
      </c>
    </row>
    <row r="88" spans="12:13">
      <c r="L88" t="s">
        <v>61</v>
      </c>
      <c r="M88">
        <v>18.760000000000002</v>
      </c>
    </row>
    <row r="89" spans="12:13">
      <c r="L89" t="s">
        <v>43</v>
      </c>
      <c r="M89">
        <v>18.71</v>
      </c>
    </row>
  </sheetData>
  <sortState xmlns:xlrd2="http://schemas.microsoft.com/office/spreadsheetml/2017/richdata2" ref="L50:P90">
    <sortCondition descending="1" ref="L50:L90"/>
  </sortState>
  <pageMargins left="0.7" right="0.7" top="0.75" bottom="0.75" header="0.3" footer="0.3"/>
  <pageSetup paperSize="9" orientation="portrait" horizontalDpi="0" verticalDpi="0" r:id="rId5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opLeftCell="A44" workbookViewId="0">
      <selection activeCell="D4" sqref="D4"/>
    </sheetView>
  </sheetViews>
  <sheetFormatPr baseColWidth="10" defaultRowHeight="15"/>
  <cols>
    <col min="1" max="1" width="26.5703125" bestFit="1" customWidth="1"/>
    <col min="2" max="2" width="8" bestFit="1" customWidth="1"/>
  </cols>
  <sheetData>
    <row r="1" spans="1:2">
      <c r="A1" t="s">
        <v>109</v>
      </c>
      <c r="B1" t="s">
        <v>108</v>
      </c>
    </row>
    <row r="2" spans="1:2">
      <c r="A2" t="s">
        <v>7</v>
      </c>
      <c r="B2" t="s">
        <v>64</v>
      </c>
    </row>
    <row r="3" spans="1:2">
      <c r="A3" t="s">
        <v>0</v>
      </c>
      <c r="B3" t="s">
        <v>64</v>
      </c>
    </row>
    <row r="4" spans="1:2">
      <c r="A4" t="s">
        <v>4</v>
      </c>
      <c r="B4" t="s">
        <v>70</v>
      </c>
    </row>
    <row r="5" spans="1:2">
      <c r="A5" t="s">
        <v>11</v>
      </c>
      <c r="B5" t="s">
        <v>67</v>
      </c>
    </row>
    <row r="6" spans="1:2">
      <c r="A6" t="s">
        <v>6</v>
      </c>
      <c r="B6" t="s">
        <v>68</v>
      </c>
    </row>
    <row r="7" spans="1:2">
      <c r="A7" t="s">
        <v>5</v>
      </c>
      <c r="B7" t="s">
        <v>65</v>
      </c>
    </row>
    <row r="8" spans="1:2">
      <c r="A8" t="s">
        <v>10</v>
      </c>
      <c r="B8" t="s">
        <v>69</v>
      </c>
    </row>
    <row r="9" spans="1:2">
      <c r="A9" t="s">
        <v>1</v>
      </c>
      <c r="B9" t="s">
        <v>68</v>
      </c>
    </row>
    <row r="10" spans="1:2">
      <c r="A10" t="s">
        <v>9</v>
      </c>
      <c r="B10" t="s">
        <v>66</v>
      </c>
    </row>
    <row r="11" spans="1:2">
      <c r="A11" t="s">
        <v>13</v>
      </c>
      <c r="B11" t="s">
        <v>71</v>
      </c>
    </row>
    <row r="12" spans="1:2">
      <c r="A12" t="s">
        <v>3</v>
      </c>
      <c r="B12" t="s">
        <v>66</v>
      </c>
    </row>
    <row r="13" spans="1:2">
      <c r="A13" t="s">
        <v>8</v>
      </c>
      <c r="B13" t="s">
        <v>68</v>
      </c>
    </row>
    <row r="14" spans="1:2">
      <c r="A14" t="s">
        <v>14</v>
      </c>
      <c r="B14" t="s">
        <v>72</v>
      </c>
    </row>
    <row r="15" spans="1:2">
      <c r="A15" t="s">
        <v>17</v>
      </c>
      <c r="B15" t="s">
        <v>73</v>
      </c>
    </row>
    <row r="16" spans="1:2">
      <c r="A16" t="s">
        <v>2</v>
      </c>
      <c r="B16" t="s">
        <v>64</v>
      </c>
    </row>
    <row r="17" spans="1:2">
      <c r="A17" t="s">
        <v>21</v>
      </c>
      <c r="B17" t="s">
        <v>74</v>
      </c>
    </row>
    <row r="18" spans="1:2">
      <c r="A18" t="s">
        <v>20</v>
      </c>
      <c r="B18" t="s">
        <v>75</v>
      </c>
    </row>
    <row r="19" spans="1:2">
      <c r="A19" t="s">
        <v>16</v>
      </c>
      <c r="B19" t="s">
        <v>76</v>
      </c>
    </row>
    <row r="20" spans="1:2">
      <c r="A20" t="s">
        <v>22</v>
      </c>
      <c r="B20" t="s">
        <v>67</v>
      </c>
    </row>
    <row r="21" spans="1:2">
      <c r="A21" t="s">
        <v>15</v>
      </c>
      <c r="B21" t="s">
        <v>65</v>
      </c>
    </row>
    <row r="22" spans="1:2">
      <c r="A22" t="s">
        <v>36</v>
      </c>
      <c r="B22" t="s">
        <v>87</v>
      </c>
    </row>
    <row r="23" spans="1:2">
      <c r="A23" t="s">
        <v>12</v>
      </c>
      <c r="B23" t="s">
        <v>78</v>
      </c>
    </row>
    <row r="24" spans="1:2">
      <c r="A24" t="s">
        <v>18</v>
      </c>
      <c r="B24" t="s">
        <v>78</v>
      </c>
    </row>
    <row r="25" spans="1:2">
      <c r="A25" t="s">
        <v>19</v>
      </c>
      <c r="B25" t="s">
        <v>74</v>
      </c>
    </row>
    <row r="26" spans="1:2">
      <c r="A26" t="s">
        <v>27</v>
      </c>
      <c r="B26" t="s">
        <v>80</v>
      </c>
    </row>
    <row r="27" spans="1:2">
      <c r="A27" t="s">
        <v>23</v>
      </c>
      <c r="B27" t="s">
        <v>77</v>
      </c>
    </row>
    <row r="28" spans="1:2">
      <c r="A28" t="s">
        <v>37</v>
      </c>
      <c r="B28" t="s">
        <v>69</v>
      </c>
    </row>
    <row r="29" spans="1:2">
      <c r="A29" t="s">
        <v>26</v>
      </c>
      <c r="B29" t="s">
        <v>65</v>
      </c>
    </row>
    <row r="30" spans="1:2">
      <c r="A30" t="s">
        <v>47</v>
      </c>
      <c r="B30" t="s">
        <v>91</v>
      </c>
    </row>
    <row r="31" spans="1:2">
      <c r="A31" t="s">
        <v>32</v>
      </c>
      <c r="B31" t="s">
        <v>83</v>
      </c>
    </row>
    <row r="32" spans="1:2">
      <c r="A32" t="s">
        <v>34</v>
      </c>
      <c r="B32" t="s">
        <v>85</v>
      </c>
    </row>
    <row r="33" spans="1:2">
      <c r="A33" t="s">
        <v>41</v>
      </c>
      <c r="B33" t="s">
        <v>74</v>
      </c>
    </row>
    <row r="34" spans="1:2">
      <c r="A34" t="s">
        <v>29</v>
      </c>
      <c r="B34" t="s">
        <v>81</v>
      </c>
    </row>
    <row r="35" spans="1:2">
      <c r="A35" t="s">
        <v>46</v>
      </c>
      <c r="B35" t="s">
        <v>73</v>
      </c>
    </row>
    <row r="36" spans="1:2">
      <c r="A36" t="s">
        <v>51</v>
      </c>
      <c r="B36" t="s">
        <v>72</v>
      </c>
    </row>
    <row r="37" spans="1:2">
      <c r="A37" t="s">
        <v>30</v>
      </c>
      <c r="B37" t="s">
        <v>82</v>
      </c>
    </row>
    <row r="38" spans="1:2">
      <c r="A38" t="s">
        <v>45</v>
      </c>
      <c r="B38" t="s">
        <v>90</v>
      </c>
    </row>
    <row r="39" spans="1:2">
      <c r="A39" t="s">
        <v>59</v>
      </c>
      <c r="B39" t="s">
        <v>99</v>
      </c>
    </row>
    <row r="40" spans="1:2">
      <c r="A40" t="s">
        <v>54</v>
      </c>
      <c r="B40" t="s">
        <v>95</v>
      </c>
    </row>
    <row r="41" spans="1:2">
      <c r="A41" t="s">
        <v>40</v>
      </c>
      <c r="B41" t="s">
        <v>76</v>
      </c>
    </row>
    <row r="42" spans="1:2">
      <c r="A42" t="s">
        <v>33</v>
      </c>
      <c r="B42" t="s">
        <v>84</v>
      </c>
    </row>
    <row r="43" spans="1:2">
      <c r="A43" t="s">
        <v>35</v>
      </c>
      <c r="B43" t="s">
        <v>86</v>
      </c>
    </row>
    <row r="44" spans="1:2">
      <c r="A44" t="s">
        <v>28</v>
      </c>
      <c r="B44" t="s">
        <v>79</v>
      </c>
    </row>
    <row r="45" spans="1:2">
      <c r="A45" t="s">
        <v>58</v>
      </c>
      <c r="B45" t="s">
        <v>98</v>
      </c>
    </row>
    <row r="46" spans="1:2">
      <c r="A46" t="s">
        <v>50</v>
      </c>
      <c r="B46" t="s">
        <v>86</v>
      </c>
    </row>
    <row r="47" spans="1:2">
      <c r="A47" t="s">
        <v>31</v>
      </c>
      <c r="B47" t="s">
        <v>75</v>
      </c>
    </row>
    <row r="48" spans="1:2">
      <c r="A48" t="s">
        <v>57</v>
      </c>
      <c r="B48" t="s">
        <v>97</v>
      </c>
    </row>
    <row r="49" spans="1:2">
      <c r="A49" t="s">
        <v>38</v>
      </c>
      <c r="B49" t="s">
        <v>88</v>
      </c>
    </row>
    <row r="50" spans="1:2">
      <c r="A50" t="s">
        <v>60</v>
      </c>
      <c r="B50" t="s">
        <v>100</v>
      </c>
    </row>
    <row r="51" spans="1:2">
      <c r="A51" t="s">
        <v>63</v>
      </c>
      <c r="B51" t="s">
        <v>103</v>
      </c>
    </row>
    <row r="52" spans="1:2">
      <c r="A52" t="s">
        <v>24</v>
      </c>
      <c r="B52" t="s">
        <v>79</v>
      </c>
    </row>
    <row r="53" spans="1:2">
      <c r="A53" t="s">
        <v>44</v>
      </c>
      <c r="B53" t="s">
        <v>69</v>
      </c>
    </row>
    <row r="54" spans="1:2">
      <c r="A54" t="s">
        <v>56</v>
      </c>
      <c r="B54" t="s">
        <v>96</v>
      </c>
    </row>
    <row r="55" spans="1:2">
      <c r="A55" t="s">
        <v>42</v>
      </c>
      <c r="B55" t="s">
        <v>89</v>
      </c>
    </row>
    <row r="56" spans="1:2">
      <c r="A56" t="s">
        <v>55</v>
      </c>
      <c r="B56" t="s">
        <v>86</v>
      </c>
    </row>
    <row r="57" spans="1:2">
      <c r="A57" t="s">
        <v>48</v>
      </c>
      <c r="B57" t="s">
        <v>92</v>
      </c>
    </row>
    <row r="58" spans="1:2">
      <c r="A58" t="s">
        <v>39</v>
      </c>
      <c r="B58" t="s">
        <v>84</v>
      </c>
    </row>
    <row r="59" spans="1:2">
      <c r="A59" t="s">
        <v>62</v>
      </c>
      <c r="B59" t="s">
        <v>102</v>
      </c>
    </row>
    <row r="60" spans="1:2">
      <c r="A60" t="s">
        <v>49</v>
      </c>
      <c r="B60" t="s">
        <v>93</v>
      </c>
    </row>
    <row r="61" spans="1:2">
      <c r="A61" t="s">
        <v>53</v>
      </c>
      <c r="B61" t="s">
        <v>94</v>
      </c>
    </row>
    <row r="62" spans="1:2">
      <c r="A62" t="s">
        <v>25</v>
      </c>
      <c r="B62" t="s">
        <v>67</v>
      </c>
    </row>
    <row r="63" spans="1:2">
      <c r="A63" t="s">
        <v>52</v>
      </c>
      <c r="B63" t="s">
        <v>89</v>
      </c>
    </row>
    <row r="64" spans="1:2">
      <c r="A64" t="s">
        <v>61</v>
      </c>
      <c r="B64" t="s">
        <v>101</v>
      </c>
    </row>
    <row r="65" spans="1:2">
      <c r="A65" t="s">
        <v>43</v>
      </c>
      <c r="B6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workbookViewId="0">
      <selection activeCell="A17" sqref="A17"/>
    </sheetView>
  </sheetViews>
  <sheetFormatPr baseColWidth="10" defaultRowHeight="15"/>
  <cols>
    <col min="1" max="1" width="26.5703125" bestFit="1" customWidth="1"/>
    <col min="2" max="2" width="11" bestFit="1" customWidth="1"/>
  </cols>
  <sheetData>
    <row r="1" spans="1:2">
      <c r="A1" t="s">
        <v>109</v>
      </c>
      <c r="B1" t="s">
        <v>110</v>
      </c>
    </row>
    <row r="2" spans="1:2">
      <c r="A2" t="s">
        <v>43</v>
      </c>
      <c r="B2">
        <v>18.71</v>
      </c>
    </row>
    <row r="3" spans="1:2">
      <c r="A3" t="s">
        <v>61</v>
      </c>
      <c r="B3">
        <v>18.760000000000002</v>
      </c>
    </row>
    <row r="4" spans="1:2">
      <c r="A4" t="s">
        <v>14</v>
      </c>
      <c r="B4">
        <v>19.059999999999999</v>
      </c>
    </row>
    <row r="5" spans="1:2">
      <c r="A5" t="s">
        <v>52</v>
      </c>
      <c r="B5">
        <v>19.11</v>
      </c>
    </row>
    <row r="6" spans="1:2">
      <c r="A6" t="s">
        <v>25</v>
      </c>
      <c r="B6">
        <v>19.97</v>
      </c>
    </row>
    <row r="7" spans="1:2">
      <c r="A7" t="s">
        <v>53</v>
      </c>
      <c r="B7">
        <v>20.07</v>
      </c>
    </row>
    <row r="8" spans="1:2">
      <c r="A8" t="s">
        <v>49</v>
      </c>
      <c r="B8">
        <v>20.54</v>
      </c>
    </row>
    <row r="9" spans="1:2">
      <c r="A9" t="s">
        <v>12</v>
      </c>
      <c r="B9">
        <v>20.56</v>
      </c>
    </row>
    <row r="10" spans="1:2">
      <c r="A10" t="s">
        <v>62</v>
      </c>
      <c r="B10">
        <v>20.76</v>
      </c>
    </row>
    <row r="11" spans="1:2">
      <c r="A11" t="s">
        <v>39</v>
      </c>
      <c r="B11">
        <v>20.81</v>
      </c>
    </row>
    <row r="12" spans="1:2">
      <c r="A12" t="s">
        <v>11</v>
      </c>
      <c r="B12">
        <v>20.98</v>
      </c>
    </row>
    <row r="13" spans="1:2">
      <c r="A13" t="s">
        <v>48</v>
      </c>
      <c r="B13">
        <v>21.02</v>
      </c>
    </row>
    <row r="14" spans="1:2">
      <c r="A14" t="s">
        <v>55</v>
      </c>
      <c r="B14">
        <v>21.07</v>
      </c>
    </row>
    <row r="15" spans="1:2">
      <c r="A15" t="s">
        <v>42</v>
      </c>
      <c r="B15">
        <v>21.42</v>
      </c>
    </row>
    <row r="16" spans="1:2">
      <c r="A16" t="s">
        <v>56</v>
      </c>
      <c r="B16">
        <v>21.72</v>
      </c>
    </row>
    <row r="17" spans="1:2">
      <c r="A17" t="s">
        <v>7</v>
      </c>
      <c r="B17">
        <v>21.84</v>
      </c>
    </row>
    <row r="18" spans="1:2">
      <c r="A18" t="s">
        <v>44</v>
      </c>
      <c r="B18">
        <v>21.9</v>
      </c>
    </row>
    <row r="19" spans="1:2">
      <c r="A19" t="s">
        <v>24</v>
      </c>
      <c r="B19">
        <v>22.18</v>
      </c>
    </row>
    <row r="20" spans="1:2">
      <c r="A20" t="s">
        <v>63</v>
      </c>
      <c r="B20">
        <v>23</v>
      </c>
    </row>
    <row r="21" spans="1:2">
      <c r="A21" t="s">
        <v>60</v>
      </c>
      <c r="B21">
        <v>23.24</v>
      </c>
    </row>
    <row r="22" spans="1:2">
      <c r="A22" t="s">
        <v>38</v>
      </c>
      <c r="B22">
        <v>23.43</v>
      </c>
    </row>
    <row r="23" spans="1:2">
      <c r="A23" t="s">
        <v>57</v>
      </c>
      <c r="B23">
        <v>23.61</v>
      </c>
    </row>
    <row r="24" spans="1:2">
      <c r="A24" t="s">
        <v>31</v>
      </c>
      <c r="B24">
        <v>23.63</v>
      </c>
    </row>
    <row r="25" spans="1:2">
      <c r="A25" t="s">
        <v>50</v>
      </c>
      <c r="B25">
        <v>23.96</v>
      </c>
    </row>
    <row r="26" spans="1:2">
      <c r="A26" t="s">
        <v>20</v>
      </c>
      <c r="B26">
        <v>24.13</v>
      </c>
    </row>
    <row r="27" spans="1:2">
      <c r="A27" t="s">
        <v>0</v>
      </c>
      <c r="B27">
        <v>24.14</v>
      </c>
    </row>
    <row r="28" spans="1:2">
      <c r="A28" t="s">
        <v>13</v>
      </c>
      <c r="B28">
        <v>24.17</v>
      </c>
    </row>
    <row r="29" spans="1:2">
      <c r="A29" t="s">
        <v>4</v>
      </c>
      <c r="B29">
        <v>24.18</v>
      </c>
    </row>
    <row r="30" spans="1:2">
      <c r="A30" t="s">
        <v>6</v>
      </c>
      <c r="B30">
        <v>24.33</v>
      </c>
    </row>
    <row r="31" spans="1:2">
      <c r="A31" t="s">
        <v>5</v>
      </c>
      <c r="B31">
        <v>24.36</v>
      </c>
    </row>
    <row r="32" spans="1:2">
      <c r="A32" t="s">
        <v>58</v>
      </c>
      <c r="B32">
        <v>24.7</v>
      </c>
    </row>
    <row r="33" spans="1:2">
      <c r="A33" t="s">
        <v>28</v>
      </c>
      <c r="B33">
        <v>24.73</v>
      </c>
    </row>
    <row r="34" spans="1:2">
      <c r="A34" t="s">
        <v>35</v>
      </c>
      <c r="B34">
        <v>24.79</v>
      </c>
    </row>
    <row r="35" spans="1:2">
      <c r="A35" t="s">
        <v>33</v>
      </c>
      <c r="B35">
        <v>24.86</v>
      </c>
    </row>
    <row r="36" spans="1:2">
      <c r="A36" t="s">
        <v>18</v>
      </c>
      <c r="B36">
        <v>25.19</v>
      </c>
    </row>
    <row r="37" spans="1:2">
      <c r="A37" t="s">
        <v>40</v>
      </c>
      <c r="B37">
        <v>25.32</v>
      </c>
    </row>
    <row r="38" spans="1:2">
      <c r="A38" t="s">
        <v>17</v>
      </c>
      <c r="B38">
        <v>25.67</v>
      </c>
    </row>
    <row r="39" spans="1:2">
      <c r="A39" t="s">
        <v>22</v>
      </c>
      <c r="B39">
        <v>25.82</v>
      </c>
    </row>
    <row r="40" spans="1:2">
      <c r="A40" t="s">
        <v>54</v>
      </c>
      <c r="B40">
        <v>25.92</v>
      </c>
    </row>
    <row r="41" spans="1:2">
      <c r="A41" t="s">
        <v>1</v>
      </c>
      <c r="B41">
        <v>25.98</v>
      </c>
    </row>
    <row r="42" spans="1:2">
      <c r="A42" t="s">
        <v>59</v>
      </c>
      <c r="B42">
        <v>26.02</v>
      </c>
    </row>
    <row r="43" spans="1:2">
      <c r="A43" t="s">
        <v>45</v>
      </c>
      <c r="B43">
        <v>27.18</v>
      </c>
    </row>
    <row r="44" spans="1:2">
      <c r="A44" t="s">
        <v>16</v>
      </c>
      <c r="B44">
        <v>27.45</v>
      </c>
    </row>
    <row r="45" spans="1:2">
      <c r="A45" t="s">
        <v>15</v>
      </c>
      <c r="B45">
        <v>27.73</v>
      </c>
    </row>
    <row r="46" spans="1:2">
      <c r="A46" t="s">
        <v>3</v>
      </c>
      <c r="B46">
        <v>27.75</v>
      </c>
    </row>
    <row r="47" spans="1:2">
      <c r="A47" t="s">
        <v>30</v>
      </c>
      <c r="B47">
        <v>27.84</v>
      </c>
    </row>
    <row r="48" spans="1:2">
      <c r="A48" t="s">
        <v>10</v>
      </c>
      <c r="B48">
        <v>27.86</v>
      </c>
    </row>
    <row r="49" spans="1:2">
      <c r="A49" t="s">
        <v>51</v>
      </c>
      <c r="B49">
        <v>28.31</v>
      </c>
    </row>
    <row r="50" spans="1:2">
      <c r="A50" t="s">
        <v>46</v>
      </c>
      <c r="B50">
        <v>28.32</v>
      </c>
    </row>
    <row r="51" spans="1:2">
      <c r="A51" t="s">
        <v>29</v>
      </c>
      <c r="B51">
        <v>28.47</v>
      </c>
    </row>
    <row r="52" spans="1:2">
      <c r="A52" t="s">
        <v>21</v>
      </c>
      <c r="B52">
        <v>28.5</v>
      </c>
    </row>
    <row r="53" spans="1:2">
      <c r="A53" t="s">
        <v>41</v>
      </c>
      <c r="B53">
        <v>28.55</v>
      </c>
    </row>
    <row r="54" spans="1:2">
      <c r="A54" t="s">
        <v>34</v>
      </c>
      <c r="B54">
        <v>28.64</v>
      </c>
    </row>
    <row r="55" spans="1:2">
      <c r="A55" t="s">
        <v>19</v>
      </c>
      <c r="B55">
        <v>28.84</v>
      </c>
    </row>
    <row r="56" spans="1:2">
      <c r="A56" t="s">
        <v>32</v>
      </c>
      <c r="B56">
        <v>28.93</v>
      </c>
    </row>
    <row r="57" spans="1:2">
      <c r="A57" t="s">
        <v>9</v>
      </c>
      <c r="B57">
        <v>28.99</v>
      </c>
    </row>
    <row r="58" spans="1:2">
      <c r="A58" t="s">
        <v>47</v>
      </c>
      <c r="B58">
        <v>29.21</v>
      </c>
    </row>
    <row r="59" spans="1:2">
      <c r="A59" t="s">
        <v>2</v>
      </c>
      <c r="B59">
        <v>29.65</v>
      </c>
    </row>
    <row r="60" spans="1:2">
      <c r="A60" t="s">
        <v>26</v>
      </c>
      <c r="B60">
        <v>29.85</v>
      </c>
    </row>
    <row r="61" spans="1:2">
      <c r="A61" t="s">
        <v>8</v>
      </c>
      <c r="B61">
        <v>30.98</v>
      </c>
    </row>
    <row r="62" spans="1:2">
      <c r="A62" t="s">
        <v>37</v>
      </c>
      <c r="B62">
        <v>31.25</v>
      </c>
    </row>
    <row r="63" spans="1:2">
      <c r="A63" t="s">
        <v>23</v>
      </c>
      <c r="B63">
        <v>32.26</v>
      </c>
    </row>
    <row r="64" spans="1:2">
      <c r="A64" t="s">
        <v>27</v>
      </c>
      <c r="B64">
        <v>33.299999999999997</v>
      </c>
    </row>
    <row r="65" spans="1:2">
      <c r="A65" t="s">
        <v>36</v>
      </c>
      <c r="B65">
        <v>34.520000000000003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9D77-2932-4AEE-8911-1B98D07F27CE}">
  <dimension ref="A1:H64"/>
  <sheetViews>
    <sheetView workbookViewId="0">
      <selection activeCell="B18" sqref="B18"/>
    </sheetView>
  </sheetViews>
  <sheetFormatPr baseColWidth="10" defaultRowHeight="15"/>
  <cols>
    <col min="1" max="1" width="92.140625" customWidth="1"/>
    <col min="2" max="2" width="26.7109375" style="5" customWidth="1"/>
    <col min="3" max="3" width="4.140625" customWidth="1"/>
    <col min="4" max="4" width="11.42578125" style="11"/>
    <col min="7" max="8" width="4.140625" style="7" customWidth="1"/>
  </cols>
  <sheetData>
    <row r="1" spans="1:8" ht="16.5" customHeight="1" thickBot="1">
      <c r="A1" s="3" t="s">
        <v>120</v>
      </c>
      <c r="B1" s="6" t="s">
        <v>122</v>
      </c>
      <c r="G1" s="7" t="s">
        <v>125</v>
      </c>
      <c r="H1" s="7" t="s">
        <v>9</v>
      </c>
    </row>
    <row r="2" spans="1:8" ht="16.5" customHeight="1" thickBot="1">
      <c r="A2" s="1" t="s">
        <v>126</v>
      </c>
      <c r="B2" s="9">
        <v>10</v>
      </c>
      <c r="D2" s="8" t="str">
        <f>IF(B2="","",IF(B2=10,"✔","✘"))</f>
        <v>✔</v>
      </c>
      <c r="G2" s="7" t="s">
        <v>64</v>
      </c>
      <c r="H2" s="7" t="s">
        <v>5</v>
      </c>
    </row>
    <row r="3" spans="1:8" ht="16.5" customHeight="1">
      <c r="A3" s="2"/>
      <c r="G3" s="7" t="s">
        <v>70</v>
      </c>
      <c r="H3" s="7" t="s">
        <v>61</v>
      </c>
    </row>
    <row r="4" spans="1:8" ht="16.5" customHeight="1" thickBot="1">
      <c r="A4" s="3" t="s">
        <v>111</v>
      </c>
      <c r="B4" s="6" t="s">
        <v>123</v>
      </c>
      <c r="G4" s="7" t="s">
        <v>67</v>
      </c>
      <c r="H4" s="7" t="s">
        <v>42</v>
      </c>
    </row>
    <row r="5" spans="1:8" ht="16.5" customHeight="1" thickBot="1">
      <c r="A5" s="1" t="s">
        <v>112</v>
      </c>
      <c r="B5" s="9" t="s">
        <v>64</v>
      </c>
      <c r="D5" s="8" t="str">
        <f>IF(B5="","",IF(B5="JAM","✔","✘"))</f>
        <v>✔</v>
      </c>
      <c r="G5" s="7" t="s">
        <v>68</v>
      </c>
      <c r="H5" s="7" t="s">
        <v>37</v>
      </c>
    </row>
    <row r="6" spans="1:8" ht="16.5" customHeight="1">
      <c r="G6" s="7" t="s">
        <v>65</v>
      </c>
      <c r="H6" s="7" t="s">
        <v>26</v>
      </c>
    </row>
    <row r="7" spans="1:8" ht="16.5" customHeight="1" thickBot="1">
      <c r="A7" s="3" t="s">
        <v>113</v>
      </c>
      <c r="B7" s="6" t="s">
        <v>124</v>
      </c>
      <c r="G7" s="7" t="s">
        <v>69</v>
      </c>
      <c r="H7" s="7" t="s">
        <v>8</v>
      </c>
    </row>
    <row r="8" spans="1:8" ht="16.5" customHeight="1" thickBot="1">
      <c r="A8" s="4" t="s">
        <v>121</v>
      </c>
      <c r="B8" s="9" t="s">
        <v>7</v>
      </c>
      <c r="D8" s="8" t="str">
        <f>IF(B8="","",IF(B8="WILLIAMS Christania","✔","✘"))</f>
        <v>✔</v>
      </c>
      <c r="G8" s="7" t="s">
        <v>66</v>
      </c>
      <c r="H8" s="7" t="s">
        <v>27</v>
      </c>
    </row>
    <row r="9" spans="1:8" ht="16.5" customHeight="1">
      <c r="A9" s="2"/>
      <c r="G9" s="7" t="s">
        <v>71</v>
      </c>
      <c r="H9" s="7" t="s">
        <v>24</v>
      </c>
    </row>
    <row r="10" spans="1:8" ht="16.5" customHeight="1" thickBot="1">
      <c r="A10" s="3" t="s">
        <v>114</v>
      </c>
      <c r="B10" s="6" t="s">
        <v>124</v>
      </c>
      <c r="G10" s="7" t="s">
        <v>72</v>
      </c>
      <c r="H10" s="7" t="s">
        <v>57</v>
      </c>
    </row>
    <row r="11" spans="1:8" ht="16.5" customHeight="1" thickBot="1">
      <c r="A11" s="1" t="s">
        <v>115</v>
      </c>
      <c r="B11" s="9" t="s">
        <v>36</v>
      </c>
      <c r="D11" s="8" t="str">
        <f>IF(B11="","",IF(B11="HARRIGAN-SCOTT Tahesia","✔","✘"))</f>
        <v>✔</v>
      </c>
      <c r="G11" s="7" t="s">
        <v>73</v>
      </c>
      <c r="H11" s="7" t="s">
        <v>1</v>
      </c>
    </row>
    <row r="12" spans="1:8" ht="16.5" customHeight="1">
      <c r="A12" s="2"/>
      <c r="G12" s="7" t="s">
        <v>74</v>
      </c>
      <c r="H12" s="7" t="s">
        <v>54</v>
      </c>
    </row>
    <row r="13" spans="1:8" ht="28.5" customHeight="1" thickBot="1">
      <c r="A13" s="3" t="s">
        <v>116</v>
      </c>
      <c r="B13" s="12" t="s">
        <v>128</v>
      </c>
      <c r="G13" s="7" t="s">
        <v>75</v>
      </c>
      <c r="H13" s="7" t="s">
        <v>49</v>
      </c>
    </row>
    <row r="14" spans="1:8" ht="16.5" customHeight="1" thickBot="1">
      <c r="A14" s="1" t="s">
        <v>117</v>
      </c>
      <c r="B14" s="10">
        <v>7.81</v>
      </c>
      <c r="D14" s="8" t="str">
        <f>IF(B14="","",IF(B14=7.81,"✔","✘"))</f>
        <v>✔</v>
      </c>
      <c r="G14" s="7" t="s">
        <v>76</v>
      </c>
      <c r="H14" s="7" t="s">
        <v>40</v>
      </c>
    </row>
    <row r="15" spans="1:8" ht="16.5" customHeight="1">
      <c r="G15" s="7" t="s">
        <v>87</v>
      </c>
      <c r="H15" s="7" t="s">
        <v>28</v>
      </c>
    </row>
    <row r="16" spans="1:8" ht="28.5" customHeight="1" thickBot="1">
      <c r="A16" s="3" t="s">
        <v>118</v>
      </c>
      <c r="B16" s="12" t="s">
        <v>127</v>
      </c>
      <c r="G16" s="7" t="s">
        <v>78</v>
      </c>
      <c r="H16" s="7" t="s">
        <v>2</v>
      </c>
    </row>
    <row r="17" spans="1:8" ht="16.5" customHeight="1" thickBot="1">
      <c r="A17" s="1" t="s">
        <v>119</v>
      </c>
      <c r="B17" s="10">
        <v>11</v>
      </c>
      <c r="D17" s="8" t="str">
        <f>IF(B17="","",IF(B17=11,"✔","✘"))</f>
        <v>✔</v>
      </c>
      <c r="G17" s="7" t="s">
        <v>80</v>
      </c>
      <c r="H17" s="7" t="s">
        <v>38</v>
      </c>
    </row>
    <row r="18" spans="1:8" ht="15.75" customHeight="1">
      <c r="G18" s="7" t="s">
        <v>77</v>
      </c>
      <c r="H18" s="7" t="s">
        <v>6</v>
      </c>
    </row>
    <row r="19" spans="1:8" ht="15.75" customHeight="1">
      <c r="G19" s="7" t="s">
        <v>91</v>
      </c>
      <c r="H19" s="7" t="s">
        <v>31</v>
      </c>
    </row>
    <row r="20" spans="1:8" ht="15.75" customHeight="1">
      <c r="G20" s="7" t="s">
        <v>83</v>
      </c>
      <c r="H20" s="7" t="s">
        <v>15</v>
      </c>
    </row>
    <row r="21" spans="1:8" ht="15.75" customHeight="1">
      <c r="G21" s="7" t="s">
        <v>85</v>
      </c>
      <c r="H21" s="7" t="s">
        <v>36</v>
      </c>
    </row>
    <row r="22" spans="1:8" ht="15.75" customHeight="1">
      <c r="G22" s="7" t="s">
        <v>81</v>
      </c>
      <c r="H22" s="7" t="s">
        <v>11</v>
      </c>
    </row>
    <row r="23" spans="1:8" ht="15.75" customHeight="1">
      <c r="G23" s="7" t="s">
        <v>82</v>
      </c>
      <c r="H23" s="7" t="s">
        <v>16</v>
      </c>
    </row>
    <row r="24" spans="1:8" ht="15.75" customHeight="1">
      <c r="G24" s="7" t="s">
        <v>90</v>
      </c>
      <c r="H24" s="7" t="s">
        <v>52</v>
      </c>
    </row>
    <row r="25" spans="1:8" ht="15.75" customHeight="1">
      <c r="G25" s="7" t="s">
        <v>99</v>
      </c>
      <c r="H25" s="7" t="s">
        <v>58</v>
      </c>
    </row>
    <row r="26" spans="1:8" ht="15.75" customHeight="1">
      <c r="G26" s="7" t="s">
        <v>95</v>
      </c>
      <c r="H26" s="7" t="s">
        <v>13</v>
      </c>
    </row>
    <row r="27" spans="1:8" ht="15.75" customHeight="1">
      <c r="G27" s="7" t="s">
        <v>84</v>
      </c>
      <c r="H27" s="7" t="s">
        <v>55</v>
      </c>
    </row>
    <row r="28" spans="1:8" ht="15.75" customHeight="1">
      <c r="G28" s="7" t="s">
        <v>86</v>
      </c>
      <c r="H28" s="7" t="s">
        <v>46</v>
      </c>
    </row>
    <row r="29" spans="1:8" ht="15.75" customHeight="1">
      <c r="G29" s="7" t="s">
        <v>79</v>
      </c>
      <c r="H29" s="7" t="s">
        <v>23</v>
      </c>
    </row>
    <row r="30" spans="1:8" ht="15.75" customHeight="1">
      <c r="G30" s="7" t="s">
        <v>98</v>
      </c>
      <c r="H30" s="7" t="s">
        <v>18</v>
      </c>
    </row>
    <row r="31" spans="1:8">
      <c r="G31" s="7" t="s">
        <v>97</v>
      </c>
      <c r="H31" s="7" t="s">
        <v>44</v>
      </c>
    </row>
    <row r="32" spans="1:8">
      <c r="G32" s="7" t="s">
        <v>88</v>
      </c>
      <c r="H32" s="7" t="s">
        <v>25</v>
      </c>
    </row>
    <row r="33" spans="7:8">
      <c r="G33" s="7" t="s">
        <v>100</v>
      </c>
      <c r="H33" s="7" t="s">
        <v>10</v>
      </c>
    </row>
    <row r="34" spans="7:8">
      <c r="G34" s="7" t="s">
        <v>103</v>
      </c>
      <c r="H34" s="7" t="s">
        <v>29</v>
      </c>
    </row>
    <row r="35" spans="7:8">
      <c r="G35" s="7" t="s">
        <v>96</v>
      </c>
      <c r="H35" s="7" t="s">
        <v>30</v>
      </c>
    </row>
    <row r="36" spans="7:8">
      <c r="G36" s="7" t="s">
        <v>89</v>
      </c>
      <c r="H36" s="7" t="s">
        <v>32</v>
      </c>
    </row>
    <row r="37" spans="7:8">
      <c r="G37" s="7" t="s">
        <v>92</v>
      </c>
      <c r="H37" s="7" t="s">
        <v>45</v>
      </c>
    </row>
    <row r="38" spans="7:8">
      <c r="G38" s="7" t="s">
        <v>102</v>
      </c>
      <c r="H38" s="7" t="s">
        <v>22</v>
      </c>
    </row>
    <row r="39" spans="7:8">
      <c r="G39" s="7" t="s">
        <v>93</v>
      </c>
      <c r="H39" s="7" t="s">
        <v>20</v>
      </c>
    </row>
    <row r="40" spans="7:8">
      <c r="G40" s="7" t="s">
        <v>94</v>
      </c>
      <c r="H40" s="7" t="s">
        <v>21</v>
      </c>
    </row>
    <row r="41" spans="7:8">
      <c r="G41" s="7" t="s">
        <v>101</v>
      </c>
      <c r="H41" s="7" t="s">
        <v>51</v>
      </c>
    </row>
    <row r="42" spans="7:8">
      <c r="H42" s="7" t="s">
        <v>19</v>
      </c>
    </row>
    <row r="43" spans="7:8">
      <c r="H43" s="7" t="s">
        <v>43</v>
      </c>
    </row>
    <row r="44" spans="7:8">
      <c r="H44" s="7" t="s">
        <v>35</v>
      </c>
    </row>
    <row r="45" spans="7:8">
      <c r="H45" s="7" t="s">
        <v>17</v>
      </c>
    </row>
    <row r="46" spans="7:8">
      <c r="H46" s="7" t="s">
        <v>4</v>
      </c>
    </row>
    <row r="47" spans="7:8">
      <c r="H47" s="7" t="s">
        <v>62</v>
      </c>
    </row>
    <row r="48" spans="7:8">
      <c r="H48" s="7" t="s">
        <v>48</v>
      </c>
    </row>
    <row r="49" spans="8:8">
      <c r="H49" s="7" t="s">
        <v>41</v>
      </c>
    </row>
    <row r="50" spans="8:8">
      <c r="H50" s="7" t="s">
        <v>14</v>
      </c>
    </row>
    <row r="51" spans="8:8">
      <c r="H51" s="7" t="s">
        <v>3</v>
      </c>
    </row>
    <row r="52" spans="8:8">
      <c r="H52" s="7" t="s">
        <v>60</v>
      </c>
    </row>
    <row r="53" spans="8:8">
      <c r="H53" s="7" t="s">
        <v>12</v>
      </c>
    </row>
    <row r="54" spans="8:8">
      <c r="H54" s="7" t="s">
        <v>53</v>
      </c>
    </row>
    <row r="55" spans="8:8">
      <c r="H55" s="7" t="s">
        <v>0</v>
      </c>
    </row>
    <row r="56" spans="8:8">
      <c r="H56" s="7" t="s">
        <v>59</v>
      </c>
    </row>
    <row r="57" spans="8:8">
      <c r="H57" s="7" t="s">
        <v>33</v>
      </c>
    </row>
    <row r="58" spans="8:8">
      <c r="H58" s="7" t="s">
        <v>7</v>
      </c>
    </row>
    <row r="59" spans="8:8">
      <c r="H59" s="7" t="s">
        <v>56</v>
      </c>
    </row>
    <row r="60" spans="8:8">
      <c r="H60" s="7" t="s">
        <v>34</v>
      </c>
    </row>
    <row r="61" spans="8:8">
      <c r="H61" s="7" t="s">
        <v>39</v>
      </c>
    </row>
    <row r="62" spans="8:8">
      <c r="H62" s="7" t="s">
        <v>47</v>
      </c>
    </row>
    <row r="63" spans="8:8">
      <c r="H63" s="7" t="s">
        <v>63</v>
      </c>
    </row>
    <row r="64" spans="8:8">
      <c r="H64" s="7" t="s">
        <v>50</v>
      </c>
    </row>
  </sheetData>
  <sheetProtection algorithmName="SHA-512" hashValue="D3hoonl0kaf5EMslpHunsvGuBupy/DRrdTxFhPt3DCeuxlcNMmIwVkm60z1oD/8hCSmY0MqQuTzOdsowIcCdGQ==" saltValue="HXY0v66oBqJhx/+JVsDc4A==" spinCount="100000" sheet="1" objects="1" scenarios="1"/>
  <sortState xmlns:xlrd2="http://schemas.microsoft.com/office/spreadsheetml/2017/richdata2" ref="H1:H64">
    <sortCondition ref="H1"/>
  </sortState>
  <conditionalFormatting sqref="D2">
    <cfRule type="containsBlanks" dxfId="17" priority="16">
      <formula>LEN(TRIM(D2))=0</formula>
    </cfRule>
    <cfRule type="containsText" dxfId="16" priority="17" operator="containsText" text="✘">
      <formula>NOT(ISERROR(SEARCH("✘",D2)))</formula>
    </cfRule>
    <cfRule type="containsText" dxfId="15" priority="18" operator="containsText" text="✔">
      <formula>NOT(ISERROR(SEARCH("✔",D2)))</formula>
    </cfRule>
  </conditionalFormatting>
  <conditionalFormatting sqref="D5">
    <cfRule type="containsBlanks" dxfId="14" priority="13">
      <formula>LEN(TRIM(D5))=0</formula>
    </cfRule>
    <cfRule type="containsText" dxfId="13" priority="14" operator="containsText" text="✘">
      <formula>NOT(ISERROR(SEARCH("✘",D5)))</formula>
    </cfRule>
    <cfRule type="containsText" dxfId="12" priority="15" operator="containsText" text="✔">
      <formula>NOT(ISERROR(SEARCH("✔",D5)))</formula>
    </cfRule>
  </conditionalFormatting>
  <conditionalFormatting sqref="D8">
    <cfRule type="containsBlanks" dxfId="11" priority="10">
      <formula>LEN(TRIM(D8))=0</formula>
    </cfRule>
    <cfRule type="containsText" dxfId="10" priority="11" operator="containsText" text="✘">
      <formula>NOT(ISERROR(SEARCH("✘",D8)))</formula>
    </cfRule>
    <cfRule type="containsText" dxfId="9" priority="12" operator="containsText" text="✔">
      <formula>NOT(ISERROR(SEARCH("✔",D8)))</formula>
    </cfRule>
  </conditionalFormatting>
  <conditionalFormatting sqref="D11">
    <cfRule type="containsBlanks" dxfId="8" priority="7">
      <formula>LEN(TRIM(D11))=0</formula>
    </cfRule>
    <cfRule type="containsText" dxfId="7" priority="8" operator="containsText" text="✘">
      <formula>NOT(ISERROR(SEARCH("✘",D11)))</formula>
    </cfRule>
    <cfRule type="containsText" dxfId="6" priority="9" operator="containsText" text="✔">
      <formula>NOT(ISERROR(SEARCH("✔",D11)))</formula>
    </cfRule>
  </conditionalFormatting>
  <conditionalFormatting sqref="D14">
    <cfRule type="containsBlanks" dxfId="5" priority="4">
      <formula>LEN(TRIM(D14))=0</formula>
    </cfRule>
    <cfRule type="containsText" dxfId="4" priority="5" operator="containsText" text="✘">
      <formula>NOT(ISERROR(SEARCH("✘",D14)))</formula>
    </cfRule>
    <cfRule type="containsText" dxfId="3" priority="6" operator="containsText" text="✔">
      <formula>NOT(ISERROR(SEARCH("✔",D14)))</formula>
    </cfRule>
  </conditionalFormatting>
  <conditionalFormatting sqref="D17">
    <cfRule type="containsBlanks" dxfId="2" priority="1">
      <formula>LEN(TRIM(D17))=0</formula>
    </cfRule>
    <cfRule type="containsText" dxfId="1" priority="2" operator="containsText" text="✘">
      <formula>NOT(ISERROR(SEARCH("✘",D17)))</formula>
    </cfRule>
    <cfRule type="containsText" dxfId="0" priority="3" operator="containsText" text="✔">
      <formula>NOT(ISERROR(SEARCH("✔",D17)))</formula>
    </cfRule>
  </conditionalFormatting>
  <dataValidations count="5">
    <dataValidation type="list" allowBlank="1" showInputMessage="1" showErrorMessage="1" sqref="B5" xr:uid="{731D4028-F34E-4B95-BC6B-8CEDF0898798}">
      <formula1>$G$2:$G$41</formula1>
    </dataValidation>
    <dataValidation type="list" allowBlank="1" showInputMessage="1" showErrorMessage="1" sqref="B8 B11" xr:uid="{20775042-0591-4F04-9D41-146336C0042F}">
      <formula1>$H$1:$H$64</formula1>
    </dataValidation>
    <dataValidation type="whole" errorStyle="warning" allowBlank="1" showInputMessage="1" showErrorMessage="1" errorTitle="Número entero" sqref="B2" xr:uid="{96FFEC8F-D528-46E7-8892-452E33A30BE5}">
      <formula1>1</formula1>
      <formula2>100</formula2>
    </dataValidation>
    <dataValidation type="decimal" errorStyle="warning" allowBlank="1" showInputMessage="1" showErrorMessage="1" errorTitle="Con decimales" error="Escribe tu resultado con 2 decimales." sqref="B14" xr:uid="{AB75FD6F-04E0-4F5A-A0D2-54C1FF1E3F84}">
      <formula1>1</formula1>
      <formula2>100</formula2>
    </dataValidation>
    <dataValidation type="decimal" errorStyle="warning" allowBlank="1" showInputMessage="1" showErrorMessage="1" errorTitle="Con decimales" error="Escribe tu respuesta con 2 decimales." sqref="B17" xr:uid="{35C5C763-DE6D-4253-9954-1C54E55C274E}">
      <formula1>1</formula1>
      <formula2>100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de Carreras</vt:lpstr>
      <vt:lpstr>Paises Participantes</vt:lpstr>
      <vt:lpstr>Edades de Competidores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Carlos Muñoz</cp:lastModifiedBy>
  <dcterms:created xsi:type="dcterms:W3CDTF">2016-10-11T16:22:23Z</dcterms:created>
  <dcterms:modified xsi:type="dcterms:W3CDTF">2025-11-19T23:31:38Z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0d0c2506-dbb8-4836-96a5-b7f8b5bd3db9</vt:lpwstr>
  </property>
</Properties>
</file>